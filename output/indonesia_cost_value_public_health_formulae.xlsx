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20"/>
  </bookViews>
  <sheets>
    <sheet name="README" sheetId="2" state="visible" r:id="rId2"/>
    <sheet name="Run_Metadata" sheetId="3" state="visible" r:id="rId3"/>
    <sheet name="Scenario_Hierarchy" sheetId="19" state="visible" r:id="rId19"/>
    <sheet name="Selected_Interventions" sheetId="4" state="visible" r:id="rId4"/>
    <sheet name="Blocked_Links" sheetId="5" state="visible" r:id="rId5"/>
    <sheet name="Policy_Levers" sheetId="6" state="visible" r:id="rId6"/>
    <sheet name="Exposure_Targets" sheetId="7" state="visible" r:id="rId7"/>
    <sheet name="Effect_Parameters" sheetId="8" state="visible" r:id="rId8"/>
    <sheet name="Risk_Response" sheetId="20" state="visible" r:id="rId20"/>
    <sheet name="Cost_Components" sheetId="9" state="visible" r:id="rId9"/>
    <sheet name="Annual_Mortality" sheetId="10" state="visible" r:id="rId10"/>
    <sheet name="Annual_Cost" sheetId="11" state="visible" r:id="rId11"/>
    <sheet name="Budget_Impact" sheetId="12" state="visible" r:id="rId12"/>
    <sheet name="Cost_Effectiveness" sheetId="13" state="visible" r:id="rId13"/>
    <sheet name="Child_Intervention_Summary" sheetId="21" state="visible" r:id="rId21"/>
    <sheet name="Parent_Package_Summary" sheetId="22" state="visible" r:id="rId22"/>
    <sheet name="Economic_Value" sheetId="14" state="visible" r:id="rId14"/>
    <sheet name="QA_Checks" sheetId="15" state="visible" r:id="rId15"/>
    <sheet name="Input_Diagnostic" sheetId="16" state="visible" r:id="rId16"/>
    <sheet name="Methods_and_Sources" sheetId="17" state="visible" r:id="rId17"/>
    <sheet name="Calculation_Assumptions" sheetId="1" state="visible" r:id="rId1"/>
    <sheet name="Calculation_Map" sheetId="18" state="visible" r:id="rId18"/>
  </sheets>
  <calcPr calcId="191029" fullCalcOnLoad="1"/>
</workbook>
</file>

<file path=xl/sharedStrings.xml><?xml version="1.0" encoding="utf-8"?>
<sst xmlns="http://schemas.openxmlformats.org/spreadsheetml/2006/main" count="812" uniqueCount="812">
  <si>
    <t xml:space="preserve">parameter_id</t>
  </si>
  <si>
    <t xml:space="preserve">value</t>
  </si>
  <si>
    <t xml:space="preserve">unit</t>
  </si>
  <si>
    <t xml:space="preserve">role</t>
  </si>
  <si>
    <t xml:space="preserve">description</t>
  </si>
  <si>
    <t xml:space="preserve">source</t>
  </si>
  <si>
    <t xml:space="preserve">analysis_start_year</t>
  </si>
  <si>
    <t xml:space="preserve">analysis_end_year</t>
  </si>
  <si>
    <t xml:space="preserve">baseline_scenario_id</t>
  </si>
  <si>
    <t xml:space="preserve">policy_start_year</t>
  </si>
  <si>
    <t xml:space="preserve">exposure_target_year</t>
  </si>
  <si>
    <t xml:space="preserve">policy_cost_ramp_years</t>
  </si>
  <si>
    <t xml:space="preserve">cost_discount_rate</t>
  </si>
  <si>
    <t xml:space="preserve">reporting_price_year</t>
  </si>
  <si>
    <t xml:space="preserve">source_cost_price_year</t>
  </si>
  <si>
    <t xml:space="preserve">currency</t>
  </si>
  <si>
    <t xml:space="preserve">economic_perspective</t>
  </si>
  <si>
    <t xml:space="preserve">scale_up_shape</t>
  </si>
  <si>
    <t xml:space="preserve">baseline_implementation_fraction</t>
  </si>
  <si>
    <t xml:space="preserve">formula_tolerance</t>
  </si>
  <si>
    <t xml:space="preserve">stock_flow_residual_limit</t>
  </si>
  <si>
    <t xml:space="preserve">r_negative_state_count</t>
  </si>
  <si>
    <t xml:space="preserve">r_stock_flow_max_residual</t>
  </si>
  <si>
    <t xml:space="preserve">r_background_distinct_count</t>
  </si>
  <si>
    <t xml:space="preserve">r_deaths_averted_anchor</t>
  </si>
  <si>
    <t xml:space="preserve">r_disc_incremental_cost_anchor</t>
  </si>
  <si>
    <t xml:space="preserve">r_cost_per_death_anchor</t>
  </si>
  <si>
    <t xml:space="preserve">qa_anchor_scenario</t>
  </si>
  <si>
    <t xml:space="preserve">year</t>
  </si>
  <si>
    <t xml:space="preserve">formula control</t>
  </si>
  <si>
    <t xml:space="preserve">First model and discount year</t>
  </si>
  <si>
    <t xml:space="preserve">indonesia_model_inputs_public_health_updated.xlsx</t>
  </si>
  <si>
    <t xml:space="preserve">Last model year</t>
  </si>
  <si>
    <t xml:space="preserve">scenario id</t>
  </si>
  <si>
    <t xml:space="preserve">No-new-policy comparator</t>
  </si>
  <si>
    <t xml:space="preserve">First policy implementation year</t>
  </si>
  <si>
    <t xml:space="preserve">Year full exposure reduction is reached</t>
  </si>
  <si>
    <t xml:space="preserve">years</t>
  </si>
  <si>
    <t xml:space="preserve">Years to full policy cost</t>
  </si>
  <si>
    <t xml:space="preserve">proportion/year</t>
  </si>
  <si>
    <t xml:space="preserve">Annual discount rate applied to costs</t>
  </si>
  <si>
    <t xml:space="preserve">USD year</t>
  </si>
  <si>
    <t xml:space="preserve">Reporting price year</t>
  </si>
  <si>
    <t xml:space="preserve">Price year of source unit costs</t>
  </si>
  <si>
    <t xml:space="preserve">metadata</t>
  </si>
  <si>
    <t xml:space="preserve">Reporting currency</t>
  </si>
  <si>
    <t xml:space="preserve">text</t>
  </si>
  <si>
    <t xml:space="preserve">Economic evaluation perspective</t>
  </si>
  <si>
    <t xml:space="preserve">Cost/effect scale-up shape</t>
  </si>
  <si>
    <t xml:space="preserve">proportion</t>
  </si>
  <si>
    <t xml:space="preserve">Baseline (counterfactual) policy implementation fraction</t>
  </si>
  <si>
    <t xml:space="preserve">Model 09</t>
  </si>
  <si>
    <t xml:space="preserve">USD/count</t>
  </si>
  <si>
    <t xml:space="preserve">QA control</t>
  </si>
  <si>
    <t xml:space="preserve">Absolute reconciliation tolerance</t>
  </si>
  <si>
    <t xml:space="preserve">Workbook QA rule</t>
  </si>
  <si>
    <t xml:space="preserve">persons</t>
  </si>
  <si>
    <t xml:space="preserve">Persons tolerance for the stock/flow identity check</t>
  </si>
  <si>
    <t xml:space="preserve">count</t>
  </si>
  <si>
    <t xml:space="preserve">R QA source</t>
  </si>
  <si>
    <t xml:space="preserve">Impossible negative state count (R)</t>
  </si>
  <si>
    <t xml:space="preserve">Model 09 current run</t>
  </si>
  <si>
    <t xml:space="preserve">Max stock/flow residual (R)</t>
  </si>
  <si>
    <t xml:space="preserve">Max distinct all-cause mx across cause (R)</t>
  </si>
  <si>
    <t xml:space="preserve">deaths</t>
  </si>
  <si>
    <t xml:space="preserve">R reconciliation source</t>
  </si>
  <si>
    <t xml:space="preserve">R deaths averted for the anchor scenario</t>
  </si>
  <si>
    <t xml:space="preserve">Model 09 current run (R CEA)</t>
  </si>
  <si>
    <t xml:space="preserve">USD</t>
  </si>
  <si>
    <t xml:space="preserve">R discounted incremental cost for the anchor scenario</t>
  </si>
  <si>
    <t xml:space="preserve">USD/death</t>
  </si>
  <si>
    <t xml:space="preserve">R USD per death averted for the anchor scenario</t>
  </si>
  <si>
    <t xml:space="preserve">Scenario used for Excel-vs-R reconciliation</t>
  </si>
  <si>
    <t xml:space="preserve">baseline</t>
  </si>
  <si>
    <t xml:space="preserve">health_system</t>
  </si>
  <si>
    <t xml:space="preserve">linear</t>
  </si>
  <si>
    <t xml:space="preserve">all_public_health</t>
  </si>
  <si>
    <t xml:space="preserve">Indonesia NCD - public-health cost &amp; value workbook (formula edition)</t>
  </si>
  <si>
    <t xml:space="preserve">section</t>
  </si>
  <si>
    <t xml:space="preserve">detail</t>
  </si>
  <si>
    <t xml:space="preserve">Purpose</t>
  </si>
  <si>
    <t xml:space="preserve">Costing, budget impact and mortality-based cost-effectiveness for the public-health (fiscal/regulatory) policies selected in the public-health input workbook.</t>
  </si>
  <si>
    <t xml:space="preserve">How to read</t>
  </si>
  <si>
    <t xml:space="preserve">Grey cells are R-generated source values; light-blue cells are LIVE Excel formulas; pale-yellow cells on Calculation_Assumptions are editable controls. Change a yellow control and the blue results recompute. Calculation_Map lists the dependency chain.</t>
  </si>
  <si>
    <t xml:space="preserve">Scenarios</t>
  </si>
  <si>
    <t xml:space="preserve">Baseline + one standalone scenario per runnable intervention + one JOINT scenario per parent package (tobacco, salt) + a combined 'all_public_health' scenario. Membership and the tobacco/salt package structure derive from the workbook Scenario_Hierarchy (Model 04). Parent-package cases/deaths come from a single joint run, never summed from standalone children; package cost = sum of selected child costs. See Scenario_Hierarchy, Child_Intervention_Summary and Parent_Package_Summary.</t>
  </si>
  <si>
    <t xml:space="preserve">Baseline pairing</t>
  </si>
  <si>
    <t xml:space="preserve">Deaths averted = baseline deaths - scenario deaths, matched at year x cause (both-sex totals).</t>
  </si>
  <si>
    <t xml:space="preserve">Effect model</t>
  </si>
  <si>
    <t xml:space="preserve">Incidence effect = exposure-based: prevalence-shift RR (tobacco), log-linear RR per unit reduction (alcohol/sodium/SSB and the DEFAULT industrial-TFA path, RR per 1 percentage-point energy). The optional TFA PAF path (PAF x implementation gap) is used only when Assumptions.tfa_effect_method='PAF'. Fiscal levers use baseline-&gt;target tax change x price elasticity; regulatory levers use the none/partial/full implementation gap. NO clinical coverage-adjustment formula is used.</t>
  </si>
  <si>
    <t xml:space="preserve">Exposure path</t>
  </si>
  <si>
    <t xml:space="preserve">Achieved exposure pt(t) ramps linearly baseline-&gt;target over start_year..target_year, floored; exposure reductions are shown as formulas on Exposure_Targets.</t>
  </si>
  <si>
    <t xml:space="preserve">Lag</t>
  </si>
  <si>
    <t xml:space="preserve">immediate_after_full_implementation: effect tracks the exposure path. delayed_exponential_remaining_effect (tobacco): full target effect accrues as 1-(1-rate)^(years since start).</t>
  </si>
  <si>
    <t xml:space="preserve">Costing</t>
  </si>
  <si>
    <t xml:space="preserve">annual_cost = population(t) x PIN fraction x implementation_fraction(t) x frequency x unit_cost. Public-wide policies use the deduplicated total population (once per age/sex/year, never per cause).</t>
  </si>
  <si>
    <t xml:space="preserve">Shared costs</t>
  </si>
  <si>
    <t xml:space="preserve">Shared policy costs (cost_scope 'shared-count-once', ...__C_SHARED) are counted once per intervention/scenario/year, never once per affected cause.</t>
  </si>
  <si>
    <t xml:space="preserve">Budget impact</t>
  </si>
  <si>
    <t xml:space="preserve">Budget impact reports UNDISCOUNTED baseline, scenario, incremental and cumulative incremental cost; discounted incremental cost is a separate column.</t>
  </si>
  <si>
    <t xml:space="preserve">Cost-effectiveness</t>
  </si>
  <si>
    <t xml:space="preserve">USD per death averted = cumulative discounted incremental cost / cumulative (undiscounted) deaths averted. Not a DALY-based ICER; DALYs are deferred.</t>
  </si>
  <si>
    <t xml:space="preserve">Economic value</t>
  </si>
  <si>
    <t xml:space="preserve">Value of statistical life (Model 08) covers the clinical CVD scenarios only and does not reconcile with public-health scenarios; see the Economic_Value note.</t>
  </si>
  <si>
    <t xml:space="preserve">QA &amp; reconciliation</t>
  </si>
  <si>
    <t xml:space="preserve">QA_Checks recomputes each invariant in Excel and reconciles the Excel cost-effectiveness headline against the R engine values on Calculation_Assumptions. PASS/REVIEW/FAIL are conditionally formatted.</t>
  </si>
  <si>
    <t xml:space="preserve">Colour legend</t>
  </si>
  <si>
    <t xml:space="preserve">Header dark-blue; formula-derived light-blue; R source/helper grey; editable controls pale-yellow; PASS green; REVIEW amber; FAIL red.</t>
  </si>
  <si>
    <t xml:space="preserve">Deferred</t>
  </si>
  <si>
    <t xml:space="preserve">DALYs/YLL/YLD/disability weights are deferred; the principal cost-effectiveness result is USD per death averted.</t>
  </si>
  <si>
    <t xml:space="preserve">item</t>
  </si>
  <si>
    <t xml:space="preserve">Workbook title</t>
  </si>
  <si>
    <t xml:space="preserve">Indonesia NCD public-health - cost &amp; value</t>
  </si>
  <si>
    <t xml:space="preserve">Run date</t>
  </si>
  <si>
    <t xml:space="preserve">2026-08-20</t>
  </si>
  <si>
    <t xml:space="preserve">Model / pipeline</t>
  </si>
  <si>
    <t xml:space="preserve">CVD FAIR Choices pipeline (Models 00-06 -&gt; 09), public-health family</t>
  </si>
  <si>
    <t xml:space="preserve">Public-health input workbook</t>
  </si>
  <si>
    <t xml:space="preserve">C:/Users/wrgar/OneDrive - UW/02Work/WorldBank-Indonesia/uw-wb-indonesia-ncd/data/indonesia_model_inputs_public_health_updated.xlsx</t>
  </si>
  <si>
    <t xml:space="preserve">Model output source</t>
  </si>
  <si>
    <t xml:space="preserve">output/out_model/model_output_*.rds (Model 06)</t>
  </si>
  <si>
    <t xml:space="preserve">Location</t>
  </si>
  <si>
    <t xml:space="preserve">Indonesia</t>
  </si>
  <si>
    <t xml:space="preserve">Analysis years</t>
  </si>
  <si>
    <t xml:space="preserve">2025-2050</t>
  </si>
  <si>
    <t xml:space="preserve">Baseline scenario</t>
  </si>
  <si>
    <t xml:space="preserve">Scenarios costed</t>
  </si>
  <si>
    <t xml:space="preserve">I_PH_TOBACCO_TAX, I_PH_ALCOHOL_TAX, I_PH_TOB_CLEAN_AIR, I_PH_TOB_MEDIA, I_PH_TOB_AD_BAN, I_PH_ALCOHOL_POLICY, I_PH_SALT_REFORM, I_PH_SALT_FOPL, I_PH_SALT_MEDIA, I_PH_SALT_ENV, I_PH_TFA_POLICY, I_PH_SSB_TAX, I_PH_TOBACCO_POLICY, I_PH_SALT_POLICY, all_public_health</t>
  </si>
  <si>
    <t xml:space="preserve">Cost discount rate</t>
  </si>
  <si>
    <t xml:space="preserve">3.0%</t>
  </si>
  <si>
    <t xml:space="preserve">2023</t>
  </si>
  <si>
    <t xml:space="preserve">Currency</t>
  </si>
  <si>
    <t xml:space="preserve">Economic perspective</t>
  </si>
  <si>
    <t xml:space="preserve">Policy start / target year</t>
  </si>
  <si>
    <t xml:space="preserve">2026 / 2030</t>
  </si>
  <si>
    <t xml:space="preserve">Cost ramp years</t>
  </si>
  <si>
    <t xml:space="preserve">3</t>
  </si>
  <si>
    <t xml:space="preserve">Health outcomes (DALYs/YLL/YLD)</t>
  </si>
  <si>
    <t xml:space="preserve">Out of scope in this stage (deferred)</t>
  </si>
  <si>
    <t xml:space="preserve">R version</t>
  </si>
  <si>
    <t xml:space="preserve">R version 4.5.1 (2025-06-13 ucrt)</t>
  </si>
  <si>
    <t xml:space="preserve">openxlsx / data.table</t>
  </si>
  <si>
    <t xml:space="preserve">4.2.8 / 1.17.8</t>
  </si>
  <si>
    <t xml:space="preserve">TFA effect method</t>
  </si>
  <si>
    <t xml:space="preserve">RR</t>
  </si>
  <si>
    <t xml:space="preserve">Public-health scenarios (n)</t>
  </si>
  <si>
    <t xml:space="preserve">15 comparators + baseline</t>
  </si>
  <si>
    <t xml:space="preserve">intervention_id</t>
  </si>
  <si>
    <t xml:space="preserve">intervention_cause_key</t>
  </si>
  <si>
    <t xml:space="preserve">intervention_name</t>
  </si>
  <si>
    <t xml:space="preserve">risk_id</t>
  </si>
  <si>
    <t xml:space="preserve">cause_id</t>
  </si>
  <si>
    <t xml:space="preserve">cause_code</t>
  </si>
  <si>
    <t xml:space="preserve">effect_model</t>
  </si>
  <si>
    <t xml:space="preserve">baseline_exposure</t>
  </si>
  <si>
    <t xml:space="preserve">target_exposure</t>
  </si>
  <si>
    <t xml:space="preserve">response_value</t>
  </si>
  <si>
    <t xml:space="preserve">paf_value</t>
  </si>
  <si>
    <t xml:space="preserve">lag_model</t>
  </si>
  <si>
    <t xml:space="preserve">lag_parameter</t>
  </si>
  <si>
    <t xml:space="preserve">exposure_start_year</t>
  </si>
  <si>
    <t xml:space="preserve">full_effect_at_target</t>
  </si>
  <si>
    <t xml:space="preserve">exposure_reduction_abs</t>
  </si>
  <si>
    <t xml:space="preserve">exposure_reduction_rel</t>
  </si>
  <si>
    <t xml:space="preserve">cost_join_key</t>
  </si>
  <si>
    <t xml:space="preserve">review_status</t>
  </si>
  <si>
    <t xml:space="preserve">key_count</t>
  </si>
  <si>
    <t xml:space="preserve">formula_status</t>
  </si>
  <si>
    <t xml:space="preserve">parent_package_id</t>
  </si>
  <si>
    <t xml:space="preserve">intervention_role</t>
  </si>
  <si>
    <t xml:space="preserve">tfa_effect_method</t>
  </si>
  <si>
    <t xml:space="preserve">I_PH_ALCOHOL_POLICY</t>
  </si>
  <si>
    <t xml:space="preserve">I_PH_ALCOHOL_POLICY__C_CMYO</t>
  </si>
  <si>
    <t xml:space="preserve">Alcohol advertising ban</t>
  </si>
  <si>
    <t xml:space="preserve">R_ALCOHOL</t>
  </si>
  <si>
    <t xml:space="preserve">C_CMYO</t>
  </si>
  <si>
    <t xml:space="preserve">cmd</t>
  </si>
  <si>
    <t xml:space="preserve">direct_loglinear_rr_per_unit_reduction</t>
  </si>
  <si>
    <t xml:space="preserve">immediate_after_full_implementation</t>
  </si>
  <si>
    <t xml:space="preserve">I_PH_ALCOHOL_POLICY__C_SHARED</t>
  </si>
  <si>
    <t xml:space="preserve">Ready</t>
  </si>
  <si>
    <t xml:space="preserve">standalone</t>
  </si>
  <si>
    <t xml:space="preserve">I_PH_ALCOHOL_POLICY__C_HHD</t>
  </si>
  <si>
    <t xml:space="preserve">C_HHD</t>
  </si>
  <si>
    <t xml:space="preserve">hhd</t>
  </si>
  <si>
    <t xml:space="preserve">I_PH_ALCOHOL_POLICY__C_ICH</t>
  </si>
  <si>
    <t xml:space="preserve">C_ICH</t>
  </si>
  <si>
    <t xml:space="preserve">hstroke</t>
  </si>
  <si>
    <t xml:space="preserve">I_PH_ALCOHOL_POLICY__C_IHD</t>
  </si>
  <si>
    <t xml:space="preserve">C_IHD</t>
  </si>
  <si>
    <t xml:space="preserve">ihd</t>
  </si>
  <si>
    <t xml:space="preserve">I_PH_ALCOHOL_POLICY__C_IS</t>
  </si>
  <si>
    <t xml:space="preserve">C_IS</t>
  </si>
  <si>
    <t xml:space="preserve">istroke</t>
  </si>
  <si>
    <t xml:space="preserve">I_PH_ALCOHOL_TAX</t>
  </si>
  <si>
    <t xml:space="preserve">I_PH_ALCOHOL_TAX__C_CMYO</t>
  </si>
  <si>
    <t xml:space="preserve">Alcohol tax</t>
  </si>
  <si>
    <t xml:space="preserve">I_PH_ALCOHOL_TAX__C_SHARED</t>
  </si>
  <si>
    <t xml:space="preserve">I_PH_ALCOHOL_TAX__C_HHD</t>
  </si>
  <si>
    <t xml:space="preserve">I_PH_ALCOHOL_TAX__C_ICH</t>
  </si>
  <si>
    <t xml:space="preserve">I_PH_ALCOHOL_TAX__C_IHD</t>
  </si>
  <si>
    <t xml:space="preserve">I_PH_ALCOHOL_TAX__C_IS</t>
  </si>
  <si>
    <t xml:space="preserve">I_PH_SALT_ENV</t>
  </si>
  <si>
    <t xml:space="preserve">I_PH_SALT_ENV__C_HHD</t>
  </si>
  <si>
    <t xml:space="preserve">Supportive public-institution environment</t>
  </si>
  <si>
    <t xml:space="preserve">R_SODIUM</t>
  </si>
  <si>
    <t xml:space="preserve">I_PH_SALT_ENV__C_SHARED</t>
  </si>
  <si>
    <t xml:space="preserve">I_PH_SALT_POLICY</t>
  </si>
  <si>
    <t xml:space="preserve">child</t>
  </si>
  <si>
    <t xml:space="preserve">I_PH_SALT_ENV__C_ICH</t>
  </si>
  <si>
    <t xml:space="preserve">I_PH_SALT_ENV__C_IHD</t>
  </si>
  <si>
    <t xml:space="preserve">I_PH_SALT_ENV__C_IS</t>
  </si>
  <si>
    <t xml:space="preserve">I_PH_SALT_FOPL</t>
  </si>
  <si>
    <t xml:space="preserve">I_PH_SALT_FOPL__C_HHD</t>
  </si>
  <si>
    <t xml:space="preserve">Sodium front-of-pack labelling</t>
  </si>
  <si>
    <t xml:space="preserve">I_PH_SALT_FOPL__C_SHARED</t>
  </si>
  <si>
    <t xml:space="preserve">I_PH_SALT_FOPL__C_ICH</t>
  </si>
  <si>
    <t xml:space="preserve">I_PH_SALT_FOPL__C_IHD</t>
  </si>
  <si>
    <t xml:space="preserve">I_PH_SALT_FOPL__C_IS</t>
  </si>
  <si>
    <t xml:space="preserve">I_PH_SALT_MEDIA</t>
  </si>
  <si>
    <t xml:space="preserve">I_PH_SALT_MEDIA__C_HHD</t>
  </si>
  <si>
    <t xml:space="preserve">Sodium mass-media campaign</t>
  </si>
  <si>
    <t xml:space="preserve">I_PH_SALT_MEDIA__C_SHARED</t>
  </si>
  <si>
    <t xml:space="preserve">I_PH_SALT_MEDIA__C_ICH</t>
  </si>
  <si>
    <t xml:space="preserve">I_PH_SALT_MEDIA__C_IHD</t>
  </si>
  <si>
    <t xml:space="preserve">I_PH_SALT_MEDIA__C_IS</t>
  </si>
  <si>
    <t xml:space="preserve">I_PH_SALT_REFORM</t>
  </si>
  <si>
    <t xml:space="preserve">I_PH_SALT_REFORM__C_HHD</t>
  </si>
  <si>
    <t xml:space="preserve">Mandatory sodium reformulation</t>
  </si>
  <si>
    <t xml:space="preserve">I_PH_SALT_REFORM__C_SHARED</t>
  </si>
  <si>
    <t xml:space="preserve">I_PH_SALT_REFORM__C_ICH</t>
  </si>
  <si>
    <t xml:space="preserve">I_PH_SALT_REFORM__C_IHD</t>
  </si>
  <si>
    <t xml:space="preserve">I_PH_SALT_REFORM__C_IS</t>
  </si>
  <si>
    <t xml:space="preserve">I_PH_SSB_TAX</t>
  </si>
  <si>
    <t xml:space="preserve">I_PH_SSB_TAX__C_T2DM</t>
  </si>
  <si>
    <t xml:space="preserve">Sugar-sweetened beverage tax</t>
  </si>
  <si>
    <t xml:space="preserve">R_SSB</t>
  </si>
  <si>
    <t xml:space="preserve">C_T2DM</t>
  </si>
  <si>
    <t xml:space="preserve">dm2</t>
  </si>
  <si>
    <t xml:space="preserve">I_PH_SSB_TAX__C_SHARED</t>
  </si>
  <si>
    <t xml:space="preserve">I_PH_SSB_TAX__C_HHD</t>
  </si>
  <si>
    <t xml:space="preserve">I_PH_SSB_TAX__C_ICH</t>
  </si>
  <si>
    <t xml:space="preserve">I_PH_SSB_TAX__C_IHD</t>
  </si>
  <si>
    <t xml:space="preserve">I_PH_SSB_TAX__C_IS</t>
  </si>
  <si>
    <t xml:space="preserve">I_PH_TFA_POLICY</t>
  </si>
  <si>
    <t xml:space="preserve">I_PH_TFA_POLICY__C_IHD</t>
  </si>
  <si>
    <t xml:space="preserve">Industrial trans-fat elimination regulation</t>
  </si>
  <si>
    <t xml:space="preserve">R_TFA</t>
  </si>
  <si>
    <t xml:space="preserve">I_PH_TFA_POLICY__C_SHARED</t>
  </si>
  <si>
    <t xml:space="preserve">I_PH_TOBACCO_TAX</t>
  </si>
  <si>
    <t xml:space="preserve">I_PH_TOBACCO_TAX__C_T2DM</t>
  </si>
  <si>
    <t xml:space="preserve">Tobacco tax</t>
  </si>
  <si>
    <t xml:space="preserve">R_SMOKING</t>
  </si>
  <si>
    <t xml:space="preserve">direct_smoking_prevalence_shift_rr</t>
  </si>
  <si>
    <t xml:space="preserve">delayed_exponential_remaining_effect</t>
  </si>
  <si>
    <t xml:space="preserve">I_PH_TOBACCO_TAX__C_SHARED</t>
  </si>
  <si>
    <t xml:space="preserve">I_PH_TOBACCO_TAX__C_ICH</t>
  </si>
  <si>
    <t xml:space="preserve">I_PH_TOBACCO_TAX__C_IHD</t>
  </si>
  <si>
    <t xml:space="preserve">I_PH_TOBACCO_TAX__C_IS</t>
  </si>
  <si>
    <t xml:space="preserve">I_PH_TOB_AD_BAN</t>
  </si>
  <si>
    <t xml:space="preserve">I_PH_TOB_AD_BAN__C_T2DM</t>
  </si>
  <si>
    <t xml:space="preserve">Tobacco advertising ban</t>
  </si>
  <si>
    <t xml:space="preserve">I_PH_TOB_AD_BAN__C_SHARED</t>
  </si>
  <si>
    <t xml:space="preserve">I_PH_TOBACCO_POLICY</t>
  </si>
  <si>
    <t xml:space="preserve">I_PH_TOB_AD_BAN__C_ICH</t>
  </si>
  <si>
    <t xml:space="preserve">I_PH_TOB_AD_BAN__C_IHD</t>
  </si>
  <si>
    <t xml:space="preserve">I_PH_TOB_AD_BAN__C_IS</t>
  </si>
  <si>
    <t xml:space="preserve">I_PH_TOB_CLEAN_AIR</t>
  </si>
  <si>
    <t xml:space="preserve">I_PH_TOB_CLEAN_AIR__C_T2DM</t>
  </si>
  <si>
    <t xml:space="preserve">Smoke-free / clean-air law</t>
  </si>
  <si>
    <t xml:space="preserve">I_PH_TOB_CLEAN_AIR__C_SHARED</t>
  </si>
  <si>
    <t xml:space="preserve">I_PH_TOB_CLEAN_AIR__C_ICH</t>
  </si>
  <si>
    <t xml:space="preserve">I_PH_TOB_CLEAN_AIR__C_IHD</t>
  </si>
  <si>
    <t xml:space="preserve">I_PH_TOB_CLEAN_AIR__C_IS</t>
  </si>
  <si>
    <t xml:space="preserve">I_PH_TOB_MEDIA</t>
  </si>
  <si>
    <t xml:space="preserve">I_PH_TOB_MEDIA__C_T2DM</t>
  </si>
  <si>
    <t xml:space="preserve">Tobacco mass-media campaign</t>
  </si>
  <si>
    <t xml:space="preserve">I_PH_TOB_MEDIA__C_SHARED</t>
  </si>
  <si>
    <t xml:space="preserve">I_PH_TOB_MEDIA__C_ICH</t>
  </si>
  <si>
    <t xml:space="preserve">I_PH_TOB_MEDIA__C_IHD</t>
  </si>
  <si>
    <t xml:space="preserve">I_PH_TOB_MEDIA__C_IS</t>
  </si>
  <si>
    <t xml:space="preserve">note</t>
  </si>
  <si>
    <t xml:space="preserve">No blocked public-health links in this run.</t>
  </si>
  <si>
    <t xml:space="preserve">lever_id</t>
  </si>
  <si>
    <t xml:space="preserve">component</t>
  </si>
  <si>
    <t xml:space="preserve">lever_method</t>
  </si>
  <si>
    <t xml:space="preserve">fiscal_baseline_tax_level</t>
  </si>
  <si>
    <t xml:space="preserve">fiscal_target_tax_level</t>
  </si>
  <si>
    <t xml:space="preserve">fiscal_tax_level_unit</t>
  </si>
  <si>
    <t xml:space="preserve">regulatory_baseline_level</t>
  </si>
  <si>
    <t xml:space="preserve">regulatory_target_level</t>
  </si>
  <si>
    <t xml:space="preserve">regulatory_baseline_score</t>
  </si>
  <si>
    <t xml:space="preserve">regulatory_target_score</t>
  </si>
  <si>
    <t xml:space="preserve">effect_parameter</t>
  </si>
  <si>
    <t xml:space="preserve">implementation_gap</t>
  </si>
  <si>
    <t xml:space="preserve">implied_price_change</t>
  </si>
  <si>
    <t xml:space="preserve">fiscal_tax_delta</t>
  </si>
  <si>
    <t xml:space="preserve">policy_reduction</t>
  </si>
  <si>
    <t xml:space="preserve">estimated_risk_reduction_wb</t>
  </si>
  <si>
    <t xml:space="preserve">qa_status</t>
  </si>
  <si>
    <t xml:space="preserve">PL_TOB_TAX_SHARE</t>
  </si>
  <si>
    <t xml:space="preserve">Tax share of final retail price</t>
  </si>
  <si>
    <t xml:space="preserve">tax_share_to_price_elasticity</t>
  </si>
  <si>
    <t xml:space="preserve">tax share of retail price</t>
  </si>
  <si>
    <t xml:space="preserve">partial</t>
  </si>
  <si>
    <t xml:space="preserve">OK</t>
  </si>
  <si>
    <t xml:space="preserve">PL_ALC_PRICE</t>
  </si>
  <si>
    <t xml:space="preserve">Incremental retail-price increase versus current law</t>
  </si>
  <si>
    <t xml:space="preserve">price_elasticity</t>
  </si>
  <si>
    <t xml:space="preserve">relative price change vs current law</t>
  </si>
  <si>
    <t xml:space="preserve">none</t>
  </si>
  <si>
    <t xml:space="preserve">PL_TOB_CLEAN_AIR</t>
  </si>
  <si>
    <t xml:space="preserve">Smoking ban / clean-air law</t>
  </si>
  <si>
    <t xml:space="preserve">regulatory_gap_multiplicative</t>
  </si>
  <si>
    <t xml:space="preserve">full</t>
  </si>
  <si>
    <t xml:space="preserve">PL_TOB_MEDIA</t>
  </si>
  <si>
    <t xml:space="preserve">Highly publicised mass-media campaign</t>
  </si>
  <si>
    <t xml:space="preserve">PL_TOB_AD_BAN</t>
  </si>
  <si>
    <t xml:space="preserve">Advertising, promotion and sponsorship ban</t>
  </si>
  <si>
    <t xml:space="preserve">PL_ALC_AD_BAN</t>
  </si>
  <si>
    <t xml:space="preserve">PL_SALT_REFORM</t>
  </si>
  <si>
    <t xml:space="preserve">Mandatory product reformulation</t>
  </si>
  <si>
    <t xml:space="preserve">PL_SALT_FOPL</t>
  </si>
  <si>
    <t xml:space="preserve">Front-of-pack labelling</t>
  </si>
  <si>
    <t xml:space="preserve">PL_SALT_MEDIA</t>
  </si>
  <si>
    <t xml:space="preserve">Mass-media campaign</t>
  </si>
  <si>
    <t xml:space="preserve">PL_SALT_ENV</t>
  </si>
  <si>
    <t xml:space="preserve">Public food procurement and supportive institutions</t>
  </si>
  <si>
    <t xml:space="preserve">PL_TFA_REG</t>
  </si>
  <si>
    <t xml:space="preserve">Best-practice industrial TFA regulation</t>
  </si>
  <si>
    <t xml:space="preserve">PL_SSB_PRICE</t>
  </si>
  <si>
    <t xml:space="preserve">Incremental retail-price increase</t>
  </si>
  <si>
    <t xml:space="preserve">relative price change vs baseline</t>
  </si>
  <si>
    <t xml:space="preserve">risk_exposure_measure</t>
  </si>
  <si>
    <t xml:space="preserve">exposure_unit</t>
  </si>
  <si>
    <t xml:space="preserve">reduction_method</t>
  </si>
  <si>
    <t xml:space="preserve">red_or_target</t>
  </si>
  <si>
    <t xml:space="preserve">exposure_floor</t>
  </si>
  <si>
    <t xml:space="preserve">absolute_reduction</t>
  </si>
  <si>
    <t xml:space="preserve">relative_reduction</t>
  </si>
  <si>
    <t xml:space="preserve">start_year</t>
  </si>
  <si>
    <t xml:space="preserve">target_year</t>
  </si>
  <si>
    <t xml:space="preserve">Alcohol consumption per adult</t>
  </si>
  <si>
    <t xml:space="preserve">litres pure alcohol/adult/year</t>
  </si>
  <si>
    <t xml:space="preserve">relative</t>
  </si>
  <si>
    <t xml:space="preserve">Baseline retained</t>
  </si>
  <si>
    <t xml:space="preserve">Mean sodium intake</t>
  </si>
  <si>
    <t xml:space="preserve">g sodium/day</t>
  </si>
  <si>
    <t xml:space="preserve">Mean SSB intake</t>
  </si>
  <si>
    <t xml:space="preserve">8 oz servings/adult/day</t>
  </si>
  <si>
    <t xml:space="preserve">GDD 2020 mean</t>
  </si>
  <si>
    <t xml:space="preserve">Mean industrial trans-fat intake</t>
  </si>
  <si>
    <t xml:space="preserve">% energy</t>
  </si>
  <si>
    <t xml:space="preserve">RR base case; PAF optional</t>
  </si>
  <si>
    <t xml:space="preserve">Smoking prevalence</t>
  </si>
  <si>
    <t xml:space="preserve">response_parameter</t>
  </si>
  <si>
    <t xml:space="preserve">model_transition</t>
  </si>
  <si>
    <t xml:space="preserve">valid</t>
  </si>
  <si>
    <t xml:space="preserve">RR per 1 L/year</t>
  </si>
  <si>
    <t xml:space="preserve">incidence</t>
  </si>
  <si>
    <t xml:space="preserve">RR per 1 g sodium/day</t>
  </si>
  <si>
    <t xml:space="preserve">RR per daily serving</t>
  </si>
  <si>
    <t xml:space="preserve">RR per 1 percentage-point energy/day</t>
  </si>
  <si>
    <t xml:space="preserve">RR current smoker vs non-smoker</t>
  </si>
  <si>
    <t xml:space="preserve">cost_record_id</t>
  </si>
  <si>
    <t xml:space="preserve">cost_component_key</t>
  </si>
  <si>
    <t xml:space="preserve">cost_scope</t>
  </si>
  <si>
    <t xml:space="preserve">scenario_role</t>
  </si>
  <si>
    <t xml:space="preserve">cost_component</t>
  </si>
  <si>
    <t xml:space="preserve">population_in_need_measure</t>
  </si>
  <si>
    <t xml:space="preserve">population_in_need_fraction</t>
  </si>
  <si>
    <t xml:space="preserve">frequency_per_year</t>
  </si>
  <si>
    <t xml:space="preserve">unit_cost_usd</t>
  </si>
  <si>
    <t xml:space="preserve">cost_allocation_share</t>
  </si>
  <si>
    <t xml:space="preserve">package_total_cost_usd_per_capita</t>
  </si>
  <si>
    <t xml:space="preserve">allocation_method</t>
  </si>
  <si>
    <t xml:space="preserve">allocated_child_cost</t>
  </si>
  <si>
    <t xml:space="preserve">price_year</t>
  </si>
  <si>
    <t xml:space="preserve">indonesia_adjusted_flag</t>
  </si>
  <si>
    <t xml:space="preserve">source_country</t>
  </si>
  <si>
    <t xml:space="preserve">cost_ready</t>
  </si>
  <si>
    <t xml:space="preserve">notes</t>
  </si>
  <si>
    <t xml:space="preserve">COST_PH_ALC_POLICY</t>
  </si>
  <si>
    <t xml:space="preserve">CC_PH_ALC_POLICY</t>
  </si>
  <si>
    <t xml:space="preserve">shared-count-once</t>
  </si>
  <si>
    <t xml:space="preserve">Annual intersectoral policy implementation</t>
  </si>
  <si>
    <t xml:space="preserve">all</t>
  </si>
  <si>
    <t xml:space="preserve">direct source value</t>
  </si>
  <si>
    <t xml:space="preserve">China/proxy</t>
  </si>
  <si>
    <t xml:space="preserve">Review</t>
  </si>
  <si>
    <t xml:space="preserve">Requires Indonesia/price-year adjustment</t>
  </si>
  <si>
    <t xml:space="preserve">COST_PH_ALC_TAX</t>
  </si>
  <si>
    <t xml:space="preserve">CC_PH_ALC_TAX</t>
  </si>
  <si>
    <t xml:space="preserve">COST_PH_SALT_ENV</t>
  </si>
  <si>
    <t xml:space="preserve">CC_PH_SALT_ENV</t>
  </si>
  <si>
    <t xml:space="preserve">component-count-once</t>
  </si>
  <si>
    <t xml:space="preserve">equal within package</t>
  </si>
  <si>
    <t xml:space="preserve">COST_PH_SALT_FOPL</t>
  </si>
  <si>
    <t xml:space="preserve">CC_PH_SALT_FOPL</t>
  </si>
  <si>
    <t xml:space="preserve">COST_PH_SALT_MEDIA</t>
  </si>
  <si>
    <t xml:space="preserve">CC_PH_SALT_MEDIA</t>
  </si>
  <si>
    <t xml:space="preserve">COST_PH_SALT_REFORM</t>
  </si>
  <si>
    <t xml:space="preserve">CC_PH_SALT_REFORM</t>
  </si>
  <si>
    <t xml:space="preserve">COST_PH_SSB_TAX</t>
  </si>
  <si>
    <t xml:space="preserve">CC_PH_SSB_TAX</t>
  </si>
  <si>
    <t xml:space="preserve">COST_PH_TFA</t>
  </si>
  <si>
    <t xml:space="preserve">CC_PH_TFA</t>
  </si>
  <si>
    <t xml:space="preserve">COST_PH_TOB_TAX</t>
  </si>
  <si>
    <t xml:space="preserve">CC_PH_TOB_TAX</t>
  </si>
  <si>
    <t xml:space="preserve">COST_PH_TOB_AD_BAN</t>
  </si>
  <si>
    <t xml:space="preserve">CC_PH_TOB_AD_BAN</t>
  </si>
  <si>
    <t xml:space="preserve">COST_PH_TOB_CLEAN_AIR</t>
  </si>
  <si>
    <t xml:space="preserve">CC_PH_TOB_CLEAN_AIR</t>
  </si>
  <si>
    <t xml:space="preserve">COST_PH_TOB_MEDIA</t>
  </si>
  <si>
    <t xml:space="preserve">CC_PH_TOB_MEDIA</t>
  </si>
  <si>
    <t xml:space="preserve">scenario</t>
  </si>
  <si>
    <t xml:space="preserve">scenario_label</t>
  </si>
  <si>
    <t xml:space="preserve">cause</t>
  </si>
  <si>
    <t xml:space="preserve">cases</t>
  </si>
  <si>
    <t xml:space="preserve">cause_deaths</t>
  </si>
  <si>
    <t xml:space="preserve">base_cases</t>
  </si>
  <si>
    <t xml:space="preserve">base_deaths</t>
  </si>
  <si>
    <t xml:space="preserve">deaths_averted</t>
  </si>
  <si>
    <t xml:space="preserve">cases_averted</t>
  </si>
  <si>
    <t xml:space="preserve">rhd</t>
  </si>
  <si>
    <t xml:space="preserve">Salt policy package</t>
  </si>
  <si>
    <t xml:space="preserve">Tobacco policy package</t>
  </si>
  <si>
    <t xml:space="preserve">All selected public-health interventions (combined)</t>
  </si>
  <si>
    <t xml:space="preserve">pop_scenario</t>
  </si>
  <si>
    <t xml:space="preserve">pop_baseline</t>
  </si>
  <si>
    <t xml:space="preserve">cost_impl_frac</t>
  </si>
  <si>
    <t xml:space="preserve">pin_scenario</t>
  </si>
  <si>
    <t xml:space="preserve">pin_baseline</t>
  </si>
  <si>
    <t xml:space="preserve">annual_cost_baseline</t>
  </si>
  <si>
    <t xml:space="preserve">annual_cost_scenario</t>
  </si>
  <si>
    <t xml:space="preserve">annual_cost_incremental</t>
  </si>
  <si>
    <t xml:space="preserve">discount_factor</t>
  </si>
  <si>
    <t xml:space="preserve">disc_cost_baseline</t>
  </si>
  <si>
    <t xml:space="preserve">disc_cost_scenario</t>
  </si>
  <si>
    <t xml:space="preserve">disc_cost_incremental</t>
  </si>
  <si>
    <t xml:space="preserve">shared_duplicate_count</t>
  </si>
  <si>
    <t xml:space="preserve">baseline_cost</t>
  </si>
  <si>
    <t xml:space="preserve">scenario_cost</t>
  </si>
  <si>
    <t xml:space="preserve">incremental_cost</t>
  </si>
  <si>
    <t xml:space="preserve">disc_incremental_cost</t>
  </si>
  <si>
    <t xml:space="preserve">cumulative_incremental_cost</t>
  </si>
  <si>
    <t xml:space="preserve">cumulative_disc_incremental_cost</t>
  </si>
  <si>
    <t xml:space="preserve">cost_per_death_averted</t>
  </si>
  <si>
    <t xml:space="preserve">dominance</t>
  </si>
  <si>
    <t xml:space="preserve">reconciliation_status</t>
  </si>
  <si>
    <t xml:space="preserve">Economic value (value of statistical life, VSL/VSLY) is produced by Model 08 for the clinical CVD scenarios only.</t>
  </si>
  <si>
    <t xml:space="preserve">Model 08 does not currently run the public-health scenario ids (I_PH_* / all_public_health), so its monetary-value</t>
  </si>
  <si>
    <t xml:space="preserve">results cannot be reconciled against this run's public-health scenarios and are intentionally NOT reproduced here.</t>
  </si>
  <si>
    <t xml:space="preserve">The principal public-health result in this workbook is USD per death averted (Cost_Effectiveness).</t>
  </si>
  <si>
    <t xml:space="preserve">To populate a public-health economic-value view, re-run Model 08 on the public-health scenarios and extend this sheet.</t>
  </si>
  <si>
    <t xml:space="preserve">check</t>
  </si>
  <si>
    <t xml:space="preserve">expected</t>
  </si>
  <si>
    <t xml:space="preserve">actual</t>
  </si>
  <si>
    <t xml:space="preserve">status</t>
  </si>
  <si>
    <t xml:space="preserve">Selected intervention-cause key uniqueness</t>
  </si>
  <si>
    <t xml:space="preserve">0</t>
  </si>
  <si>
    <t xml:space="preserve">Each selected link key appears once</t>
  </si>
  <si>
    <t xml:space="preserve">Workbook FAIL-level issues</t>
  </si>
  <si>
    <t xml:space="preserve">Blocked links excluded (see Blocked_Links / Input_Diagnostic)</t>
  </si>
  <si>
    <t xml:space="preserve">Workbook REVIEW-level issues</t>
  </si>
  <si>
    <t xml:space="preserve">Flagged but usable (e.g. cost not Indonesia-adjusted; provisional PAF)</t>
  </si>
  <si>
    <t xml:space="preserve">Every scenario paired to baseline</t>
  </si>
  <si>
    <t xml:space="preserve">Deaths averted = baseline - scenario at matched year/cause</t>
  </si>
  <si>
    <t xml:space="preserve">Public-health transitions are well -&gt; sick incidence</t>
  </si>
  <si>
    <t xml:space="preserve">All modeled public-health effects map to incidence (no case fatality)</t>
  </si>
  <si>
    <t xml:space="preserve">No impossible negative states</t>
  </si>
  <si>
    <t xml:space="preserve">well/sick/new_cases/deaths/population &gt;= 0</t>
  </si>
  <si>
    <t xml:space="preserve">Stock/flow identity pop = well + sick + all-cause deaths</t>
  </si>
  <si>
    <t xml:space="preserve">&lt;= limit</t>
  </si>
  <si>
    <t xml:space="preserve">Per cause row; small residual from 95+ pooling / rounding</t>
  </si>
  <si>
    <t xml:space="preserve">Background mortality constant across cause</t>
  </si>
  <si>
    <t xml:space="preserve">1</t>
  </si>
  <si>
    <t xml:space="preserve">all.mx taken once per stratum (population not duplicated across causes)</t>
  </si>
  <si>
    <t xml:space="preserve">Cost reconciliation (components -&gt; budget impact)</t>
  </si>
  <si>
    <t xml:space="preserve">&lt;= tol</t>
  </si>
  <si>
    <t xml:space="preserve">Excel component rows sum to Excel annual totals within tolerance</t>
  </si>
  <si>
    <t xml:space="preserve">Shared cost counted once per stratum/year</t>
  </si>
  <si>
    <t xml:space="preserve">shared-count-once components appear once per scenario-year</t>
  </si>
  <si>
    <t xml:space="preserve">Annual reconciles to cumulative (budget impact)</t>
  </si>
  <si>
    <t xml:space="preserve">Last-year cumulative equals the sum of annual incremental cost</t>
  </si>
  <si>
    <t xml:space="preserve">CEA reconciliation (detail -&gt; summary)</t>
  </si>
  <si>
    <t xml:space="preserve">consistent</t>
  </si>
  <si>
    <t xml:space="preserve">Every Cost_Effectiveness row's internal reconciliation is consistent</t>
  </si>
  <si>
    <t xml:space="preserve">Excel vs R: deaths averted (anchor)</t>
  </si>
  <si>
    <t xml:space="preserve">match R</t>
  </si>
  <si>
    <t xml:space="preserve">Excel CEA deaths averted reconciles to the R engine value</t>
  </si>
  <si>
    <t xml:space="preserve">Excel vs R: discounted incremental cost (anchor)</t>
  </si>
  <si>
    <t xml:space="preserve">Excel CEA discounted incremental cost reconciles to the R engine value</t>
  </si>
  <si>
    <t xml:space="preserve">Excel vs R: cost per death averted (anchor)</t>
  </si>
  <si>
    <t xml:space="preserve">Excel CEA USD per death averted reconciles to the R engine value</t>
  </si>
  <si>
    <t xml:space="preserve">Tobacco package child count</t>
  </si>
  <si>
    <t xml:space="preserve">Scenario_Hierarchy: clean air, media, ad ban</t>
  </si>
  <si>
    <t xml:space="preserve">Salt package child count</t>
  </si>
  <si>
    <t xml:space="preserve">4</t>
  </si>
  <si>
    <t xml:space="preserve">Scenario_Hierarchy: reformulation, FOPL, media, institutions</t>
  </si>
  <si>
    <t xml:space="preserve">Child cost-allocation shares sum to 1 (per package)</t>
  </si>
  <si>
    <t xml:space="preserve">Cost_Components allocation shares sum to 1 within each package (M13/M14)</t>
  </si>
  <si>
    <t xml:space="preserve">Parent packages produced as joint runs</t>
  </si>
  <si>
    <t xml:space="preserve">&gt; 0</t>
  </si>
  <si>
    <t xml:space="preserve">Package cases/deaths come from a produced JOINT scenario, never summed from children</t>
  </si>
  <si>
    <t xml:space="preserve">scope</t>
  </si>
  <si>
    <t xml:space="preserve">item_key</t>
  </si>
  <si>
    <t xml:space="preserve">field</t>
  </si>
  <si>
    <t xml:space="preserve">problem</t>
  </si>
  <si>
    <t xml:space="preserve">severity</t>
  </si>
  <si>
    <t xml:space="preserve">ph_cost</t>
  </si>
  <si>
    <t xml:space="preserve">cost not Indonesia-adjusted (proxy/review estimate; kept but flagged)</t>
  </si>
  <si>
    <t xml:space="preserve">REVIEW</t>
  </si>
  <si>
    <t xml:space="preserve">cost price year != reporting price year (2023)</t>
  </si>
  <si>
    <t xml:space="preserve">method_id</t>
  </si>
  <si>
    <t xml:space="preserve">concept</t>
  </si>
  <si>
    <t xml:space="preserve">formula_or_rule</t>
  </si>
  <si>
    <t xml:space="preserve">M01</t>
  </si>
  <si>
    <t xml:space="preserve">Exposure target</t>
  </si>
  <si>
    <t xml:space="preserve">relative: max(floor, baseline*(1-reduction)); absolute: max(floor, baseline-reduction); level: max(floor, target)</t>
  </si>
  <si>
    <t xml:space="preserve">NCD Countdown supplement (Countdown_Methods sheet) + public-health input workbook</t>
  </si>
  <si>
    <t xml:space="preserve">M02</t>
  </si>
  <si>
    <t xml:space="preserve">pt(t) linear baseline-&gt;target over start_year..target_year, then held; floored at exposure_floor</t>
  </si>
  <si>
    <t xml:space="preserve">M03</t>
  </si>
  <si>
    <t xml:space="preserve">Regulatory score</t>
  </si>
  <si>
    <t xml:space="preserve">implementation score: none=0; partial=0.5; full=1</t>
  </si>
  <si>
    <t xml:space="preserve">M04</t>
  </si>
  <si>
    <t xml:space="preserve">Regulatory effect</t>
  </si>
  <si>
    <t xml:space="preserve">implementation_gap = max(0, target_score - baseline_score); regulatory reduction = full_component_effect * implementation_gap</t>
  </si>
  <si>
    <t xml:space="preserve">M05</t>
  </si>
  <si>
    <t xml:space="preserve">Price-change tax</t>
  </si>
  <si>
    <t xml:space="preserve">fiscal_tax_delta = max(0, target_tax - baseline_tax); reduction = abs(price_elasticity) * implied_price_change</t>
  </si>
  <si>
    <t xml:space="preserve">M06</t>
  </si>
  <si>
    <t xml:space="preserve">Tax-share tax</t>
  </si>
  <si>
    <t xml:space="preserve">tobacco excise share: implied_price_change = (1 - baseline_share)/(1 - target_share) - 1</t>
  </si>
  <si>
    <t xml:space="preserve">M07</t>
  </si>
  <si>
    <t xml:space="preserve">Prevalence-shift RR effect</t>
  </si>
  <si>
    <t xml:space="preserve">effect = 1 - (1 + pt*(RR-1)) / (1 + p0*(RR-1))   [tobacco smoking prevalence shift]</t>
  </si>
  <si>
    <t xml:space="preserve">M08</t>
  </si>
  <si>
    <t xml:space="preserve">Log-linear RR effect</t>
  </si>
  <si>
    <t xml:space="preserve">effect = 1 - 1/(RR^(p0-pt))   [alcohol, sodium, SSB, and DEFAULT industrial-TFA path: RR per 1 percentage-point energy, e.g. RR_TFA_IHD_1PCT=1.10 ~ sqrt(1.21)]</t>
  </si>
  <si>
    <t xml:space="preserve">M09</t>
  </si>
  <si>
    <t xml:space="preserve">TFA effect method (RR default / PAF optional)</t>
  </si>
  <si>
    <t xml:space="preserve">RR (default): log-linear RR per unit reduction, no PAF required. PAF (optional, tfa_effect_method=PAF): effect = optional_PAF * implementation_gap</t>
  </si>
  <si>
    <t xml:space="preserve">M10</t>
  </si>
  <si>
    <t xml:space="preserve">Effect lag</t>
  </si>
  <si>
    <t xml:space="preserve">immediate: effect tracks exposure path; delayed_exponential: full_effect * (1-(1-rate)^(years since start))</t>
  </si>
  <si>
    <t xml:space="preserve">M11</t>
  </si>
  <si>
    <t xml:space="preserve">Incidence application</t>
  </si>
  <si>
    <t xml:space="preserve">cause-specific incidence x (1 - effect_t); multiple policies combine multiplicatively on the surviving fraction</t>
  </si>
  <si>
    <t xml:space="preserve">M12</t>
  </si>
  <si>
    <t xml:space="preserve">Policy implementation fraction</t>
  </si>
  <si>
    <t xml:space="preserve">implementation_fraction(t) = min(max((t - policy_start_year + 1)/policy_cost_ramp_years, 0), 1)</t>
  </si>
  <si>
    <t xml:space="preserve">M13</t>
  </si>
  <si>
    <t xml:space="preserve">Annual policy cost</t>
  </si>
  <si>
    <t xml:space="preserve">annual_cost = population(t) * PIN_fraction * implementation_fraction(t) * frequency * unit_cost</t>
  </si>
  <si>
    <t xml:space="preserve">M14</t>
  </si>
  <si>
    <t xml:space="preserve">Shared cost</t>
  </si>
  <si>
    <t xml:space="preserve">shared-count-once costs counted once per intervention &amp; scenario-year, never once per affected cause</t>
  </si>
  <si>
    <t xml:space="preserve">M15</t>
  </si>
  <si>
    <t xml:space="preserve">Child cost allocation</t>
  </si>
  <si>
    <t xml:space="preserve">child cost = package_total_cost_per_capita * cost_allocation_share (shares sum to 1 within a package)</t>
  </si>
  <si>
    <t xml:space="preserve">M16</t>
  </si>
  <si>
    <t xml:space="preserve">Parent package cost</t>
  </si>
  <si>
    <t xml:space="preserve">parent package cost = sum of selected child costs; the parent_reference cost row (selected_for_base_case=0) is NOT charged</t>
  </si>
  <si>
    <t xml:space="preserve">M17</t>
  </si>
  <si>
    <t xml:space="preserve">Package health outcomes</t>
  </si>
  <si>
    <t xml:space="preserve">parent-package cases/deaths come from ONE joint scenario run with all children applied together; never sum standalone child outcomes</t>
  </si>
  <si>
    <t xml:space="preserve">M18</t>
  </si>
  <si>
    <t xml:space="preserve">Discounting</t>
  </si>
  <si>
    <t xml:space="preserve">discount_factor(t) = 1/(1+cost_discount_rate)^(t - analysis_start_year); costs discounted, deaths undiscounted</t>
  </si>
  <si>
    <t xml:space="preserve">M19</t>
  </si>
  <si>
    <t xml:space="preserve">USD per death (or case) averted = cumulative discounted incremental cost / cumulative averted; blank + 'no incremental health effect' when nothing averted</t>
  </si>
  <si>
    <t xml:space="preserve">REF</t>
  </si>
  <si>
    <t xml:space="preserve">TFA source RR</t>
  </si>
  <si>
    <t xml:space="preserve">~RR 1.21 per 2 percentage-points energy (converted to ~1.10 per 1 pp in the workbook)</t>
  </si>
  <si>
    <t xml:space="preserve">https://www.ahajournals.org/doi/10.1161/CIRCULATIONAHA.118.038160</t>
  </si>
  <si>
    <t xml:space="preserve">supporting cohort evidence</t>
  </si>
  <si>
    <t xml:space="preserve">https://www.ahajournals.org/doi/10.1161/JAHA.115.002891</t>
  </si>
  <si>
    <t xml:space="preserve">output_sheet</t>
  </si>
  <si>
    <t xml:space="preserve">formula_columns</t>
  </si>
  <si>
    <t xml:space="preserve">depends_on</t>
  </si>
  <si>
    <t xml:space="preserve">calculation</t>
  </si>
  <si>
    <t xml:space="preserve">Policy_Levers</t>
  </si>
  <si>
    <t xml:space="preserve">implementation_gap,implied_price_change,fiscal_tax_delta,policy_reduction</t>
  </si>
  <si>
    <t xml:space="preserve">lever_method + fiscal/regulatory inputs</t>
  </si>
  <si>
    <t xml:space="preserve">Regulatory gap, tax price change/delta, reproduced relative exposure reduction</t>
  </si>
  <si>
    <t xml:space="preserve">Selected_Interventions</t>
  </si>
  <si>
    <t xml:space="preserve">full_effect,reductions,key_count,status</t>
  </si>
  <si>
    <t xml:space="preserve">effect_model + exposures</t>
  </si>
  <si>
    <t xml:space="preserve">Full effect at target; exposure reductions; key uniqueness</t>
  </si>
  <si>
    <t xml:space="preserve">Exposure_Targets</t>
  </si>
  <si>
    <t xml:space="preserve">target,abs,rel</t>
  </si>
  <si>
    <t xml:space="preserve">baseline/method/reduction</t>
  </si>
  <si>
    <t xml:space="preserve">Exposure target and absolute/relative reductions</t>
  </si>
  <si>
    <t xml:space="preserve">Effect_Parameters</t>
  </si>
  <si>
    <t xml:space="preserve">full_effect</t>
  </si>
  <si>
    <t xml:space="preserve">Full effect at target</t>
  </si>
  <si>
    <t xml:space="preserve">Cost_Components</t>
  </si>
  <si>
    <t xml:space="preserve">allocated_child_cost,cost_ready</t>
  </si>
  <si>
    <t xml:space="preserve">cost inputs + allocation shares</t>
  </si>
  <si>
    <t xml:space="preserve">Child cost = package total x share; cost-readiness rule</t>
  </si>
  <si>
    <t xml:space="preserve">Annual_Mortality</t>
  </si>
  <si>
    <t xml:space="preserve">deaths_averted,cases_averted</t>
  </si>
  <si>
    <t xml:space="preserve">R deaths/cases</t>
  </si>
  <si>
    <t xml:space="preserve">Deaths and cases averted</t>
  </si>
  <si>
    <t xml:space="preserve">Annual_Cost</t>
  </si>
  <si>
    <t xml:space="preserve">impl_frac,PIN,annual+disc cost,shared QA</t>
  </si>
  <si>
    <t xml:space="preserve">Cost_Components; Calculation_Assumptions; R population</t>
  </si>
  <si>
    <t xml:space="preserve">Implementation fraction, PIN, annual/discounted cost, shared-cost QA</t>
  </si>
  <si>
    <t xml:space="preserve">Budget_Impact</t>
  </si>
  <si>
    <t xml:space="preserve">incremental+cumulative cost</t>
  </si>
  <si>
    <t xml:space="preserve">Annual and cumulative cost by scenario</t>
  </si>
  <si>
    <t xml:space="preserve">Cost_Effectiveness</t>
  </si>
  <si>
    <t xml:space="preserve">health,cost,ICER,dominance,reconciliation</t>
  </si>
  <si>
    <t xml:space="preserve">Annual_Mortality; Budget_Impact; Calculation_Assumptions</t>
  </si>
  <si>
    <t xml:space="preserve">Cumulative health, cost, cost/death, dominance, reconciliation</t>
  </si>
  <si>
    <t xml:space="preserve">Child_Intervention_Summary</t>
  </si>
  <si>
    <t xml:space="preserve">modeled/baseline/averted,cost,ICER</t>
  </si>
  <si>
    <t xml:space="preserve">Annual_Mortality; Budget_Impact (standalone scenarios)</t>
  </si>
  <si>
    <t xml:space="preserve">Per child intervention: health, cost, cost per case/death averted, status</t>
  </si>
  <si>
    <t xml:space="preserve">Parent_Package_Summary</t>
  </si>
  <si>
    <t xml:space="preserve">Annual_Mortality; Budget_Impact (JOINT package/combined runs)</t>
  </si>
  <si>
    <t xml:space="preserve">Per parent package (joint run) + combined: health, cost, cost per case/death averted</t>
  </si>
  <si>
    <t xml:space="preserve">QA_Checks</t>
  </si>
  <si>
    <t xml:space="preserve">actual,status</t>
  </si>
  <si>
    <t xml:space="preserve">calculation + diagnostic sheets</t>
  </si>
  <si>
    <t xml:space="preserve">Invariant recomputation and Excel-vs-R reconciliation</t>
  </si>
  <si>
    <t xml:space="preserve">Run_Metadata</t>
  </si>
  <si>
    <t xml:space="preserve">B (subset)</t>
  </si>
  <si>
    <t xml:space="preserve">Calculation_Assumptions</t>
  </si>
  <si>
    <t xml:space="preserve">Metadata pulled from controls</t>
  </si>
  <si>
    <t xml:space="preserve">parent_scenario_id</t>
  </si>
  <si>
    <t xml:space="preserve">parent_scenario_name</t>
  </si>
  <si>
    <t xml:space="preserve">package_group</t>
  </si>
  <si>
    <t xml:space="preserve">include_in_parent_scenario</t>
  </si>
  <si>
    <t xml:space="preserve">standalone_scenario_id</t>
  </si>
  <si>
    <t xml:space="preserve">parent_aggregation_rule</t>
  </si>
  <si>
    <t xml:space="preserve">outcome_reporting_rule</t>
  </si>
  <si>
    <t xml:space="preserve">cost_reporting_rule</t>
  </si>
  <si>
    <t xml:space="preserve">component_order</t>
  </si>
  <si>
    <t xml:space="preserve">source_note</t>
  </si>
  <si>
    <t xml:space="preserve">is_runnable</t>
  </si>
  <si>
    <t xml:space="preserve">is_parent_package</t>
  </si>
  <si>
    <t xml:space="preserve">Tobacco</t>
  </si>
  <si>
    <t xml:space="preserve">single intervention</t>
  </si>
  <si>
    <t xml:space="preserve">report intervention</t>
  </si>
  <si>
    <t xml:space="preserve">report intervention cost</t>
  </si>
  <si>
    <t xml:space="preserve">Fiscal</t>
  </si>
  <si>
    <t xml:space="preserve">Alcohol</t>
  </si>
  <si>
    <t xml:space="preserve">run children jointly</t>
  </si>
  <si>
    <t xml:space="preserve">report child and parent</t>
  </si>
  <si>
    <t xml:space="preserve">sum child costs; rerun health jointly</t>
  </si>
  <si>
    <t xml:space="preserve">MPOWER</t>
  </si>
  <si>
    <t xml:space="preserve">Alcohol advertising policy</t>
  </si>
  <si>
    <t xml:space="preserve">Alcohol policy</t>
  </si>
  <si>
    <t xml:space="preserve">Diet</t>
  </si>
  <si>
    <t xml:space="preserve">SHAKE</t>
  </si>
  <si>
    <t xml:space="preserve">Industrial TFA regulation</t>
  </si>
  <si>
    <t xml:space="preserve">REPLACE</t>
  </si>
  <si>
    <t xml:space="preserve">SSB tax</t>
  </si>
  <si>
    <t xml:space="preserve">response_key</t>
  </si>
  <si>
    <t xml:space="preserve">selection_status</t>
  </si>
  <si>
    <t xml:space="preserve">response_name</t>
  </si>
  <si>
    <t xml:space="preserve">age_start</t>
  </si>
  <si>
    <t xml:space="preserve">age_stop</t>
  </si>
  <si>
    <t xml:space="preserve">sex</t>
  </si>
  <si>
    <t xml:space="preserve">cause_scope</t>
  </si>
  <si>
    <t xml:space="preserve">source_effect_value</t>
  </si>
  <si>
    <t xml:space="preserve">source_effect_unit</t>
  </si>
  <si>
    <t xml:space="preserve">model_response_value</t>
  </si>
  <si>
    <t xml:space="preserve">model_response_unit</t>
  </si>
  <si>
    <t xml:space="preserve">derivation</t>
  </si>
  <si>
    <t xml:space="preserve">selected_for_base_case</t>
  </si>
  <si>
    <t xml:space="preserve">RR_SMOKING_IHD</t>
  </si>
  <si>
    <t xml:space="preserve">Selected</t>
  </si>
  <si>
    <t xml:space="preserve">Current smoking RR - IHD</t>
  </si>
  <si>
    <t xml:space="preserve">Both</t>
  </si>
  <si>
    <t xml:space="preserve">IHD</t>
  </si>
  <si>
    <t xml:space="preserve">RR current vs non-smoker</t>
  </si>
  <si>
    <t xml:space="preserve">model RR = source RR</t>
  </si>
  <si>
    <t xml:space="preserve">https://doi.org/10.1093/ije/dyi104</t>
  </si>
  <si>
    <t xml:space="preserve">Applied to incidence</t>
  </si>
  <si>
    <t xml:space="preserve">RR_SMOKING_IS</t>
  </si>
  <si>
    <t xml:space="preserve">Current smoking RR - ischemic stroke</t>
  </si>
  <si>
    <t xml:space="preserve">Ischemic stroke</t>
  </si>
  <si>
    <t xml:space="preserve">Direct estimate</t>
  </si>
  <si>
    <t xml:space="preserve">RR_SMOKING_ICH</t>
  </si>
  <si>
    <t xml:space="preserve">Current smoking RR - ICH</t>
  </si>
  <si>
    <t xml:space="preserve">ICH</t>
  </si>
  <si>
    <t xml:space="preserve">Hemorrhagic-stroke estimate</t>
  </si>
  <si>
    <t xml:space="preserve">RR_SMOKING_T2DM</t>
  </si>
  <si>
    <t xml:space="preserve">Current smoking RR - T2DM</t>
  </si>
  <si>
    <t xml:space="preserve">T2DM</t>
  </si>
  <si>
    <t xml:space="preserve">https://doi.org/10.1016/S2213-8587(15)00316-2</t>
  </si>
  <si>
    <t xml:space="preserve">Timing sensitivity</t>
  </si>
  <si>
    <t xml:space="preserve">RR_ALCOHOL_IHD_1L</t>
  </si>
  <si>
    <t xml:space="preserve">Alcohol dose response - IHD</t>
  </si>
  <si>
    <t xml:space="preserve">HR per 100 g/week</t>
  </si>
  <si>
    <t xml:space="preserve">converted using 789 g/L and 52 weeks/year</t>
  </si>
  <si>
    <t xml:space="preserve">https://doi.org/10.1016/S0140-6736(18)30134-X</t>
  </si>
  <si>
    <t xml:space="preserve">Conservative proxy</t>
  </si>
  <si>
    <t xml:space="preserve">RR_ALCOHOL_IS_1L</t>
  </si>
  <si>
    <t xml:space="preserve">Alcohol dose response - ischemic stroke</t>
  </si>
  <si>
    <t xml:space="preserve">All-stroke proxy</t>
  </si>
  <si>
    <t xml:space="preserve">RR_ALCOHOL_ICH_1L</t>
  </si>
  <si>
    <t xml:space="preserve">Alcohol dose response - ICH</t>
  </si>
  <si>
    <t xml:space="preserve">RR_ALCOHOL_HHD_1L</t>
  </si>
  <si>
    <t xml:space="preserve">Alcohol dose response - HHD</t>
  </si>
  <si>
    <t xml:space="preserve">HHD</t>
  </si>
  <si>
    <t xml:space="preserve">Fatal hypertensive disease</t>
  </si>
  <si>
    <t xml:space="preserve">RR_ALCOHOL_CMYO_1L</t>
  </si>
  <si>
    <t xml:space="preserve">Alcohol dose response - cardiomyopathy</t>
  </si>
  <si>
    <t xml:space="preserve">Cardiomyopathy</t>
  </si>
  <si>
    <t xml:space="preserve">Heart-failure proxy</t>
  </si>
  <si>
    <t xml:space="preserve">LAG_TOB_CVD</t>
  </si>
  <si>
    <t xml:space="preserve">Tobacco-CVD effect realization</t>
  </si>
  <si>
    <t xml:space="preserve">C_IHD|C_IS|C_ICH</t>
  </si>
  <si>
    <t xml:space="preserve">CVD</t>
  </si>
  <si>
    <t xml:space="preserve">fraction by year 10</t>
  </si>
  <si>
    <t xml:space="preserve">annual remaining effect</t>
  </si>
  <si>
    <t xml:space="preserve">1-(1-0.47)^(1/10)</t>
  </si>
  <si>
    <t xml:space="preserve">Watkins 2022; https://doi.org/10.1001/jama.2019.10298</t>
  </si>
  <si>
    <t xml:space="preserve">Countdown lag</t>
  </si>
  <si>
    <t xml:space="preserve">LAG_TOB_T2DM_PROXY</t>
  </si>
  <si>
    <t xml:space="preserve">Tobacco-T2DM effect realization</t>
  </si>
  <si>
    <t xml:space="preserve">proxy fraction by year 10</t>
  </si>
  <si>
    <t xml:space="preserve">uses CVD lag</t>
  </si>
  <si>
    <t xml:space="preserve">Pan 2015; Watkins 2022</t>
  </si>
  <si>
    <t xml:space="preserve">Proxy</t>
  </si>
  <si>
    <t xml:space="preserve">RR_SODIUM_1G</t>
  </si>
  <si>
    <t xml:space="preserve">Direct sodium-CVD response</t>
  </si>
  <si>
    <t xml:space="preserve">C_IHD|C_IS|C_ICH|C_HHD</t>
  </si>
  <si>
    <t xml:space="preserve">Watkins 2022 p 33</t>
  </si>
  <si>
    <t xml:space="preserve">Countdown pathway</t>
  </si>
  <si>
    <t xml:space="preserve">RR_TFA_IHD_1PCT</t>
  </si>
  <si>
    <t xml:space="preserve">Industrial TFA RR - total IHD</t>
  </si>
  <si>
    <t xml:space="preserve">RR per 2 percentage-points energy/day</t>
  </si>
  <si>
    <t xml:space="preserve">sqrt(source RR) under log-linearity</t>
  </si>
  <si>
    <t xml:space="preserve">https://www.ahajournals.org/doi/10.1161/CIRCULATIONAHA.118.038160; https://www.ahajournals.org/doi/10.1161/JAHA.115.002891</t>
  </si>
  <si>
    <t xml:space="preserve">sqrt(1.21)=1.10 approximately</t>
  </si>
  <si>
    <t xml:space="preserve">PAF_TFA_IHD_OPTIONAL</t>
  </si>
  <si>
    <t xml:space="preserve">Optional</t>
  </si>
  <si>
    <t xml:space="preserve">Optional TFA-attributable IHD fraction</t>
  </si>
  <si>
    <t xml:space="preserve">links to Assumptions</t>
  </si>
  <si>
    <t xml:space="preserve">Optional user input</t>
  </si>
  <si>
    <t xml:space="preserve">Used only in PAF mode</t>
  </si>
  <si>
    <t xml:space="preserve">TFA_SCORE_0</t>
  </si>
  <si>
    <t xml:space="preserve">Reference</t>
  </si>
  <si>
    <t xml:space="preserve">Legacy WHO score 0</t>
  </si>
  <si>
    <t xml:space="preserve">TFA-attributable IHD</t>
  </si>
  <si>
    <t xml:space="preserve">proportion reduced</t>
  </si>
  <si>
    <t xml:space="preserve">legacy only</t>
  </si>
  <si>
    <t xml:space="preserve">Watkins 2022 pp 33-34</t>
  </si>
  <si>
    <t xml:space="preserve">Not used by default</t>
  </si>
  <si>
    <t xml:space="preserve">TFA_SCORE_1</t>
  </si>
  <si>
    <t xml:space="preserve">Legacy WHO score 1</t>
  </si>
  <si>
    <t xml:space="preserve">TFA_SCORE_2</t>
  </si>
  <si>
    <t xml:space="preserve">Legacy WHO score 2</t>
  </si>
  <si>
    <t xml:space="preserve">TFA_SCORE_3</t>
  </si>
  <si>
    <t xml:space="preserve">Legacy WHO score 3</t>
  </si>
  <si>
    <t xml:space="preserve">TFA_SCORE_4</t>
  </si>
  <si>
    <t xml:space="preserve">Legacy WHO score 4</t>
  </si>
  <si>
    <t xml:space="preserve">RR_SSB_IHD_1SERV</t>
  </si>
  <si>
    <t xml:space="preserve">SSB direct RR - IHD</t>
  </si>
  <si>
    <t xml:space="preserve">RR per serving/day</t>
  </si>
  <si>
    <t xml:space="preserve">direct RR</t>
  </si>
  <si>
    <t xml:space="preserve">https://doi.org/10.1038/s41591-024-03345-4</t>
  </si>
  <si>
    <t xml:space="preserve">Primary</t>
  </si>
  <si>
    <t xml:space="preserve">RR_SSB_IS_1SERV</t>
  </si>
  <si>
    <t xml:space="preserve">SSB direct RR - ischemic stroke</t>
  </si>
  <si>
    <t xml:space="preserve">RR_SSB_ICH_1SERV_PROXY</t>
  </si>
  <si>
    <t xml:space="preserve">SSB RR - ICH proxy</t>
  </si>
  <si>
    <t xml:space="preserve">HR per 250 mL/day</t>
  </si>
  <si>
    <t xml:space="preserve">total-stroke proxy</t>
  </si>
  <si>
    <t xml:space="preserve">https://doi.org/10.1016/j.advnut.2022.12.002</t>
  </si>
  <si>
    <t xml:space="preserve">RR_SSB_HHD_1SERV_PROXY</t>
  </si>
  <si>
    <t xml:space="preserve">SSB RR - HHD proxy</t>
  </si>
  <si>
    <t xml:space="preserve">RR per 250 mL/day</t>
  </si>
  <si>
    <t xml:space="preserve">hypertension proxy</t>
  </si>
  <si>
    <t xml:space="preserve">https://doi.org/10.1007/s10654-020-00655-y</t>
  </si>
  <si>
    <t xml:space="preserve">RR_SSB_T2DM_1SERV</t>
  </si>
  <si>
    <t xml:space="preserve">SSB direct RR - T2DM</t>
  </si>
  <si>
    <t xml:space="preserve">PAF_SSB_IDN_T2DM_INC_2020</t>
  </si>
  <si>
    <t xml:space="preserve">Indonesia T2DM incidence PAF</t>
  </si>
  <si>
    <t xml:space="preserve">T2DM incidence</t>
  </si>
  <si>
    <t xml:space="preserve">fraction</t>
  </si>
  <si>
    <t xml:space="preserve">CRA</t>
  </si>
  <si>
    <t xml:space="preserve">Validation</t>
  </si>
  <si>
    <t xml:space="preserve">PAF_SSB_IDN_CVD_INC_2020</t>
  </si>
  <si>
    <t xml:space="preserve">Indonesia CVD incidence PAF</t>
  </si>
  <si>
    <t xml:space="preserve">C_IHD|C_IS</t>
  </si>
  <si>
    <t xml:space="preserve">CVD incidence</t>
  </si>
  <si>
    <t xml:space="preserve">PAF_SSB_IDN_T2DM_DEATH_2020</t>
  </si>
  <si>
    <t xml:space="preserve">Indonesia T2DM death PAF</t>
  </si>
  <si>
    <t xml:space="preserve">T2DM deaths</t>
  </si>
  <si>
    <t xml:space="preserve">PAF_SSB_IDN_CVD_DEATH_2020</t>
  </si>
  <si>
    <t xml:space="preserve">Indonesia CVD death PAF</t>
  </si>
  <si>
    <t xml:space="preserve">CVD deaths</t>
  </si>
  <si>
    <t xml:space="preserve">scenario_level</t>
  </si>
  <si>
    <t xml:space="preserve">parent_package_name</t>
  </si>
  <si>
    <t xml:space="preserve">intervention_ids</t>
  </si>
  <si>
    <t xml:space="preserve">modeled_cases</t>
  </si>
  <si>
    <t xml:space="preserve">baseline_cases</t>
  </si>
  <si>
    <t xml:space="preserve">modeled_deaths</t>
  </si>
  <si>
    <t xml:space="preserve">baseline_deaths</t>
  </si>
  <si>
    <t xml:space="preserve">cost_per_case_averted</t>
  </si>
  <si>
    <t xml:space="preserve">package</t>
  </si>
  <si>
    <t xml:space="preserve">I_PH_TOB_CLEAN_AIR; I_PH_TOB_MEDIA; I_PH_TOB_AD_BAN</t>
  </si>
  <si>
    <t xml:space="preserve">I_PH_SALT_REFORM; I_PH_SALT_FOPL; I_PH_SALT_MEDIA; I_PH_SALT_ENV</t>
  </si>
  <si>
    <t xml:space="preserve">combined</t>
  </si>
  <si>
    <t xml:space="preserve">I_PH_ALCOHOL_POLICY; I_PH_ALCOHOL_TAX; I_PH_SALT_ENV; I_PH_SALT_FOPL; I_PH_SALT_MEDIA; I_PH_SALT_REFORM; I_PH_SSB_TAX; I_PH_TFA_POLICY; I_PH_TOBACCO_TAX; I_PH_TOB_AD_BAN; I_PH_TOB_CLEAN_AIR; I_PH_TOB_MEDIA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</si>
</sst>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1">
    <numFmt numFmtId="166" formatCode="0"/>
    <numFmt numFmtId="167" formatCode="0"/>
    <numFmt numFmtId="168" formatCode="0"/>
    <numFmt numFmtId="169" formatCode="0"/>
    <numFmt numFmtId="170" formatCode="0.0"/>
    <numFmt numFmtId="171" formatCode="0.0%"/>
    <numFmt numFmtId="172" formatCode="0"/>
    <numFmt numFmtId="173" formatCode="0"/>
    <numFmt numFmtId="174" formatCode="0.000"/>
    <numFmt numFmtId="175" formatCode="0.000"/>
    <numFmt numFmtId="176" formatCode="#,##0"/>
    <numFmt numFmtId="177" formatCode="#,##0"/>
    <numFmt numFmtId="178" formatCode="#,##0.0"/>
    <numFmt numFmtId="179" formatCode="0"/>
    <numFmt numFmtId="180" formatCode="#,##0"/>
    <numFmt numFmtId="181" formatCode="#,##0"/>
    <numFmt numFmtId="182" formatCode="#,##0.00"/>
    <numFmt numFmtId="183" formatCode="0.0%"/>
    <numFmt numFmtId="184" formatCode="0.0000"/>
    <numFmt numFmtId="185" formatCode="0.0000"/>
    <numFmt numFmtId="186" formatCode="0.0000"/>
    <numFmt numFmtId="187" formatCode="0.0000"/>
    <numFmt numFmtId="188" formatCode="0.0000"/>
    <numFmt numFmtId="189" formatCode="0"/>
    <numFmt numFmtId="190" formatCode="0"/>
    <numFmt numFmtId="191" formatCode="0.0000"/>
    <numFmt numFmtId="192" formatCode="0.0000"/>
    <numFmt numFmtId="193" formatCode="0.0000"/>
    <numFmt numFmtId="194" formatCode="#,##0"/>
    <numFmt numFmtId="195" formatCode="#,##0"/>
    <numFmt numFmtId="196" formatCode="0.0000"/>
    <numFmt numFmtId="197" formatCode="0.0000"/>
    <numFmt numFmtId="198" formatCode="0.0000"/>
    <numFmt numFmtId="199" formatCode="0.0000"/>
    <numFmt numFmtId="200" formatCode="0.0000"/>
    <numFmt numFmtId="201" formatCode="0.0000"/>
    <numFmt numFmtId="202" formatCode="0.0000"/>
    <numFmt numFmtId="203" formatCode="0.0000"/>
    <numFmt numFmtId="204" formatCode="0.0000"/>
    <numFmt numFmtId="205" formatCode="0.0000"/>
    <numFmt numFmtId="206" formatCode="0.0000"/>
    <numFmt numFmtId="207" formatCode="0.0000"/>
    <numFmt numFmtId="208" formatCode="0.0000"/>
    <numFmt numFmtId="209" formatCode="0"/>
    <numFmt numFmtId="210" formatCode="0"/>
    <numFmt numFmtId="211" formatCode="0.0000"/>
    <numFmt numFmtId="212" formatCode="0.0000"/>
    <numFmt numFmtId="213" formatCode="0.0000"/>
    <numFmt numFmtId="214" formatCode="0.0000"/>
    <numFmt numFmtId="215" formatCode="0.0000"/>
    <numFmt numFmtId="216" formatCode="0.0000"/>
    <numFmt numFmtId="217" formatCode="#,##0"/>
    <numFmt numFmtId="218" formatCode="#,##0"/>
    <numFmt numFmtId="219" formatCode="#,##0"/>
    <numFmt numFmtId="220" formatCode="#,##0"/>
    <numFmt numFmtId="222" formatCode="#,##0"/>
    <numFmt numFmtId="223" formatCode="0.0%"/>
    <numFmt numFmtId="224" formatCode="0.00"/>
    <numFmt numFmtId="225" formatCode="#,##0.0000"/>
    <numFmt numFmtId="226" formatCode="0.000"/>
    <numFmt numFmtId="227" formatCode="#,##0.0000"/>
    <numFmt numFmtId="228" formatCode="#,##0.0000"/>
    <numFmt numFmtId="229" formatCode="0"/>
    <numFmt numFmtId="230" formatCode="#,##0"/>
    <numFmt numFmtId="221" formatCode="#,##0"/>
    <numFmt numFmtId="231" formatCode="0"/>
    <numFmt numFmtId="232" formatCode="#,##0"/>
    <numFmt numFmtId="233" formatCode="#,##0"/>
    <numFmt numFmtId="234" formatCode="#,##0"/>
    <numFmt numFmtId="235" formatCode="#,##0"/>
    <numFmt numFmtId="236" formatCode="#,##0"/>
    <numFmt numFmtId="237" formatCode="#,##0"/>
    <numFmt numFmtId="238" formatCode="0"/>
    <numFmt numFmtId="239" formatCode="#,##0"/>
    <numFmt numFmtId="240" formatCode="#,##0"/>
    <numFmt numFmtId="241" formatCode="#,##0"/>
    <numFmt numFmtId="242" formatCode="#,##0"/>
    <numFmt numFmtId="243" formatCode="#,##0"/>
    <numFmt numFmtId="244" formatCode="0.0%"/>
    <numFmt numFmtId="245" formatCode="0.00"/>
    <numFmt numFmtId="246" formatCode="#,##0.0000"/>
    <numFmt numFmtId="247" formatCode="#,##0"/>
    <numFmt numFmtId="248" formatCode="#,##0"/>
    <numFmt numFmtId="249" formatCode="0.000"/>
    <numFmt numFmtId="250" formatCode="#,##0"/>
    <numFmt numFmtId="251" formatCode="#,##0"/>
    <numFmt numFmtId="252" formatCode="#,##0"/>
    <numFmt numFmtId="253" formatCode="#,##0"/>
    <numFmt numFmtId="254" formatCode="#,##0"/>
    <numFmt numFmtId="255" formatCode="0.000"/>
    <numFmt numFmtId="256" formatCode="#,##0"/>
    <numFmt numFmtId="257" formatCode="#,##0"/>
    <numFmt numFmtId="258" formatCode="#,##0"/>
    <numFmt numFmtId="259" formatCode="0"/>
    <numFmt numFmtId="260" formatCode="#,##0"/>
    <numFmt numFmtId="261" formatCode="0"/>
    <numFmt numFmtId="262" formatCode="#,##0"/>
    <numFmt numFmtId="263" formatCode="#,##0"/>
    <numFmt numFmtId="264" formatCode="#,##0"/>
    <numFmt numFmtId="265" formatCode="#,##0"/>
    <numFmt numFmtId="266" formatCode="#,##0"/>
    <numFmt numFmtId="267" formatCode="#,##0"/>
    <numFmt numFmtId="268" formatCode="#,##0"/>
    <numFmt numFmtId="269" formatCode="#,##0"/>
    <numFmt numFmtId="270" formatCode="#,##0"/>
    <numFmt numFmtId="271" formatCode="#,##0"/>
    <numFmt numFmtId="272" formatCode="#,##0"/>
    <numFmt numFmtId="273" formatCode="#,##0"/>
    <numFmt numFmtId="274" formatCode="0.0000"/>
    <numFmt numFmtId="275" formatCode="0.0000"/>
    <numFmt numFmtId="276" formatCode="#,##0"/>
    <numFmt numFmtId="277" formatCode="#,##0"/>
    <numFmt numFmtId="278" formatCode="#,##0"/>
    <numFmt numFmtId="279" formatCode="#,##0"/>
    <numFmt numFmtId="280" formatCode="#,##0"/>
    <numFmt numFmtId="281" formatCode="#,##0"/>
    <numFmt numFmtId="282" formatCode="#,##0"/>
    <numFmt numFmtId="283" formatCode="#,##0"/>
    <numFmt numFmtId="284" formatCode="#,##0"/>
    <numFmt numFmtId="285" formatCode="#,##0"/>
    <numFmt numFmtId="286" formatCode="#,##0"/>
    <numFmt numFmtId="287" formatCode="#,##0"/>
    <numFmt numFmtId="288" formatCode="#,##0"/>
    <numFmt numFmtId="289" formatCode="#,##0"/>
    <numFmt numFmtId="290" formatCode="#,##0"/>
    <numFmt numFmtId="291" formatCode="#,##0"/>
    <numFmt numFmtId="292" formatCode="#,##0"/>
    <numFmt numFmtId="293" formatCode="#,##0"/>
    <numFmt numFmtId="294" formatCode="#,##0"/>
    <numFmt numFmtId="295" formatCode="#,##0"/>
    <numFmt numFmtId="296" formatCode="#,##0"/>
  </numFmts>
  <fonts count="3">
    <font>
      <sz val="11"/>
      <color rgb="FF000000"/>
      <name val="Carlito"/>
    </font>
    <font>
      <sz val="11"/>
      <color rgb="FFFFFFFF"/>
      <name val="Carlito"/>
      <b/>
    </font>
    <font>
      <sz val="13"/>
      <color rgb="FFFFFFFF"/>
      <name val="Carlito"/>
      <b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</border>
  </borders>
  <cellStyleXfs count="1">
    <xf numFmtId="0" fontId="0" fillId="0" borderId="0"/>
  </cellStyleXfs>
  <cellXfs count="14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0" xfId="0" applyFont="1" applyFill="1"/>
    <xf numFmtId="0" fontId="0" fillId="4" borderId="0" xfId="0" applyFont="1" applyFill="1"/>
    <xf numFmtId="166" fontId="0" fillId="3" borderId="0" xfId="0" applyFont="1" applyNumberFormat="1" applyFill="1"/>
    <xf numFmtId="167" fontId="0" fillId="3" borderId="0" xfId="0" applyFont="1" applyNumberFormat="1" applyFill="1"/>
    <xf numFmtId="168" fontId="0" fillId="3" borderId="0" xfId="0" applyFont="1" applyNumberFormat="1" applyFill="1"/>
    <xf numFmtId="169" fontId="0" fillId="3" borderId="0" xfId="0" applyFont="1" applyNumberFormat="1" applyFill="1"/>
    <xf numFmtId="170" fontId="0" fillId="3" borderId="0" xfId="0" applyFont="1" applyNumberFormat="1" applyFill="1"/>
    <xf numFmtId="171" fontId="0" fillId="3" borderId="0" xfId="0" applyFont="1" applyNumberFormat="1" applyFill="1"/>
    <xf numFmtId="172" fontId="0" fillId="3" borderId="0" xfId="0" applyFont="1" applyNumberFormat="1" applyFill="1"/>
    <xf numFmtId="173" fontId="0" fillId="3" borderId="0" xfId="0" applyFont="1" applyNumberFormat="1" applyFill="1"/>
    <xf numFmtId="174" fontId="0" fillId="3" borderId="0" xfId="0" applyFont="1" applyNumberFormat="1" applyFill="1"/>
    <xf numFmtId="175" fontId="0" fillId="3" borderId="0" xfId="0" applyFont="1" applyNumberFormat="1" applyFill="1"/>
    <xf numFmtId="176" fontId="0" fillId="3" borderId="0" xfId="0" applyFont="1" applyNumberFormat="1" applyFill="1"/>
    <xf numFmtId="177" fontId="0" fillId="4" borderId="0" xfId="0" applyFont="1" applyNumberFormat="1" applyFill="1"/>
    <xf numFmtId="178" fontId="0" fillId="4" borderId="0" xfId="0" applyFont="1" applyNumberFormat="1" applyFill="1"/>
    <xf numFmtId="179" fontId="0" fillId="4" borderId="0" xfId="0" applyFont="1" applyNumberFormat="1" applyFill="1"/>
    <xf numFmtId="180" fontId="0" fillId="4" borderId="0" xfId="0" applyFont="1" applyNumberFormat="1" applyFill="1"/>
    <xf numFmtId="181" fontId="0" fillId="4" borderId="0" xfId="0" applyFont="1" applyNumberFormat="1" applyFill="1"/>
    <xf numFmtId="182" fontId="0" fillId="4" borderId="0" xfId="0" applyFont="1" applyNumberFormat="1" applyFill="1"/>
    <xf numFmtId="0" fontId="0" fillId="0" borderId="0" xfId="0" applyFont="1" applyAlignment="1">
      <alignment vertical="top" wrapText="1"/>
    </xf>
    <xf numFmtId="0" fontId="2" fillId="2" borderId="0" xfId="0" applyFont="1" applyFill="1" applyAlignment="1">
      <alignment vertical="center"/>
    </xf>
    <xf numFmtId="0" fontId="0" fillId="5" borderId="0" xfId="0" applyFont="1" applyFill="1"/>
    <xf numFmtId="183" fontId="0" fillId="5" borderId="0" xfId="0" applyFont="1" applyNumberFormat="1" applyFill="1"/>
    <xf numFmtId="184" fontId="0" fillId="0" borderId="0" xfId="0" applyFont="1" applyNumberFormat="1"/>
    <xf numFmtId="185" fontId="0" fillId="0" borderId="0" xfId="0" applyFont="1" applyNumberFormat="1"/>
    <xf numFmtId="186" fontId="0" fillId="0" borderId="0" xfId="0" applyFont="1" applyNumberFormat="1"/>
    <xf numFmtId="187" fontId="0" fillId="0" borderId="0" xfId="0" applyFont="1" applyNumberFormat="1"/>
    <xf numFmtId="188" fontId="0" fillId="0" borderId="0" xfId="0" applyFont="1" applyNumberFormat="1"/>
    <xf numFmtId="189" fontId="0" fillId="0" borderId="0" xfId="0" applyFont="1" applyNumberFormat="1"/>
    <xf numFmtId="190" fontId="0" fillId="0" borderId="0" xfId="0" applyFont="1" applyNumberFormat="1"/>
    <xf numFmtId="191" fontId="0" fillId="5" borderId="0" xfId="0" applyFont="1" applyNumberFormat="1" applyFill="1"/>
    <xf numFmtId="192" fontId="0" fillId="5" borderId="0" xfId="0" applyFont="1" applyNumberFormat="1" applyFill="1"/>
    <xf numFmtId="193" fontId="0" fillId="5" borderId="0" xfId="0" applyFont="1" applyNumberFormat="1" applyFill="1"/>
    <xf numFmtId="194" fontId="0" fillId="0" borderId="0" xfId="0" applyFont="1" applyNumberFormat="1"/>
    <xf numFmtId="195" fontId="0" fillId="5" borderId="0" xfId="0" applyFont="1" applyNumberFormat="1" applyFill="1"/>
    <xf numFmtId="196" fontId="0" fillId="4" borderId="0" xfId="0" applyFont="1" applyNumberFormat="1" applyFill="1"/>
    <xf numFmtId="197" fontId="0" fillId="4" borderId="0" xfId="0" applyFont="1" applyNumberFormat="1" applyFill="1"/>
    <xf numFmtId="198" fontId="0" fillId="5" borderId="0" xfId="0" applyFont="1" applyNumberFormat="1" applyFill="1"/>
    <xf numFmtId="199" fontId="0" fillId="5" borderId="0" xfId="0" applyFont="1" applyNumberFormat="1" applyFill="1"/>
    <xf numFmtId="200" fontId="0" fillId="5" borderId="0" xfId="0" applyFont="1" applyNumberFormat="1" applyFill="1"/>
    <xf numFmtId="201" fontId="0" fillId="5" borderId="0" xfId="0" applyFont="1" applyNumberFormat="1" applyFill="1"/>
    <xf numFmtId="202" fontId="0" fillId="4" borderId="0" xfId="0" applyFont="1" applyNumberFormat="1" applyFill="1"/>
    <xf numFmtId="203" fontId="0" fillId="0" borderId="0" xfId="0" applyFont="1" applyNumberFormat="1"/>
    <xf numFmtId="204" fontId="0" fillId="0" borderId="0" xfId="0" applyFont="1" applyNumberFormat="1"/>
    <xf numFmtId="205" fontId="0" fillId="0" borderId="0" xfId="0" applyFont="1" applyNumberFormat="1"/>
    <xf numFmtId="206" fontId="0" fillId="5" borderId="0" xfId="0" applyFont="1" applyNumberFormat="1" applyFill="1"/>
    <xf numFmtId="207" fontId="0" fillId="5" borderId="0" xfId="0" applyFont="1" applyNumberFormat="1" applyFill="1"/>
    <xf numFmtId="208" fontId="0" fillId="5" borderId="0" xfId="0" applyFont="1" applyNumberFormat="1" applyFill="1"/>
    <xf numFmtId="209" fontId="0" fillId="0" borderId="0" xfId="0" applyFont="1" applyNumberFormat="1"/>
    <xf numFmtId="210" fontId="0" fillId="0" borderId="0" xfId="0" applyFont="1" applyNumberFormat="1"/>
    <xf numFmtId="211" fontId="0" fillId="0" borderId="0" xfId="0" applyFont="1" applyNumberFormat="1"/>
    <xf numFmtId="212" fontId="0" fillId="0" borderId="0" xfId="0" applyFont="1" applyNumberFormat="1"/>
    <xf numFmtId="213" fontId="0" fillId="0" borderId="0" xfId="0" applyFont="1" applyNumberFormat="1"/>
    <xf numFmtId="214" fontId="0" fillId="0" borderId="0" xfId="0" applyFont="1" applyNumberFormat="1"/>
    <xf numFmtId="215" fontId="0" fillId="0" borderId="0" xfId="0" applyFont="1" applyNumberFormat="1"/>
    <xf numFmtId="216" fontId="0" fillId="5" borderId="0" xfId="0" applyFont="1" applyNumberFormat="1" applyFill="1"/>
    <xf numFmtId="217" fontId="0" fillId="0" borderId="0" xfId="0" applyFont="1" applyNumberFormat="1"/>
    <xf numFmtId="218" fontId="0" fillId="0" borderId="0" xfId="0" applyFont="1" applyNumberFormat="1"/>
    <xf numFmtId="219" fontId="0" fillId="0" borderId="0" xfId="0" applyFont="1" applyNumberFormat="1"/>
    <xf numFmtId="220" fontId="0" fillId="0" borderId="0" xfId="0" applyFont="1" applyNumberFormat="1"/>
    <xf numFmtId="222" fontId="0" fillId="0" borderId="0" xfId="0" applyFont="1" applyNumberFormat="1"/>
    <xf numFmtId="223" fontId="0" fillId="0" borderId="0" xfId="0" applyFont="1" applyNumberFormat="1"/>
    <xf numFmtId="224" fontId="0" fillId="0" borderId="0" xfId="0" applyFont="1" applyNumberFormat="1"/>
    <xf numFmtId="225" fontId="0" fillId="0" borderId="0" xfId="0" applyFont="1" applyNumberFormat="1"/>
    <xf numFmtId="226" fontId="0" fillId="0" borderId="0" xfId="0" applyFont="1" applyNumberFormat="1"/>
    <xf numFmtId="227" fontId="0" fillId="0" borderId="0" xfId="0" applyFont="1" applyNumberFormat="1"/>
    <xf numFmtId="228" fontId="0" fillId="5" borderId="0" xfId="0" applyFont="1" applyNumberFormat="1" applyFill="1"/>
    <xf numFmtId="229" fontId="0" fillId="0" borderId="0" xfId="0" applyFont="1" applyNumberFormat="1"/>
    <xf numFmtId="230" fontId="0" fillId="5" borderId="0" xfId="0" applyFont="1" applyNumberFormat="1" applyFill="1"/>
    <xf numFmtId="221" fontId="0" fillId="0" borderId="0" xfId="0" applyFont="1" applyNumberFormat="1" applyAlignment="1">
      <alignment vertical="top" wrapText="1"/>
    </xf>
    <xf numFmtId="231" fontId="0" fillId="0" borderId="0" xfId="0" applyFont="1" applyNumberFormat="1"/>
    <xf numFmtId="232" fontId="0" fillId="4" borderId="0" xfId="0" applyFont="1" applyNumberFormat="1" applyFill="1"/>
    <xf numFmtId="233" fontId="0" fillId="4" borderId="0" xfId="0" applyFont="1" applyNumberFormat="1" applyFill="1"/>
    <xf numFmtId="234" fontId="0" fillId="4" borderId="0" xfId="0" applyFont="1" applyNumberFormat="1" applyFill="1"/>
    <xf numFmtId="235" fontId="0" fillId="4" borderId="0" xfId="0" applyFont="1" applyNumberFormat="1" applyFill="1"/>
    <xf numFmtId="236" fontId="0" fillId="5" borderId="0" xfId="0" applyFont="1" applyNumberFormat="1" applyFill="1"/>
    <xf numFmtId="237" fontId="0" fillId="5" borderId="0" xfId="0" applyFont="1" applyNumberFormat="1" applyFill="1"/>
    <xf numFmtId="238" fontId="0" fillId="0" borderId="0" xfId="0" applyFont="1" applyNumberFormat="1"/>
    <xf numFmtId="239" fontId="0" fillId="0" borderId="0" xfId="0" applyFont="1" applyNumberFormat="1"/>
    <xf numFmtId="240" fontId="0" fillId="0" borderId="0" xfId="0" applyFont="1" applyNumberFormat="1"/>
    <xf numFmtId="241" fontId="0" fillId="0" borderId="0" xfId="0" applyFont="1" applyNumberFormat="1"/>
    <xf numFmtId="242" fontId="0" fillId="0" borderId="0" xfId="0" applyFont="1" applyNumberFormat="1"/>
    <xf numFmtId="243" fontId="0" fillId="0" borderId="0" xfId="0" applyFont="1" applyNumberFormat="1"/>
    <xf numFmtId="244" fontId="0" fillId="4" borderId="0" xfId="0" applyFont="1" applyNumberFormat="1" applyFill="1"/>
    <xf numFmtId="245" fontId="0" fillId="4" borderId="0" xfId="0" applyFont="1" applyNumberFormat="1" applyFill="1"/>
    <xf numFmtId="246" fontId="0" fillId="4" borderId="0" xfId="0" applyFont="1" applyNumberFormat="1" applyFill="1"/>
    <xf numFmtId="247" fontId="0" fillId="4" borderId="0" xfId="0" applyFont="1" applyNumberFormat="1" applyFill="1"/>
    <xf numFmtId="248" fontId="0" fillId="4" borderId="0" xfId="0" applyFont="1" applyNumberFormat="1" applyFill="1"/>
    <xf numFmtId="249" fontId="0" fillId="5" borderId="0" xfId="0" applyFont="1" applyNumberFormat="1" applyFill="1"/>
    <xf numFmtId="250" fontId="0" fillId="5" borderId="0" xfId="0" applyFont="1" applyNumberFormat="1" applyFill="1"/>
    <xf numFmtId="251" fontId="0" fillId="5" borderId="0" xfId="0" applyFont="1" applyNumberFormat="1" applyFill="1"/>
    <xf numFmtId="252" fontId="0" fillId="5" borderId="0" xfId="0" applyFont="1" applyNumberFormat="1" applyFill="1"/>
    <xf numFmtId="253" fontId="0" fillId="5" borderId="0" xfId="0" applyFont="1" applyNumberFormat="1" applyFill="1"/>
    <xf numFmtId="254" fontId="0" fillId="5" borderId="0" xfId="0" applyFont="1" applyNumberFormat="1" applyFill="1"/>
    <xf numFmtId="255" fontId="0" fillId="5" borderId="0" xfId="0" applyFont="1" applyNumberFormat="1" applyFill="1"/>
    <xf numFmtId="256" fontId="0" fillId="5" borderId="0" xfId="0" applyFont="1" applyNumberFormat="1" applyFill="1"/>
    <xf numFmtId="257" fontId="0" fillId="5" borderId="0" xfId="0" applyFont="1" applyNumberFormat="1" applyFill="1"/>
    <xf numFmtId="258" fontId="0" fillId="5" borderId="0" xfId="0" applyFont="1" applyNumberFormat="1" applyFill="1"/>
    <xf numFmtId="259" fontId="0" fillId="0" borderId="0" xfId="0" applyFont="1" applyNumberFormat="1"/>
    <xf numFmtId="260" fontId="0" fillId="5" borderId="0" xfId="0" applyFont="1" applyNumberFormat="1" applyFill="1"/>
    <xf numFmtId="261" fontId="0" fillId="0" borderId="0" xfId="0" applyFont="1" applyNumberFormat="1"/>
    <xf numFmtId="262" fontId="0" fillId="5" borderId="0" xfId="0" applyFont="1" applyNumberFormat="1" applyFill="1"/>
    <xf numFmtId="263" fontId="0" fillId="5" borderId="0" xfId="0" applyFont="1" applyNumberFormat="1" applyFill="1"/>
    <xf numFmtId="264" fontId="0" fillId="5" borderId="0" xfId="0" applyFont="1" applyNumberFormat="1" applyFill="1"/>
    <xf numFmtId="265" fontId="0" fillId="5" borderId="0" xfId="0" applyFont="1" applyNumberFormat="1" applyFill="1"/>
    <xf numFmtId="266" fontId="0" fillId="5" borderId="0" xfId="0" applyFont="1" applyNumberFormat="1" applyFill="1"/>
    <xf numFmtId="267" fontId="0" fillId="5" borderId="0" xfId="0" applyFont="1" applyNumberFormat="1" applyFill="1"/>
    <xf numFmtId="268" fontId="0" fillId="5" borderId="0" xfId="0" applyFont="1" applyNumberFormat="1" applyFill="1"/>
    <xf numFmtId="269" fontId="0" fillId="5" borderId="0" xfId="0" applyFont="1" applyNumberFormat="1" applyFill="1"/>
    <xf numFmtId="270" fontId="0" fillId="5" borderId="0" xfId="0" applyFont="1" applyNumberFormat="1" applyFill="1"/>
    <xf numFmtId="271" fontId="0" fillId="5" borderId="0" xfId="0" applyFont="1" applyNumberFormat="1" applyFill="1"/>
    <xf numFmtId="272" fontId="0" fillId="5" borderId="0" xfId="0" applyFont="1" applyNumberFormat="1" applyFill="1"/>
    <xf numFmtId="0" fontId="0" fillId="5" borderId="0" xfId="0" applyFont="1" applyFill="1" applyAlignment="1">
      <alignment vertical="top" wrapText="1"/>
    </xf>
    <xf numFmtId="0" fontId="0" fillId="4" borderId="0" xfId="0" applyFont="1" applyFill="1" applyAlignment="1">
      <alignment vertical="top" wrapText="1"/>
    </xf>
    <xf numFmtId="273" fontId="0" fillId="4" borderId="0" xfId="0" applyFont="1" applyNumberFormat="1" applyFill="1" applyAlignment="1">
      <alignment vertical="top" wrapText="1"/>
    </xf>
    <xf numFmtId="274" fontId="0" fillId="4" borderId="0" xfId="0" applyFont="1" applyNumberFormat="1" applyFill="1"/>
    <xf numFmtId="275" fontId="0" fillId="4" borderId="0" xfId="0" applyFont="1" applyNumberFormat="1" applyFill="1"/>
    <xf numFmtId="276" fontId="0" fillId="4" borderId="0" xfId="0" applyFont="1" applyNumberFormat="1" applyFill="1"/>
    <xf numFmtId="277" fontId="0" fillId="5" borderId="0" xfId="0" applyFont="1" applyNumberFormat="1" applyFill="1"/>
    <xf numFmtId="278" fontId="0" fillId="5" borderId="0" xfId="0" applyFont="1" applyNumberFormat="1" applyFill="1"/>
    <xf numFmtId="279" fontId="0" fillId="5" borderId="0" xfId="0" applyFont="1" applyNumberFormat="1" applyFill="1"/>
    <xf numFmtId="280" fontId="0" fillId="5" borderId="0" xfId="0" applyFont="1" applyNumberFormat="1" applyFill="1"/>
    <xf numFmtId="281" fontId="0" fillId="5" borderId="0" xfId="0" applyFont="1" applyNumberFormat="1" applyFill="1"/>
    <xf numFmtId="282" fontId="0" fillId="5" borderId="0" xfId="0" applyFont="1" applyNumberFormat="1" applyFill="1"/>
    <xf numFmtId="283" fontId="0" fillId="5" borderId="0" xfId="0" applyFont="1" applyNumberFormat="1" applyFill="1"/>
    <xf numFmtId="284" fontId="0" fillId="5" borderId="0" xfId="0" applyFont="1" applyNumberFormat="1" applyFill="1"/>
    <xf numFmtId="285" fontId="0" fillId="5" borderId="0" xfId="0" applyFont="1" applyNumberFormat="1" applyFill="1"/>
    <xf numFmtId="286" fontId="0" fillId="5" borderId="0" xfId="0" applyFont="1" applyNumberFormat="1" applyFill="1"/>
    <xf numFmtId="287" fontId="0" fillId="5" borderId="0" xfId="0" applyFont="1" applyNumberFormat="1" applyFill="1"/>
    <xf numFmtId="288" fontId="0" fillId="5" borderId="0" xfId="0" applyFont="1" applyNumberFormat="1" applyFill="1"/>
    <xf numFmtId="289" fontId="0" fillId="5" borderId="0" xfId="0" applyFont="1" applyNumberFormat="1" applyFill="1"/>
    <xf numFmtId="290" fontId="0" fillId="5" borderId="0" xfId="0" applyFont="1" applyNumberFormat="1" applyFill="1"/>
    <xf numFmtId="291" fontId="0" fillId="5" borderId="0" xfId="0" applyFont="1" applyNumberFormat="1" applyFill="1"/>
    <xf numFmtId="292" fontId="0" fillId="5" borderId="0" xfId="0" applyFont="1" applyNumberFormat="1" applyFill="1"/>
    <xf numFmtId="293" fontId="0" fillId="5" borderId="0" xfId="0" applyFont="1" applyNumberFormat="1" applyFill="1"/>
    <xf numFmtId="294" fontId="0" fillId="5" borderId="0" xfId="0" applyFont="1" applyNumberFormat="1" applyFill="1"/>
    <xf numFmtId="295" fontId="0" fillId="5" borderId="0" xfId="0" applyFont="1" applyNumberFormat="1" applyFill="1"/>
    <xf numFmtId="296" fontId="0" fillId="5" borderId="0" xfId="0" applyFont="1" applyNumberFormat="1" applyFill="1"/>
  </cellXfs>
  <cellStyles count="1">
    <cellStyle name="Normal" xfId="0" builtinId="0"/>
  </cellStyles>
  <dxfs count="3">
    <dxf>
      <font>
        <sz val="11"/>
        <color rgb="FF006100"/>
        <name val="Carlito"/>
      </font>
      <fill>
        <patternFill patternType="solid">
          <bgColor rgb="FFC6EFCE"/>
        </patternFill>
      </fill>
    </dxf>
    <dxf>
      <font>
        <sz val="11"/>
        <color rgb="FF9C6500"/>
        <name val="Carlito"/>
      </font>
      <fill>
        <patternFill patternType="solid">
          <bgColor rgb="FFFFEB9C"/>
        </patternFill>
      </fill>
    </dxf>
    <dxf>
      <font>
        <sz val="11"/>
        <color rgb="FF9C0006"/>
        <name val="Carlito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theme" Target="theme/theme1.xml"/><Relationship Id="rId24" Type="http://schemas.openxmlformats.org/officeDocument/2006/relationships/styles" Target="styles.xml"/><Relationship Id="rId2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.bin"/></Relationships>
</file>

<file path=xl/worksheets/_rels/sheet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</file>

<file path=xl/worksheets/_rels/sheet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.bin"/></Relationships>
</file>

<file path=xl/worksheets/_rels/sheet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4.bin"/></Relationships>
</file>

<file path=xl/worksheets/_rels/sheet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5.bin"/></Relationships>
</file>

<file path=xl/worksheets/_rels/sheet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6.bin"/></Relationships>
</file>

<file path=xl/worksheets/_rels/sheet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7.bin"/></Relationships>
</file>

<file path=xl/worksheets/_rels/sheet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8.bin"/></Relationships>
</file>

<file path=xl/worksheets/_rels/sheet9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9.bin"/></Relationships>
</file>

<file path=xl/worksheets/_rels/sheet10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0.bin"/></Relationships>
</file>

<file path=xl/worksheets/_rels/sheet1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1.bin"/></Relationships>
</file>

<file path=xl/worksheets/_rels/sheet1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2.bin"/></Relationships>
</file>

<file path=xl/worksheets/_rels/sheet1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3.bin"/></Relationships>
</file>

<file path=xl/worksheets/_rels/sheet1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4.bin"/></Relationships>
</file>

<file path=xl/worksheets/_rels/sheet1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5.bin"/></Relationships>
</file>

<file path=xl/worksheets/_rels/sheet1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6.bin"/></Relationships>
</file>

<file path=xl/worksheets/_rels/sheet1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7.bin"/></Relationships>
</file>

<file path=xl/worksheets/_rels/sheet1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8.bin"/></Relationships>
</file>

<file path=xl/worksheets/_rels/sheet19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9.bin"/></Relationships>
</file>

<file path=xl/worksheets/_rels/sheet20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0.bin"/></Relationships>
</file>

<file path=xl/worksheets/_rels/sheet2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1.bin"/></Relationships>
</file>

<file path=xl/worksheets/_rels/sheet2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  <selection pane="bottomLeft"/>
    </sheetView>
  </sheetViews>
  <sheetFormatPr defaultRowHeight="15.0" baseColWidth="10"/>
  <cols>
    <col min="1" max="1" width="32.71" hidden="0" customWidth="1"/>
    <col min="2" max="2" width="18.71" hidden="0" customWidth="1"/>
    <col min="3" max="3" width="14.71" hidden="0" customWidth="1"/>
    <col min="4" max="4" width="22.71" hidden="0" customWidth="1"/>
    <col min="5" max="5" width="60.71" hidden="0" customWidth="1"/>
    <col min="6" max="6" width="40.71" hidden="0" customWidth="1"/>
  </cols>
  <sheetData>
    <row r="1" ht="28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t="s">
        <v>6</v>
      </c>
      <c r="B2" s="4" t="n">
        <v>2025</v>
      </c>
      <c r="C2" t="s">
        <v>28</v>
      </c>
      <c r="D2" t="s">
        <v>29</v>
      </c>
      <c r="E2" s="21" t="s">
        <v>30</v>
      </c>
      <c r="F2" t="s">
        <v>31</v>
      </c>
    </row>
    <row r="3">
      <c r="A3" t="s">
        <v>7</v>
      </c>
      <c r="B3" s="5" t="n">
        <v>2050</v>
      </c>
      <c r="C3" t="s">
        <v>28</v>
      </c>
      <c r="D3" t="s">
        <v>29</v>
      </c>
      <c r="E3" s="21" t="s">
        <v>32</v>
      </c>
      <c r="F3" t="s">
        <v>31</v>
      </c>
    </row>
    <row r="4">
      <c r="A4" t="s">
        <v>8</v>
      </c>
      <c r="B4" s="2" t="s">
        <v>73</v>
      </c>
      <c r="C4" t="s">
        <v>33</v>
      </c>
      <c r="D4" t="s">
        <v>29</v>
      </c>
      <c r="E4" s="21" t="s">
        <v>34</v>
      </c>
      <c r="F4" t="s">
        <v>31</v>
      </c>
    </row>
    <row r="5">
      <c r="A5" t="s">
        <v>9</v>
      </c>
      <c r="B5" s="6" t="n">
        <v>2026</v>
      </c>
      <c r="C5" t="s">
        <v>28</v>
      </c>
      <c r="D5" t="s">
        <v>29</v>
      </c>
      <c r="E5" s="21" t="s">
        <v>35</v>
      </c>
      <c r="F5" t="s">
        <v>31</v>
      </c>
    </row>
    <row r="6">
      <c r="A6" t="s">
        <v>10</v>
      </c>
      <c r="B6" s="7" t="n">
        <v>2030</v>
      </c>
      <c r="C6" t="s">
        <v>28</v>
      </c>
      <c r="D6" t="s">
        <v>29</v>
      </c>
      <c r="E6" s="21" t="s">
        <v>36</v>
      </c>
      <c r="F6" t="s">
        <v>31</v>
      </c>
    </row>
    <row r="7">
      <c r="A7" t="s">
        <v>11</v>
      </c>
      <c r="B7" s="8" t="n">
        <v>3</v>
      </c>
      <c r="C7" t="s">
        <v>37</v>
      </c>
      <c r="D7" t="s">
        <v>29</v>
      </c>
      <c r="E7" s="21" t="s">
        <v>38</v>
      </c>
      <c r="F7" t="s">
        <v>31</v>
      </c>
    </row>
    <row r="8">
      <c r="A8" t="s">
        <v>12</v>
      </c>
      <c r="B8" s="9" t="n">
        <v>0.03</v>
      </c>
      <c r="C8" t="s">
        <v>39</v>
      </c>
      <c r="D8" t="s">
        <v>29</v>
      </c>
      <c r="E8" s="21" t="s">
        <v>40</v>
      </c>
      <c r="F8" t="s">
        <v>31</v>
      </c>
    </row>
    <row r="9">
      <c r="A9" t="s">
        <v>13</v>
      </c>
      <c r="B9" s="10" t="n">
        <v>2023</v>
      </c>
      <c r="C9" t="s">
        <v>41</v>
      </c>
      <c r="D9" t="s">
        <v>29</v>
      </c>
      <c r="E9" s="21" t="s">
        <v>42</v>
      </c>
      <c r="F9" t="s">
        <v>31</v>
      </c>
    </row>
    <row r="10">
      <c r="A10" t="s">
        <v>14</v>
      </c>
      <c r="B10" s="11" t="n">
        <v>2017</v>
      </c>
      <c r="C10" t="s">
        <v>41</v>
      </c>
      <c r="D10" t="s">
        <v>29</v>
      </c>
      <c r="E10" s="21" t="s">
        <v>43</v>
      </c>
      <c r="F10" t="s">
        <v>31</v>
      </c>
    </row>
    <row r="11">
      <c r="A11" t="s">
        <v>15</v>
      </c>
      <c r="B11" s="2" t="s">
        <v>68</v>
      </c>
      <c r="C11" t="s">
        <v>15</v>
      </c>
      <c r="D11" t="s">
        <v>44</v>
      </c>
      <c r="E11" s="21" t="s">
        <v>45</v>
      </c>
      <c r="F11" t="s">
        <v>31</v>
      </c>
    </row>
    <row r="12">
      <c r="A12" t="s">
        <v>16</v>
      </c>
      <c r="B12" s="2" t="s">
        <v>74</v>
      </c>
      <c r="C12" t="s">
        <v>46</v>
      </c>
      <c r="D12" t="s">
        <v>44</v>
      </c>
      <c r="E12" s="21" t="s">
        <v>47</v>
      </c>
      <c r="F12" t="s">
        <v>31</v>
      </c>
    </row>
    <row r="13">
      <c r="A13" t="s">
        <v>17</v>
      </c>
      <c r="B13" s="2" t="s">
        <v>75</v>
      </c>
      <c r="C13" t="s">
        <v>46</v>
      </c>
      <c r="D13" t="s">
        <v>29</v>
      </c>
      <c r="E13" s="21" t="s">
        <v>48</v>
      </c>
      <c r="F13" t="s">
        <v>31</v>
      </c>
    </row>
    <row r="14">
      <c r="A14" t="s">
        <v>18</v>
      </c>
      <c r="B14" s="12" t="n">
        <v>0</v>
      </c>
      <c r="C14" t="s">
        <v>49</v>
      </c>
      <c r="D14" t="s">
        <v>29</v>
      </c>
      <c r="E14" s="21" t="s">
        <v>50</v>
      </c>
      <c r="F14" t="s">
        <v>51</v>
      </c>
    </row>
    <row r="15">
      <c r="A15" t="s">
        <v>19</v>
      </c>
      <c r="B15" s="13" t="n">
        <v>0.001</v>
      </c>
      <c r="C15" t="s">
        <v>52</v>
      </c>
      <c r="D15" t="s">
        <v>53</v>
      </c>
      <c r="E15" s="21" t="s">
        <v>54</v>
      </c>
      <c r="F15" t="s">
        <v>55</v>
      </c>
    </row>
    <row r="16">
      <c r="A16" t="s">
        <v>20</v>
      </c>
      <c r="B16" s="14" t="n">
        <v>1000</v>
      </c>
      <c r="C16" t="s">
        <v>56</v>
      </c>
      <c r="D16" t="s">
        <v>53</v>
      </c>
      <c r="E16" s="21" t="s">
        <v>57</v>
      </c>
      <c r="F16" t="s">
        <v>55</v>
      </c>
    </row>
    <row r="17">
      <c r="A17" t="s">
        <v>21</v>
      </c>
      <c r="B17" s="15" t="n">
        <v>0</v>
      </c>
      <c r="C17" t="s">
        <v>58</v>
      </c>
      <c r="D17" t="s">
        <v>59</v>
      </c>
      <c r="E17" s="21" t="s">
        <v>60</v>
      </c>
      <c r="F17" t="s">
        <v>61</v>
      </c>
    </row>
    <row r="18">
      <c r="A18" t="s">
        <v>22</v>
      </c>
      <c r="B18" s="16" t="n">
        <v>127.1</v>
      </c>
      <c r="C18" t="s">
        <v>56</v>
      </c>
      <c r="D18" t="s">
        <v>59</v>
      </c>
      <c r="E18" s="21" t="s">
        <v>62</v>
      </c>
      <c r="F18" t="s">
        <v>61</v>
      </c>
    </row>
    <row r="19">
      <c r="A19" t="s">
        <v>23</v>
      </c>
      <c r="B19" s="17" t="n">
        <v>1</v>
      </c>
      <c r="C19" t="s">
        <v>58</v>
      </c>
      <c r="D19" t="s">
        <v>59</v>
      </c>
      <c r="E19" s="21" t="s">
        <v>63</v>
      </c>
      <c r="F19" t="s">
        <v>61</v>
      </c>
    </row>
    <row r="20">
      <c r="A20" t="s">
        <v>24</v>
      </c>
      <c r="B20" s="18" t="n">
        <v>1599276.4798806</v>
      </c>
      <c r="C20" t="s">
        <v>64</v>
      </c>
      <c r="D20" t="s">
        <v>65</v>
      </c>
      <c r="E20" s="21" t="s">
        <v>66</v>
      </c>
      <c r="F20" t="s">
        <v>67</v>
      </c>
    </row>
    <row r="21">
      <c r="A21" t="s">
        <v>25</v>
      </c>
      <c r="B21" s="19" t="n">
        <v>429508362.940665</v>
      </c>
      <c r="C21" t="s">
        <v>68</v>
      </c>
      <c r="D21" t="s">
        <v>65</v>
      </c>
      <c r="E21" s="21" t="s">
        <v>69</v>
      </c>
      <c r="F21" t="s">
        <v>67</v>
      </c>
    </row>
    <row r="22">
      <c r="A22" t="s">
        <v>26</v>
      </c>
      <c r="B22" s="20" t="n">
        <v>268.564171576344</v>
      </c>
      <c r="C22" t="s">
        <v>70</v>
      </c>
      <c r="D22" t="s">
        <v>65</v>
      </c>
      <c r="E22" s="21" t="s">
        <v>71</v>
      </c>
      <c r="F22" t="s">
        <v>67</v>
      </c>
    </row>
    <row r="23">
      <c r="A23" t="s">
        <v>27</v>
      </c>
      <c r="B23" s="3" t="s">
        <v>76</v>
      </c>
      <c r="C23" t="s">
        <v>33</v>
      </c>
      <c r="D23" t="s">
        <v>65</v>
      </c>
      <c r="E23" s="21" t="s">
        <v>72</v>
      </c>
      <c r="F23" t="s">
        <v>67</v>
      </c>
    </row>
  </sheetData>
  <autoFilter ref="A1:F1"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22.71" hidden="0" customWidth="1"/>
    <col min="2" max="2" width="122.71" hidden="0" customWidth="1"/>
  </cols>
  <sheetData>
    <row r="1" ht="22" customHeight="1">
      <c r="A1" s="22" t="s">
        <v>77</v>
      </c>
    </row>
    <row r="3">
      <c r="A3" s="1" t="s">
        <v>78</v>
      </c>
      <c r="B3" s="1" t="s">
        <v>79</v>
      </c>
    </row>
    <row r="4">
      <c r="A4" t="s">
        <v>80</v>
      </c>
      <c r="B4" s="21" t="s">
        <v>81</v>
      </c>
    </row>
    <row r="5">
      <c r="A5" t="s">
        <v>82</v>
      </c>
      <c r="B5" s="21" t="s">
        <v>83</v>
      </c>
    </row>
    <row r="6">
      <c r="A6" t="s">
        <v>84</v>
      </c>
      <c r="B6" s="21" t="s">
        <v>85</v>
      </c>
    </row>
    <row r="7">
      <c r="A7" t="s">
        <v>86</v>
      </c>
      <c r="B7" s="21" t="s">
        <v>87</v>
      </c>
    </row>
    <row r="8">
      <c r="A8" t="s">
        <v>88</v>
      </c>
      <c r="B8" s="21" t="s">
        <v>89</v>
      </c>
    </row>
    <row r="9">
      <c r="A9" t="s">
        <v>90</v>
      </c>
      <c r="B9" s="21" t="s">
        <v>91</v>
      </c>
    </row>
    <row r="10">
      <c r="A10" t="s">
        <v>92</v>
      </c>
      <c r="B10" s="21" t="s">
        <v>93</v>
      </c>
    </row>
    <row r="11">
      <c r="A11" t="s">
        <v>94</v>
      </c>
      <c r="B11" s="21" t="s">
        <v>95</v>
      </c>
    </row>
    <row r="12">
      <c r="A12" t="s">
        <v>96</v>
      </c>
      <c r="B12" s="21" t="s">
        <v>97</v>
      </c>
    </row>
    <row r="13">
      <c r="A13" t="s">
        <v>98</v>
      </c>
      <c r="B13" s="21" t="s">
        <v>99</v>
      </c>
    </row>
    <row r="14">
      <c r="A14" t="s">
        <v>100</v>
      </c>
      <c r="B14" s="21" t="s">
        <v>101</v>
      </c>
    </row>
    <row r="15">
      <c r="A15" t="s">
        <v>102</v>
      </c>
      <c r="B15" s="21" t="s">
        <v>103</v>
      </c>
    </row>
    <row r="16">
      <c r="A16" t="s">
        <v>104</v>
      </c>
      <c r="B16" s="21" t="s">
        <v>105</v>
      </c>
    </row>
    <row r="17">
      <c r="A17" t="s">
        <v>106</v>
      </c>
      <c r="B17" s="21" t="s">
        <v>107</v>
      </c>
    </row>
    <row r="18">
      <c r="A18" t="s">
        <v>108</v>
      </c>
      <c r="B18" s="21" t="s">
        <v>109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74.71" hidden="0" customWidth="1"/>
  </cols>
  <sheetData>
    <row r="1" ht="28" customHeight="1">
      <c r="A1" s="1" t="s">
        <v>110</v>
      </c>
      <c r="B1" s="1" t="s">
        <v>1</v>
      </c>
    </row>
    <row r="2">
      <c r="A2" t="s">
        <v>111</v>
      </c>
      <c r="B2" t="s">
        <v>112</v>
      </c>
    </row>
    <row r="3">
      <c r="A3" t="s">
        <v>113</v>
      </c>
      <c r="B3" t="s">
        <v>114</v>
      </c>
    </row>
    <row r="4">
      <c r="A4" t="s">
        <v>115</v>
      </c>
      <c r="B4" t="s">
        <v>116</v>
      </c>
    </row>
    <row r="5">
      <c r="A5" t="s">
        <v>117</v>
      </c>
      <c r="B5" t="s">
        <v>118</v>
      </c>
    </row>
    <row r="6">
      <c r="A6" t="s">
        <v>119</v>
      </c>
      <c r="B6" t="s">
        <v>120</v>
      </c>
    </row>
    <row r="7">
      <c r="A7" t="s">
        <v>121</v>
      </c>
      <c r="B7" t="s">
        <v>122</v>
      </c>
    </row>
    <row r="8">
      <c r="A8" t="s">
        <v>123</v>
      </c>
      <c r="B8" s="23" t="str">
        <f>'Calculation_Assumptions'!$B$2&amp;"-"&amp;'Calculation_Assumptions'!$B$3</f>
      </c>
    </row>
    <row r="9">
      <c r="A9" t="s">
        <v>125</v>
      </c>
      <c r="B9" s="23" t="str">
        <f>'Calculation_Assumptions'!$B$4</f>
      </c>
    </row>
    <row r="10">
      <c r="A10" t="s">
        <v>126</v>
      </c>
      <c r="B10" t="s">
        <v>127</v>
      </c>
    </row>
    <row r="11">
      <c r="A11" t="s">
        <v>128</v>
      </c>
      <c r="B11" s="24" t="str">
        <f>'Calculation_Assumptions'!$B$8</f>
      </c>
    </row>
    <row r="12">
      <c r="A12" t="s">
        <v>42</v>
      </c>
      <c r="B12" t="s">
        <v>130</v>
      </c>
    </row>
    <row r="13">
      <c r="A13" t="s">
        <v>131</v>
      </c>
      <c r="B13" t="s">
        <v>68</v>
      </c>
    </row>
    <row r="14">
      <c r="A14" t="s">
        <v>132</v>
      </c>
      <c r="B14" t="s">
        <v>74</v>
      </c>
    </row>
    <row r="15">
      <c r="A15" t="s">
        <v>133</v>
      </c>
      <c r="B15" t="s">
        <v>134</v>
      </c>
    </row>
    <row r="16">
      <c r="A16" t="s">
        <v>135</v>
      </c>
      <c r="B16" t="s">
        <v>136</v>
      </c>
    </row>
    <row r="17">
      <c r="A17" t="s">
        <v>137</v>
      </c>
      <c r="B17" t="s">
        <v>138</v>
      </c>
    </row>
    <row r="18">
      <c r="A18" t="s">
        <v>139</v>
      </c>
      <c r="B18" t="s">
        <v>140</v>
      </c>
    </row>
    <row r="19">
      <c r="A19" t="s">
        <v>141</v>
      </c>
      <c r="B19" t="s">
        <v>142</v>
      </c>
    </row>
    <row r="20">
      <c r="A20" t="s">
        <v>143</v>
      </c>
      <c r="B20" t="s">
        <v>144</v>
      </c>
    </row>
    <row r="21">
      <c r="A21" t="s">
        <v>145</v>
      </c>
      <c r="B21" t="s">
        <v>146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7.71" hidden="0" customWidth="1"/>
    <col min="2" max="2" width="24.71" hidden="0" customWidth="1"/>
    <col min="3" max="3" width="19.71" hidden="0" customWidth="1"/>
    <col min="4" max="4" width="11.71" hidden="0" customWidth="1"/>
    <col min="5" max="5" width="11.71" hidden="0" customWidth="1"/>
    <col min="6" max="6" width="12.71" hidden="0" customWidth="1"/>
    <col min="7" max="7" width="14.71" hidden="0" customWidth="1"/>
    <col min="8" max="8" width="19.71" hidden="0" customWidth="1"/>
    <col min="9" max="9" width="17.71" hidden="0" customWidth="1"/>
    <col min="10" max="10" width="16.71" hidden="0" customWidth="1"/>
    <col min="11" max="11" width="11.71" hidden="0" customWidth="1"/>
    <col min="12" max="12" width="11.71" hidden="0" customWidth="1"/>
    <col min="13" max="13" width="15.71" hidden="0" customWidth="1"/>
    <col min="14" max="14" width="21.71" hidden="0" customWidth="1"/>
    <col min="15" max="15" width="22.71" hidden="0" customWidth="1"/>
    <col min="16" max="16" width="23.71" hidden="0" customWidth="1"/>
    <col min="17" max="17" width="24.71" hidden="0" customWidth="1"/>
    <col min="18" max="18" width="24.71" hidden="0" customWidth="1"/>
    <col min="19" max="19" width="15.71" hidden="0" customWidth="1"/>
    <col min="20" max="20" width="15.71" hidden="0" customWidth="1"/>
    <col min="21" max="21" width="11.71" hidden="0" customWidth="1"/>
    <col min="22" max="22" width="16.71" hidden="0" customWidth="1"/>
    <col min="23" max="23" width="19.71" hidden="0" customWidth="1"/>
    <col min="24" max="24" width="19.71" hidden="0" customWidth="1"/>
    <col min="25" max="25" width="19.71" hidden="0" customWidth="1"/>
  </cols>
  <sheetData>
    <row r="1" ht="28" customHeight="1">
      <c r="A1" s="1" t="s">
        <v>147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155</v>
      </c>
      <c r="J1" s="1" t="s">
        <v>156</v>
      </c>
      <c r="K1" s="1" t="s">
        <v>157</v>
      </c>
      <c r="L1" s="1" t="s">
        <v>158</v>
      </c>
      <c r="M1" s="1" t="s">
        <v>159</v>
      </c>
      <c r="N1" s="1" t="s">
        <v>160</v>
      </c>
      <c r="O1" s="1" t="s">
        <v>10</v>
      </c>
      <c r="P1" s="1" t="s">
        <v>161</v>
      </c>
      <c r="Q1" s="1" t="s">
        <v>162</v>
      </c>
      <c r="R1" s="1" t="s">
        <v>163</v>
      </c>
      <c r="S1" s="1" t="s">
        <v>164</v>
      </c>
      <c r="T1" s="1" t="s">
        <v>165</v>
      </c>
      <c r="U1" s="1" t="s">
        <v>166</v>
      </c>
      <c r="V1" s="1" t="s">
        <v>167</v>
      </c>
      <c r="W1" s="1" t="s">
        <v>168</v>
      </c>
      <c r="X1" s="1" t="s">
        <v>169</v>
      </c>
      <c r="Y1" s="1" t="s">
        <v>170</v>
      </c>
    </row>
    <row r="2">
      <c r="A2" t="s">
        <v>171</v>
      </c>
      <c r="B2" t="s">
        <v>172</v>
      </c>
      <c r="C2" t="s">
        <v>173</v>
      </c>
      <c r="D2" t="s">
        <v>174</v>
      </c>
      <c r="E2" t="s">
        <v>175</v>
      </c>
      <c r="F2" t="s">
        <v>176</v>
      </c>
      <c r="G2" t="s">
        <v>177</v>
      </c>
      <c r="H2" s="25" t="n">
        <v>0.1</v>
      </c>
      <c r="I2" s="26" t="n">
        <v>0.08655</v>
      </c>
      <c r="J2" s="27" t="n">
        <v>1.01316167035158</v>
      </c>
      <c r="K2" s="28"/>
      <c r="L2" t="s">
        <v>178</v>
      </c>
      <c r="M2" s="29" t="n">
        <v>1</v>
      </c>
      <c r="N2" s="30" t="n">
        <v>2026</v>
      </c>
      <c r="O2" s="31" t="n">
        <v>2030</v>
      </c>
      <c r="P2" s="32" t="str">
        <f>1-1/(J2^(H2-I2))</f>
      </c>
      <c r="Q2" s="33" t="str">
        <f>H2-I2</f>
      </c>
      <c r="R2" s="34" t="str">
        <f>IF(H2=0,0,(H2-I2)/H2)</f>
      </c>
      <c r="S2" s="35" t="s">
        <v>179</v>
      </c>
      <c r="T2" t="s">
        <v>180</v>
      </c>
      <c r="U2" s="36" t="str">
        <f>COUNTIF($B$2:$B$49,B2)</f>
      </c>
      <c r="V2" s="23" t="str">
        <f>IF(U2=1,"OK","DUPLICATE KEY")</f>
      </c>
      <c r="W2" t="s">
        <v>171</v>
      </c>
      <c r="X2" t="s">
        <v>181</v>
      </c>
      <c r="Y2" t="s">
        <v>144</v>
      </c>
    </row>
    <row r="3">
      <c r="A3" t="s">
        <v>171</v>
      </c>
      <c r="B3" t="s">
        <v>182</v>
      </c>
      <c r="C3" t="s">
        <v>173</v>
      </c>
      <c r="D3" t="s">
        <v>174</v>
      </c>
      <c r="E3" t="s">
        <v>183</v>
      </c>
      <c r="F3" t="s">
        <v>184</v>
      </c>
      <c r="G3" t="s">
        <v>177</v>
      </c>
      <c r="H3" s="25" t="n">
        <v>0.1</v>
      </c>
      <c r="I3" s="26" t="n">
        <v>0.08655</v>
      </c>
      <c r="J3" s="27" t="n">
        <v>1.03317751043574</v>
      </c>
      <c r="K3" s="28"/>
      <c r="L3" t="s">
        <v>178</v>
      </c>
      <c r="M3" s="29" t="n">
        <v>1</v>
      </c>
      <c r="N3" s="30" t="n">
        <v>2026</v>
      </c>
      <c r="O3" s="31" t="n">
        <v>2030</v>
      </c>
      <c r="P3" s="32" t="str">
        <f>1-1/(J3^(H3-I3))</f>
      </c>
      <c r="Q3" s="33" t="str">
        <f>H3-I3</f>
      </c>
      <c r="R3" s="34" t="str">
        <f>IF(H3=0,0,(H3-I3)/H3)</f>
      </c>
      <c r="S3" s="35" t="s">
        <v>179</v>
      </c>
      <c r="T3" t="s">
        <v>180</v>
      </c>
      <c r="U3" s="36" t="str">
        <f>COUNTIF($B$2:$B$49,B3)</f>
      </c>
      <c r="V3" s="23" t="str">
        <f>IF(U3=1,"OK","DUPLICATE KEY")</f>
      </c>
      <c r="W3" t="s">
        <v>171</v>
      </c>
      <c r="X3" t="s">
        <v>181</v>
      </c>
      <c r="Y3" t="s">
        <v>144</v>
      </c>
    </row>
    <row r="4">
      <c r="A4" t="s">
        <v>171</v>
      </c>
      <c r="B4" t="s">
        <v>185</v>
      </c>
      <c r="C4" t="s">
        <v>173</v>
      </c>
      <c r="D4" t="s">
        <v>174</v>
      </c>
      <c r="E4" t="s">
        <v>186</v>
      </c>
      <c r="F4" t="s">
        <v>187</v>
      </c>
      <c r="G4" t="s">
        <v>177</v>
      </c>
      <c r="H4" s="25" t="n">
        <v>0.1</v>
      </c>
      <c r="I4" s="26" t="n">
        <v>0.08655</v>
      </c>
      <c r="J4" s="27" t="n">
        <v>1.02007996271888</v>
      </c>
      <c r="K4" s="28"/>
      <c r="L4" t="s">
        <v>178</v>
      </c>
      <c r="M4" s="29" t="n">
        <v>1</v>
      </c>
      <c r="N4" s="30" t="n">
        <v>2026</v>
      </c>
      <c r="O4" s="31" t="n">
        <v>2030</v>
      </c>
      <c r="P4" s="32" t="str">
        <f>1-1/(J4^(H4-I4))</f>
      </c>
      <c r="Q4" s="33" t="str">
        <f>H4-I4</f>
      </c>
      <c r="R4" s="34" t="str">
        <f>IF(H4=0,0,(H4-I4)/H4)</f>
      </c>
      <c r="S4" s="35" t="s">
        <v>179</v>
      </c>
      <c r="T4" t="s">
        <v>180</v>
      </c>
      <c r="U4" s="36" t="str">
        <f>COUNTIF($B$2:$B$49,B4)</f>
      </c>
      <c r="V4" s="23" t="str">
        <f>IF(U4=1,"OK","DUPLICATE KEY")</f>
      </c>
      <c r="W4" t="s">
        <v>171</v>
      </c>
      <c r="X4" t="s">
        <v>181</v>
      </c>
      <c r="Y4" t="s">
        <v>144</v>
      </c>
    </row>
    <row r="5">
      <c r="A5" t="s">
        <v>171</v>
      </c>
      <c r="B5" t="s">
        <v>188</v>
      </c>
      <c r="C5" t="s">
        <v>173</v>
      </c>
      <c r="D5" t="s">
        <v>174</v>
      </c>
      <c r="E5" t="s">
        <v>189</v>
      </c>
      <c r="F5" t="s">
        <v>190</v>
      </c>
      <c r="G5" t="s">
        <v>177</v>
      </c>
      <c r="H5" s="25" t="n">
        <v>0.1</v>
      </c>
      <c r="I5" s="26" t="n">
        <v>0.08655</v>
      </c>
      <c r="J5" s="27" t="n">
        <v>1.00888038497497</v>
      </c>
      <c r="K5" s="28"/>
      <c r="L5" t="s">
        <v>178</v>
      </c>
      <c r="M5" s="29" t="n">
        <v>1</v>
      </c>
      <c r="N5" s="30" t="n">
        <v>2026</v>
      </c>
      <c r="O5" s="31" t="n">
        <v>2030</v>
      </c>
      <c r="P5" s="32" t="str">
        <f>1-1/(J5^(H5-I5))</f>
      </c>
      <c r="Q5" s="33" t="str">
        <f>H5-I5</f>
      </c>
      <c r="R5" s="34" t="str">
        <f>IF(H5=0,0,(H5-I5)/H5)</f>
      </c>
      <c r="S5" s="35" t="s">
        <v>179</v>
      </c>
      <c r="T5" t="s">
        <v>180</v>
      </c>
      <c r="U5" s="36" t="str">
        <f>COUNTIF($B$2:$B$49,B5)</f>
      </c>
      <c r="V5" s="23" t="str">
        <f>IF(U5=1,"OK","DUPLICATE KEY")</f>
      </c>
      <c r="W5" t="s">
        <v>171</v>
      </c>
      <c r="X5" t="s">
        <v>181</v>
      </c>
      <c r="Y5" t="s">
        <v>144</v>
      </c>
    </row>
    <row r="6">
      <c r="A6" t="s">
        <v>171</v>
      </c>
      <c r="B6" t="s">
        <v>191</v>
      </c>
      <c r="C6" t="s">
        <v>173</v>
      </c>
      <c r="D6" t="s">
        <v>174</v>
      </c>
      <c r="E6" t="s">
        <v>192</v>
      </c>
      <c r="F6" t="s">
        <v>193</v>
      </c>
      <c r="G6" t="s">
        <v>177</v>
      </c>
      <c r="H6" s="25" t="n">
        <v>0.1</v>
      </c>
      <c r="I6" s="26" t="n">
        <v>0.08655</v>
      </c>
      <c r="J6" s="27" t="n">
        <v>1.02007996271888</v>
      </c>
      <c r="K6" s="28"/>
      <c r="L6" t="s">
        <v>178</v>
      </c>
      <c r="M6" s="29" t="n">
        <v>1</v>
      </c>
      <c r="N6" s="30" t="n">
        <v>2026</v>
      </c>
      <c r="O6" s="31" t="n">
        <v>2030</v>
      </c>
      <c r="P6" s="32" t="str">
        <f>1-1/(J6^(H6-I6))</f>
      </c>
      <c r="Q6" s="33" t="str">
        <f>H6-I6</f>
      </c>
      <c r="R6" s="34" t="str">
        <f>IF(H6=0,0,(H6-I6)/H6)</f>
      </c>
      <c r="S6" s="35" t="s">
        <v>179</v>
      </c>
      <c r="T6" t="s">
        <v>180</v>
      </c>
      <c r="U6" s="36" t="str">
        <f>COUNTIF($B$2:$B$49,B6)</f>
      </c>
      <c r="V6" s="23" t="str">
        <f>IF(U6=1,"OK","DUPLICATE KEY")</f>
      </c>
      <c r="W6" t="s">
        <v>171</v>
      </c>
      <c r="X6" t="s">
        <v>181</v>
      </c>
      <c r="Y6" t="s">
        <v>144</v>
      </c>
    </row>
    <row r="7">
      <c r="A7" t="s">
        <v>194</v>
      </c>
      <c r="B7" t="s">
        <v>195</v>
      </c>
      <c r="C7" t="s">
        <v>196</v>
      </c>
      <c r="D7" t="s">
        <v>174</v>
      </c>
      <c r="E7" t="s">
        <v>175</v>
      </c>
      <c r="F7" t="s">
        <v>176</v>
      </c>
      <c r="G7" t="s">
        <v>177</v>
      </c>
      <c r="H7" s="25" t="n">
        <v>0.1</v>
      </c>
      <c r="I7" s="26" t="n">
        <v>0.08775</v>
      </c>
      <c r="J7" s="27" t="n">
        <v>1.01316167035158</v>
      </c>
      <c r="K7" s="28"/>
      <c r="L7" t="s">
        <v>178</v>
      </c>
      <c r="M7" s="29" t="n">
        <v>1</v>
      </c>
      <c r="N7" s="30" t="n">
        <v>2026</v>
      </c>
      <c r="O7" s="31" t="n">
        <v>2030</v>
      </c>
      <c r="P7" s="32" t="str">
        <f>1-1/(J7^(H7-I7))</f>
      </c>
      <c r="Q7" s="33" t="str">
        <f>H7-I7</f>
      </c>
      <c r="R7" s="34" t="str">
        <f>IF(H7=0,0,(H7-I7)/H7)</f>
      </c>
      <c r="S7" s="35" t="s">
        <v>197</v>
      </c>
      <c r="T7" t="s">
        <v>180</v>
      </c>
      <c r="U7" s="36" t="str">
        <f>COUNTIF($B$2:$B$49,B7)</f>
      </c>
      <c r="V7" s="23" t="str">
        <f>IF(U7=1,"OK","DUPLICATE KEY")</f>
      </c>
      <c r="W7" t="s">
        <v>194</v>
      </c>
      <c r="X7" t="s">
        <v>181</v>
      </c>
      <c r="Y7" t="s">
        <v>144</v>
      </c>
    </row>
    <row r="8">
      <c r="A8" t="s">
        <v>194</v>
      </c>
      <c r="B8" t="s">
        <v>198</v>
      </c>
      <c r="C8" t="s">
        <v>196</v>
      </c>
      <c r="D8" t="s">
        <v>174</v>
      </c>
      <c r="E8" t="s">
        <v>183</v>
      </c>
      <c r="F8" t="s">
        <v>184</v>
      </c>
      <c r="G8" t="s">
        <v>177</v>
      </c>
      <c r="H8" s="25" t="n">
        <v>0.1</v>
      </c>
      <c r="I8" s="26" t="n">
        <v>0.08775</v>
      </c>
      <c r="J8" s="27" t="n">
        <v>1.03317751043574</v>
      </c>
      <c r="K8" s="28"/>
      <c r="L8" t="s">
        <v>178</v>
      </c>
      <c r="M8" s="29" t="n">
        <v>1</v>
      </c>
      <c r="N8" s="30" t="n">
        <v>2026</v>
      </c>
      <c r="O8" s="31" t="n">
        <v>2030</v>
      </c>
      <c r="P8" s="32" t="str">
        <f>1-1/(J8^(H8-I8))</f>
      </c>
      <c r="Q8" s="33" t="str">
        <f>H8-I8</f>
      </c>
      <c r="R8" s="34" t="str">
        <f>IF(H8=0,0,(H8-I8)/H8)</f>
      </c>
      <c r="S8" s="35" t="s">
        <v>197</v>
      </c>
      <c r="T8" t="s">
        <v>180</v>
      </c>
      <c r="U8" s="36" t="str">
        <f>COUNTIF($B$2:$B$49,B8)</f>
      </c>
      <c r="V8" s="23" t="str">
        <f>IF(U8=1,"OK","DUPLICATE KEY")</f>
      </c>
      <c r="W8" t="s">
        <v>194</v>
      </c>
      <c r="X8" t="s">
        <v>181</v>
      </c>
      <c r="Y8" t="s">
        <v>144</v>
      </c>
    </row>
    <row r="9">
      <c r="A9" t="s">
        <v>194</v>
      </c>
      <c r="B9" t="s">
        <v>199</v>
      </c>
      <c r="C9" t="s">
        <v>196</v>
      </c>
      <c r="D9" t="s">
        <v>174</v>
      </c>
      <c r="E9" t="s">
        <v>186</v>
      </c>
      <c r="F9" t="s">
        <v>187</v>
      </c>
      <c r="G9" t="s">
        <v>177</v>
      </c>
      <c r="H9" s="25" t="n">
        <v>0.1</v>
      </c>
      <c r="I9" s="26" t="n">
        <v>0.08775</v>
      </c>
      <c r="J9" s="27" t="n">
        <v>1.02007996271888</v>
      </c>
      <c r="K9" s="28"/>
      <c r="L9" t="s">
        <v>178</v>
      </c>
      <c r="M9" s="29" t="n">
        <v>1</v>
      </c>
      <c r="N9" s="30" t="n">
        <v>2026</v>
      </c>
      <c r="O9" s="31" t="n">
        <v>2030</v>
      </c>
      <c r="P9" s="32" t="str">
        <f>1-1/(J9^(H9-I9))</f>
      </c>
      <c r="Q9" s="33" t="str">
        <f>H9-I9</f>
      </c>
      <c r="R9" s="34" t="str">
        <f>IF(H9=0,0,(H9-I9)/H9)</f>
      </c>
      <c r="S9" s="35" t="s">
        <v>197</v>
      </c>
      <c r="T9" t="s">
        <v>180</v>
      </c>
      <c r="U9" s="36" t="str">
        <f>COUNTIF($B$2:$B$49,B9)</f>
      </c>
      <c r="V9" s="23" t="str">
        <f>IF(U9=1,"OK","DUPLICATE KEY")</f>
      </c>
      <c r="W9" t="s">
        <v>194</v>
      </c>
      <c r="X9" t="s">
        <v>181</v>
      </c>
      <c r="Y9" t="s">
        <v>144</v>
      </c>
    </row>
    <row r="10">
      <c r="A10" t="s">
        <v>194</v>
      </c>
      <c r="B10" t="s">
        <v>200</v>
      </c>
      <c r="C10" t="s">
        <v>196</v>
      </c>
      <c r="D10" t="s">
        <v>174</v>
      </c>
      <c r="E10" t="s">
        <v>189</v>
      </c>
      <c r="F10" t="s">
        <v>190</v>
      </c>
      <c r="G10" t="s">
        <v>177</v>
      </c>
      <c r="H10" s="25" t="n">
        <v>0.1</v>
      </c>
      <c r="I10" s="26" t="n">
        <v>0.08775</v>
      </c>
      <c r="J10" s="27" t="n">
        <v>1.00888038497497</v>
      </c>
      <c r="K10" s="28"/>
      <c r="L10" t="s">
        <v>178</v>
      </c>
      <c r="M10" s="29" t="n">
        <v>1</v>
      </c>
      <c r="N10" s="30" t="n">
        <v>2026</v>
      </c>
      <c r="O10" s="31" t="n">
        <v>2030</v>
      </c>
      <c r="P10" s="32" t="str">
        <f>1-1/(J10^(H10-I10))</f>
      </c>
      <c r="Q10" s="33" t="str">
        <f>H10-I10</f>
      </c>
      <c r="R10" s="34" t="str">
        <f>IF(H10=0,0,(H10-I10)/H10)</f>
      </c>
      <c r="S10" s="35" t="s">
        <v>197</v>
      </c>
      <c r="T10" t="s">
        <v>180</v>
      </c>
      <c r="U10" s="36" t="str">
        <f>COUNTIF($B$2:$B$49,B10)</f>
      </c>
      <c r="V10" s="23" t="str">
        <f>IF(U10=1,"OK","DUPLICATE KEY")</f>
      </c>
      <c r="W10" t="s">
        <v>194</v>
      </c>
      <c r="X10" t="s">
        <v>181</v>
      </c>
      <c r="Y10" t="s">
        <v>144</v>
      </c>
    </row>
    <row r="11">
      <c r="A11" t="s">
        <v>194</v>
      </c>
      <c r="B11" t="s">
        <v>201</v>
      </c>
      <c r="C11" t="s">
        <v>196</v>
      </c>
      <c r="D11" t="s">
        <v>174</v>
      </c>
      <c r="E11" t="s">
        <v>192</v>
      </c>
      <c r="F11" t="s">
        <v>193</v>
      </c>
      <c r="G11" t="s">
        <v>177</v>
      </c>
      <c r="H11" s="25" t="n">
        <v>0.1</v>
      </c>
      <c r="I11" s="26" t="n">
        <v>0.08775</v>
      </c>
      <c r="J11" s="27" t="n">
        <v>1.02007996271888</v>
      </c>
      <c r="K11" s="28"/>
      <c r="L11" t="s">
        <v>178</v>
      </c>
      <c r="M11" s="29" t="n">
        <v>1</v>
      </c>
      <c r="N11" s="30" t="n">
        <v>2026</v>
      </c>
      <c r="O11" s="31" t="n">
        <v>2030</v>
      </c>
      <c r="P11" s="32" t="str">
        <f>1-1/(J11^(H11-I11))</f>
      </c>
      <c r="Q11" s="33" t="str">
        <f>H11-I11</f>
      </c>
      <c r="R11" s="34" t="str">
        <f>IF(H11=0,0,(H11-I11)/H11)</f>
      </c>
      <c r="S11" s="35" t="s">
        <v>197</v>
      </c>
      <c r="T11" t="s">
        <v>180</v>
      </c>
      <c r="U11" s="36" t="str">
        <f>COUNTIF($B$2:$B$49,B11)</f>
      </c>
      <c r="V11" s="23" t="str">
        <f>IF(U11=1,"OK","DUPLICATE KEY")</f>
      </c>
      <c r="W11" t="s">
        <v>194</v>
      </c>
      <c r="X11" t="s">
        <v>181</v>
      </c>
      <c r="Y11" t="s">
        <v>144</v>
      </c>
    </row>
    <row r="12">
      <c r="A12" t="s">
        <v>202</v>
      </c>
      <c r="B12" t="s">
        <v>203</v>
      </c>
      <c r="C12" t="s">
        <v>204</v>
      </c>
      <c r="D12" t="s">
        <v>205</v>
      </c>
      <c r="E12" t="s">
        <v>183</v>
      </c>
      <c r="F12" t="s">
        <v>184</v>
      </c>
      <c r="G12" t="s">
        <v>177</v>
      </c>
      <c r="H12" s="25" t="n">
        <v>4.4</v>
      </c>
      <c r="I12" s="26" t="n">
        <v>4.246</v>
      </c>
      <c r="J12" s="27" t="n">
        <v>1.06</v>
      </c>
      <c r="K12" s="28"/>
      <c r="L12" t="s">
        <v>178</v>
      </c>
      <c r="M12" s="29" t="n">
        <v>1</v>
      </c>
      <c r="N12" s="30" t="n">
        <v>2026</v>
      </c>
      <c r="O12" s="31" t="n">
        <v>2030</v>
      </c>
      <c r="P12" s="32" t="str">
        <f>1-1/(J12^(H12-I12))</f>
      </c>
      <c r="Q12" s="33" t="str">
        <f>H12-I12</f>
      </c>
      <c r="R12" s="34" t="str">
        <f>IF(H12=0,0,(H12-I12)/H12)</f>
      </c>
      <c r="S12" s="35" t="s">
        <v>206</v>
      </c>
      <c r="T12" t="s">
        <v>180</v>
      </c>
      <c r="U12" s="36" t="str">
        <f>COUNTIF($B$2:$B$49,B12)</f>
      </c>
      <c r="V12" s="23" t="str">
        <f>IF(U12=1,"OK","DUPLICATE KEY")</f>
      </c>
      <c r="W12" t="s">
        <v>207</v>
      </c>
      <c r="X12" t="s">
        <v>208</v>
      </c>
      <c r="Y12" t="s">
        <v>144</v>
      </c>
    </row>
    <row r="13">
      <c r="A13" t="s">
        <v>202</v>
      </c>
      <c r="B13" t="s">
        <v>209</v>
      </c>
      <c r="C13" t="s">
        <v>204</v>
      </c>
      <c r="D13" t="s">
        <v>205</v>
      </c>
      <c r="E13" t="s">
        <v>186</v>
      </c>
      <c r="F13" t="s">
        <v>187</v>
      </c>
      <c r="G13" t="s">
        <v>177</v>
      </c>
      <c r="H13" s="25" t="n">
        <v>4.4</v>
      </c>
      <c r="I13" s="26" t="n">
        <v>4.246</v>
      </c>
      <c r="J13" s="27" t="n">
        <v>1.06</v>
      </c>
      <c r="K13" s="28"/>
      <c r="L13" t="s">
        <v>178</v>
      </c>
      <c r="M13" s="29" t="n">
        <v>1</v>
      </c>
      <c r="N13" s="30" t="n">
        <v>2026</v>
      </c>
      <c r="O13" s="31" t="n">
        <v>2030</v>
      </c>
      <c r="P13" s="32" t="str">
        <f>1-1/(J13^(H13-I13))</f>
      </c>
      <c r="Q13" s="33" t="str">
        <f>H13-I13</f>
      </c>
      <c r="R13" s="34" t="str">
        <f>IF(H13=0,0,(H13-I13)/H13)</f>
      </c>
      <c r="S13" s="35" t="s">
        <v>206</v>
      </c>
      <c r="T13" t="s">
        <v>180</v>
      </c>
      <c r="U13" s="36" t="str">
        <f>COUNTIF($B$2:$B$49,B13)</f>
      </c>
      <c r="V13" s="23" t="str">
        <f>IF(U13=1,"OK","DUPLICATE KEY")</f>
      </c>
      <c r="W13" t="s">
        <v>207</v>
      </c>
      <c r="X13" t="s">
        <v>208</v>
      </c>
      <c r="Y13" t="s">
        <v>144</v>
      </c>
    </row>
    <row r="14">
      <c r="A14" t="s">
        <v>202</v>
      </c>
      <c r="B14" t="s">
        <v>210</v>
      </c>
      <c r="C14" t="s">
        <v>204</v>
      </c>
      <c r="D14" t="s">
        <v>205</v>
      </c>
      <c r="E14" t="s">
        <v>189</v>
      </c>
      <c r="F14" t="s">
        <v>190</v>
      </c>
      <c r="G14" t="s">
        <v>177</v>
      </c>
      <c r="H14" s="25" t="n">
        <v>4.4</v>
      </c>
      <c r="I14" s="26" t="n">
        <v>4.246</v>
      </c>
      <c r="J14" s="27" t="n">
        <v>1.06</v>
      </c>
      <c r="K14" s="28"/>
      <c r="L14" t="s">
        <v>178</v>
      </c>
      <c r="M14" s="29" t="n">
        <v>1</v>
      </c>
      <c r="N14" s="30" t="n">
        <v>2026</v>
      </c>
      <c r="O14" s="31" t="n">
        <v>2030</v>
      </c>
      <c r="P14" s="32" t="str">
        <f>1-1/(J14^(H14-I14))</f>
      </c>
      <c r="Q14" s="33" t="str">
        <f>H14-I14</f>
      </c>
      <c r="R14" s="34" t="str">
        <f>IF(H14=0,0,(H14-I14)/H14)</f>
      </c>
      <c r="S14" s="35" t="s">
        <v>206</v>
      </c>
      <c r="T14" t="s">
        <v>180</v>
      </c>
      <c r="U14" s="36" t="str">
        <f>COUNTIF($B$2:$B$49,B14)</f>
      </c>
      <c r="V14" s="23" t="str">
        <f>IF(U14=1,"OK","DUPLICATE KEY")</f>
      </c>
      <c r="W14" t="s">
        <v>207</v>
      </c>
      <c r="X14" t="s">
        <v>208</v>
      </c>
      <c r="Y14" t="s">
        <v>144</v>
      </c>
    </row>
    <row r="15">
      <c r="A15" t="s">
        <v>202</v>
      </c>
      <c r="B15" t="s">
        <v>211</v>
      </c>
      <c r="C15" t="s">
        <v>204</v>
      </c>
      <c r="D15" t="s">
        <v>205</v>
      </c>
      <c r="E15" t="s">
        <v>192</v>
      </c>
      <c r="F15" t="s">
        <v>193</v>
      </c>
      <c r="G15" t="s">
        <v>177</v>
      </c>
      <c r="H15" s="25" t="n">
        <v>4.4</v>
      </c>
      <c r="I15" s="26" t="n">
        <v>4.246</v>
      </c>
      <c r="J15" s="27" t="n">
        <v>1.06</v>
      </c>
      <c r="K15" s="28"/>
      <c r="L15" t="s">
        <v>178</v>
      </c>
      <c r="M15" s="29" t="n">
        <v>1</v>
      </c>
      <c r="N15" s="30" t="n">
        <v>2026</v>
      </c>
      <c r="O15" s="31" t="n">
        <v>2030</v>
      </c>
      <c r="P15" s="32" t="str">
        <f>1-1/(J15^(H15-I15))</f>
      </c>
      <c r="Q15" s="33" t="str">
        <f>H15-I15</f>
      </c>
      <c r="R15" s="34" t="str">
        <f>IF(H15=0,0,(H15-I15)/H15)</f>
      </c>
      <c r="S15" s="35" t="s">
        <v>206</v>
      </c>
      <c r="T15" t="s">
        <v>180</v>
      </c>
      <c r="U15" s="36" t="str">
        <f>COUNTIF($B$2:$B$49,B15)</f>
      </c>
      <c r="V15" s="23" t="str">
        <f>IF(U15=1,"OK","DUPLICATE KEY")</f>
      </c>
      <c r="W15" t="s">
        <v>207</v>
      </c>
      <c r="X15" t="s">
        <v>208</v>
      </c>
      <c r="Y15" t="s">
        <v>144</v>
      </c>
    </row>
    <row r="16">
      <c r="A16" t="s">
        <v>212</v>
      </c>
      <c r="B16" t="s">
        <v>213</v>
      </c>
      <c r="C16" t="s">
        <v>214</v>
      </c>
      <c r="D16" t="s">
        <v>205</v>
      </c>
      <c r="E16" t="s">
        <v>183</v>
      </c>
      <c r="F16" t="s">
        <v>184</v>
      </c>
      <c r="G16" t="s">
        <v>177</v>
      </c>
      <c r="H16" s="25" t="n">
        <v>4.4</v>
      </c>
      <c r="I16" s="26" t="n">
        <v>4.18</v>
      </c>
      <c r="J16" s="27" t="n">
        <v>1.06</v>
      </c>
      <c r="K16" s="28"/>
      <c r="L16" t="s">
        <v>178</v>
      </c>
      <c r="M16" s="29" t="n">
        <v>1</v>
      </c>
      <c r="N16" s="30" t="n">
        <v>2026</v>
      </c>
      <c r="O16" s="31" t="n">
        <v>2030</v>
      </c>
      <c r="P16" s="32" t="str">
        <f>1-1/(J16^(H16-I16))</f>
      </c>
      <c r="Q16" s="33" t="str">
        <f>H16-I16</f>
      </c>
      <c r="R16" s="34" t="str">
        <f>IF(H16=0,0,(H16-I16)/H16)</f>
      </c>
      <c r="S16" s="35" t="s">
        <v>215</v>
      </c>
      <c r="T16" t="s">
        <v>180</v>
      </c>
      <c r="U16" s="36" t="str">
        <f>COUNTIF($B$2:$B$49,B16)</f>
      </c>
      <c r="V16" s="23" t="str">
        <f>IF(U16=1,"OK","DUPLICATE KEY")</f>
      </c>
      <c r="W16" t="s">
        <v>207</v>
      </c>
      <c r="X16" t="s">
        <v>208</v>
      </c>
      <c r="Y16" t="s">
        <v>144</v>
      </c>
    </row>
    <row r="17">
      <c r="A17" t="s">
        <v>212</v>
      </c>
      <c r="B17" t="s">
        <v>216</v>
      </c>
      <c r="C17" t="s">
        <v>214</v>
      </c>
      <c r="D17" t="s">
        <v>205</v>
      </c>
      <c r="E17" t="s">
        <v>186</v>
      </c>
      <c r="F17" t="s">
        <v>187</v>
      </c>
      <c r="G17" t="s">
        <v>177</v>
      </c>
      <c r="H17" s="25" t="n">
        <v>4.4</v>
      </c>
      <c r="I17" s="26" t="n">
        <v>4.18</v>
      </c>
      <c r="J17" s="27" t="n">
        <v>1.06</v>
      </c>
      <c r="K17" s="28"/>
      <c r="L17" t="s">
        <v>178</v>
      </c>
      <c r="M17" s="29" t="n">
        <v>1</v>
      </c>
      <c r="N17" s="30" t="n">
        <v>2026</v>
      </c>
      <c r="O17" s="31" t="n">
        <v>2030</v>
      </c>
      <c r="P17" s="32" t="str">
        <f>1-1/(J17^(H17-I17))</f>
      </c>
      <c r="Q17" s="33" t="str">
        <f>H17-I17</f>
      </c>
      <c r="R17" s="34" t="str">
        <f>IF(H17=0,0,(H17-I17)/H17)</f>
      </c>
      <c r="S17" s="35" t="s">
        <v>215</v>
      </c>
      <c r="T17" t="s">
        <v>180</v>
      </c>
      <c r="U17" s="36" t="str">
        <f>COUNTIF($B$2:$B$49,B17)</f>
      </c>
      <c r="V17" s="23" t="str">
        <f>IF(U17=1,"OK","DUPLICATE KEY")</f>
      </c>
      <c r="W17" t="s">
        <v>207</v>
      </c>
      <c r="X17" t="s">
        <v>208</v>
      </c>
      <c r="Y17" t="s">
        <v>144</v>
      </c>
    </row>
    <row r="18">
      <c r="A18" t="s">
        <v>212</v>
      </c>
      <c r="B18" t="s">
        <v>217</v>
      </c>
      <c r="C18" t="s">
        <v>214</v>
      </c>
      <c r="D18" t="s">
        <v>205</v>
      </c>
      <c r="E18" t="s">
        <v>189</v>
      </c>
      <c r="F18" t="s">
        <v>190</v>
      </c>
      <c r="G18" t="s">
        <v>177</v>
      </c>
      <c r="H18" s="25" t="n">
        <v>4.4</v>
      </c>
      <c r="I18" s="26" t="n">
        <v>4.18</v>
      </c>
      <c r="J18" s="27" t="n">
        <v>1.06</v>
      </c>
      <c r="K18" s="28"/>
      <c r="L18" t="s">
        <v>178</v>
      </c>
      <c r="M18" s="29" t="n">
        <v>1</v>
      </c>
      <c r="N18" s="30" t="n">
        <v>2026</v>
      </c>
      <c r="O18" s="31" t="n">
        <v>2030</v>
      </c>
      <c r="P18" s="32" t="str">
        <f>1-1/(J18^(H18-I18))</f>
      </c>
      <c r="Q18" s="33" t="str">
        <f>H18-I18</f>
      </c>
      <c r="R18" s="34" t="str">
        <f>IF(H18=0,0,(H18-I18)/H18)</f>
      </c>
      <c r="S18" s="35" t="s">
        <v>215</v>
      </c>
      <c r="T18" t="s">
        <v>180</v>
      </c>
      <c r="U18" s="36" t="str">
        <f>COUNTIF($B$2:$B$49,B18)</f>
      </c>
      <c r="V18" s="23" t="str">
        <f>IF(U18=1,"OK","DUPLICATE KEY")</f>
      </c>
      <c r="W18" t="s">
        <v>207</v>
      </c>
      <c r="X18" t="s">
        <v>208</v>
      </c>
      <c r="Y18" t="s">
        <v>144</v>
      </c>
    </row>
    <row r="19">
      <c r="A19" t="s">
        <v>212</v>
      </c>
      <c r="B19" t="s">
        <v>218</v>
      </c>
      <c r="C19" t="s">
        <v>214</v>
      </c>
      <c r="D19" t="s">
        <v>205</v>
      </c>
      <c r="E19" t="s">
        <v>192</v>
      </c>
      <c r="F19" t="s">
        <v>193</v>
      </c>
      <c r="G19" t="s">
        <v>177</v>
      </c>
      <c r="H19" s="25" t="n">
        <v>4.4</v>
      </c>
      <c r="I19" s="26" t="n">
        <v>4.18</v>
      </c>
      <c r="J19" s="27" t="n">
        <v>1.06</v>
      </c>
      <c r="K19" s="28"/>
      <c r="L19" t="s">
        <v>178</v>
      </c>
      <c r="M19" s="29" t="n">
        <v>1</v>
      </c>
      <c r="N19" s="30" t="n">
        <v>2026</v>
      </c>
      <c r="O19" s="31" t="n">
        <v>2030</v>
      </c>
      <c r="P19" s="32" t="str">
        <f>1-1/(J19^(H19-I19))</f>
      </c>
      <c r="Q19" s="33" t="str">
        <f>H19-I19</f>
      </c>
      <c r="R19" s="34" t="str">
        <f>IF(H19=0,0,(H19-I19)/H19)</f>
      </c>
      <c r="S19" s="35" t="s">
        <v>215</v>
      </c>
      <c r="T19" t="s">
        <v>180</v>
      </c>
      <c r="U19" s="36" t="str">
        <f>COUNTIF($B$2:$B$49,B19)</f>
      </c>
      <c r="V19" s="23" t="str">
        <f>IF(U19=1,"OK","DUPLICATE KEY")</f>
      </c>
      <c r="W19" t="s">
        <v>207</v>
      </c>
      <c r="X19" t="s">
        <v>208</v>
      </c>
      <c r="Y19" t="s">
        <v>144</v>
      </c>
    </row>
    <row r="20">
      <c r="A20" t="s">
        <v>219</v>
      </c>
      <c r="B20" t="s">
        <v>220</v>
      </c>
      <c r="C20" t="s">
        <v>221</v>
      </c>
      <c r="D20" t="s">
        <v>205</v>
      </c>
      <c r="E20" t="s">
        <v>183</v>
      </c>
      <c r="F20" t="s">
        <v>184</v>
      </c>
      <c r="G20" t="s">
        <v>177</v>
      </c>
      <c r="H20" s="25" t="n">
        <v>4.4</v>
      </c>
      <c r="I20" s="26" t="n">
        <v>4.4</v>
      </c>
      <c r="J20" s="27" t="n">
        <v>1.06</v>
      </c>
      <c r="K20" s="28"/>
      <c r="L20" t="s">
        <v>178</v>
      </c>
      <c r="M20" s="29" t="n">
        <v>1</v>
      </c>
      <c r="N20" s="30" t="n">
        <v>2026</v>
      </c>
      <c r="O20" s="31" t="n">
        <v>2030</v>
      </c>
      <c r="P20" s="32" t="str">
        <f>1-1/(J20^(H20-I20))</f>
      </c>
      <c r="Q20" s="33" t="str">
        <f>H20-I20</f>
      </c>
      <c r="R20" s="34" t="str">
        <f>IF(H20=0,0,(H20-I20)/H20)</f>
      </c>
      <c r="S20" s="35" t="s">
        <v>222</v>
      </c>
      <c r="T20" t="s">
        <v>180</v>
      </c>
      <c r="U20" s="36" t="str">
        <f>COUNTIF($B$2:$B$49,B20)</f>
      </c>
      <c r="V20" s="23" t="str">
        <f>IF(U20=1,"OK","DUPLICATE KEY")</f>
      </c>
      <c r="W20" t="s">
        <v>207</v>
      </c>
      <c r="X20" t="s">
        <v>208</v>
      </c>
      <c r="Y20" t="s">
        <v>144</v>
      </c>
    </row>
    <row r="21">
      <c r="A21" t="s">
        <v>219</v>
      </c>
      <c r="B21" t="s">
        <v>223</v>
      </c>
      <c r="C21" t="s">
        <v>221</v>
      </c>
      <c r="D21" t="s">
        <v>205</v>
      </c>
      <c r="E21" t="s">
        <v>186</v>
      </c>
      <c r="F21" t="s">
        <v>187</v>
      </c>
      <c r="G21" t="s">
        <v>177</v>
      </c>
      <c r="H21" s="25" t="n">
        <v>4.4</v>
      </c>
      <c r="I21" s="26" t="n">
        <v>4.4</v>
      </c>
      <c r="J21" s="27" t="n">
        <v>1.06</v>
      </c>
      <c r="K21" s="28"/>
      <c r="L21" t="s">
        <v>178</v>
      </c>
      <c r="M21" s="29" t="n">
        <v>1</v>
      </c>
      <c r="N21" s="30" t="n">
        <v>2026</v>
      </c>
      <c r="O21" s="31" t="n">
        <v>2030</v>
      </c>
      <c r="P21" s="32" t="str">
        <f>1-1/(J21^(H21-I21))</f>
      </c>
      <c r="Q21" s="33" t="str">
        <f>H21-I21</f>
      </c>
      <c r="R21" s="34" t="str">
        <f>IF(H21=0,0,(H21-I21)/H21)</f>
      </c>
      <c r="S21" s="35" t="s">
        <v>222</v>
      </c>
      <c r="T21" t="s">
        <v>180</v>
      </c>
      <c r="U21" s="36" t="str">
        <f>COUNTIF($B$2:$B$49,B21)</f>
      </c>
      <c r="V21" s="23" t="str">
        <f>IF(U21=1,"OK","DUPLICATE KEY")</f>
      </c>
      <c r="W21" t="s">
        <v>207</v>
      </c>
      <c r="X21" t="s">
        <v>208</v>
      </c>
      <c r="Y21" t="s">
        <v>144</v>
      </c>
    </row>
    <row r="22">
      <c r="A22" t="s">
        <v>219</v>
      </c>
      <c r="B22" t="s">
        <v>224</v>
      </c>
      <c r="C22" t="s">
        <v>221</v>
      </c>
      <c r="D22" t="s">
        <v>205</v>
      </c>
      <c r="E22" t="s">
        <v>189</v>
      </c>
      <c r="F22" t="s">
        <v>190</v>
      </c>
      <c r="G22" t="s">
        <v>177</v>
      </c>
      <c r="H22" s="25" t="n">
        <v>4.4</v>
      </c>
      <c r="I22" s="26" t="n">
        <v>4.4</v>
      </c>
      <c r="J22" s="27" t="n">
        <v>1.06</v>
      </c>
      <c r="K22" s="28"/>
      <c r="L22" t="s">
        <v>178</v>
      </c>
      <c r="M22" s="29" t="n">
        <v>1</v>
      </c>
      <c r="N22" s="30" t="n">
        <v>2026</v>
      </c>
      <c r="O22" s="31" t="n">
        <v>2030</v>
      </c>
      <c r="P22" s="32" t="str">
        <f>1-1/(J22^(H22-I22))</f>
      </c>
      <c r="Q22" s="33" t="str">
        <f>H22-I22</f>
      </c>
      <c r="R22" s="34" t="str">
        <f>IF(H22=0,0,(H22-I22)/H22)</f>
      </c>
      <c r="S22" s="35" t="s">
        <v>222</v>
      </c>
      <c r="T22" t="s">
        <v>180</v>
      </c>
      <c r="U22" s="36" t="str">
        <f>COUNTIF($B$2:$B$49,B22)</f>
      </c>
      <c r="V22" s="23" t="str">
        <f>IF(U22=1,"OK","DUPLICATE KEY")</f>
      </c>
      <c r="W22" t="s">
        <v>207</v>
      </c>
      <c r="X22" t="s">
        <v>208</v>
      </c>
      <c r="Y22" t="s">
        <v>144</v>
      </c>
    </row>
    <row r="23">
      <c r="A23" t="s">
        <v>219</v>
      </c>
      <c r="B23" t="s">
        <v>225</v>
      </c>
      <c r="C23" t="s">
        <v>221</v>
      </c>
      <c r="D23" t="s">
        <v>205</v>
      </c>
      <c r="E23" t="s">
        <v>192</v>
      </c>
      <c r="F23" t="s">
        <v>193</v>
      </c>
      <c r="G23" t="s">
        <v>177</v>
      </c>
      <c r="H23" s="25" t="n">
        <v>4.4</v>
      </c>
      <c r="I23" s="26" t="n">
        <v>4.4</v>
      </c>
      <c r="J23" s="27" t="n">
        <v>1.06</v>
      </c>
      <c r="K23" s="28"/>
      <c r="L23" t="s">
        <v>178</v>
      </c>
      <c r="M23" s="29" t="n">
        <v>1</v>
      </c>
      <c r="N23" s="30" t="n">
        <v>2026</v>
      </c>
      <c r="O23" s="31" t="n">
        <v>2030</v>
      </c>
      <c r="P23" s="32" t="str">
        <f>1-1/(J23^(H23-I23))</f>
      </c>
      <c r="Q23" s="33" t="str">
        <f>H23-I23</f>
      </c>
      <c r="R23" s="34" t="str">
        <f>IF(H23=0,0,(H23-I23)/H23)</f>
      </c>
      <c r="S23" s="35" t="s">
        <v>222</v>
      </c>
      <c r="T23" t="s">
        <v>180</v>
      </c>
      <c r="U23" s="36" t="str">
        <f>COUNTIF($B$2:$B$49,B23)</f>
      </c>
      <c r="V23" s="23" t="str">
        <f>IF(U23=1,"OK","DUPLICATE KEY")</f>
      </c>
      <c r="W23" t="s">
        <v>207</v>
      </c>
      <c r="X23" t="s">
        <v>208</v>
      </c>
      <c r="Y23" t="s">
        <v>144</v>
      </c>
    </row>
    <row r="24">
      <c r="A24" t="s">
        <v>226</v>
      </c>
      <c r="B24" t="s">
        <v>227</v>
      </c>
      <c r="C24" t="s">
        <v>228</v>
      </c>
      <c r="D24" t="s">
        <v>205</v>
      </c>
      <c r="E24" t="s">
        <v>183</v>
      </c>
      <c r="F24" t="s">
        <v>184</v>
      </c>
      <c r="G24" t="s">
        <v>177</v>
      </c>
      <c r="H24" s="25" t="n">
        <v>4.4</v>
      </c>
      <c r="I24" s="26" t="n">
        <v>3.96</v>
      </c>
      <c r="J24" s="27" t="n">
        <v>1.06</v>
      </c>
      <c r="K24" s="28"/>
      <c r="L24" t="s">
        <v>178</v>
      </c>
      <c r="M24" s="29" t="n">
        <v>1</v>
      </c>
      <c r="N24" s="30" t="n">
        <v>2026</v>
      </c>
      <c r="O24" s="31" t="n">
        <v>2030</v>
      </c>
      <c r="P24" s="32" t="str">
        <f>1-1/(J24^(H24-I24))</f>
      </c>
      <c r="Q24" s="33" t="str">
        <f>H24-I24</f>
      </c>
      <c r="R24" s="34" t="str">
        <f>IF(H24=0,0,(H24-I24)/H24)</f>
      </c>
      <c r="S24" s="35" t="s">
        <v>229</v>
      </c>
      <c r="T24" t="s">
        <v>180</v>
      </c>
      <c r="U24" s="36" t="str">
        <f>COUNTIF($B$2:$B$49,B24)</f>
      </c>
      <c r="V24" s="23" t="str">
        <f>IF(U24=1,"OK","DUPLICATE KEY")</f>
      </c>
      <c r="W24" t="s">
        <v>207</v>
      </c>
      <c r="X24" t="s">
        <v>208</v>
      </c>
      <c r="Y24" t="s">
        <v>144</v>
      </c>
    </row>
    <row r="25">
      <c r="A25" t="s">
        <v>226</v>
      </c>
      <c r="B25" t="s">
        <v>230</v>
      </c>
      <c r="C25" t="s">
        <v>228</v>
      </c>
      <c r="D25" t="s">
        <v>205</v>
      </c>
      <c r="E25" t="s">
        <v>186</v>
      </c>
      <c r="F25" t="s">
        <v>187</v>
      </c>
      <c r="G25" t="s">
        <v>177</v>
      </c>
      <c r="H25" s="25" t="n">
        <v>4.4</v>
      </c>
      <c r="I25" s="26" t="n">
        <v>3.96</v>
      </c>
      <c r="J25" s="27" t="n">
        <v>1.06</v>
      </c>
      <c r="K25" s="28"/>
      <c r="L25" t="s">
        <v>178</v>
      </c>
      <c r="M25" s="29" t="n">
        <v>1</v>
      </c>
      <c r="N25" s="30" t="n">
        <v>2026</v>
      </c>
      <c r="O25" s="31" t="n">
        <v>2030</v>
      </c>
      <c r="P25" s="32" t="str">
        <f>1-1/(J25^(H25-I25))</f>
      </c>
      <c r="Q25" s="33" t="str">
        <f>H25-I25</f>
      </c>
      <c r="R25" s="34" t="str">
        <f>IF(H25=0,0,(H25-I25)/H25)</f>
      </c>
      <c r="S25" s="35" t="s">
        <v>229</v>
      </c>
      <c r="T25" t="s">
        <v>180</v>
      </c>
      <c r="U25" s="36" t="str">
        <f>COUNTIF($B$2:$B$49,B25)</f>
      </c>
      <c r="V25" s="23" t="str">
        <f>IF(U25=1,"OK","DUPLICATE KEY")</f>
      </c>
      <c r="W25" t="s">
        <v>207</v>
      </c>
      <c r="X25" t="s">
        <v>208</v>
      </c>
      <c r="Y25" t="s">
        <v>144</v>
      </c>
    </row>
    <row r="26">
      <c r="A26" t="s">
        <v>226</v>
      </c>
      <c r="B26" t="s">
        <v>231</v>
      </c>
      <c r="C26" t="s">
        <v>228</v>
      </c>
      <c r="D26" t="s">
        <v>205</v>
      </c>
      <c r="E26" t="s">
        <v>189</v>
      </c>
      <c r="F26" t="s">
        <v>190</v>
      </c>
      <c r="G26" t="s">
        <v>177</v>
      </c>
      <c r="H26" s="25" t="n">
        <v>4.4</v>
      </c>
      <c r="I26" s="26" t="n">
        <v>3.96</v>
      </c>
      <c r="J26" s="27" t="n">
        <v>1.06</v>
      </c>
      <c r="K26" s="28"/>
      <c r="L26" t="s">
        <v>178</v>
      </c>
      <c r="M26" s="29" t="n">
        <v>1</v>
      </c>
      <c r="N26" s="30" t="n">
        <v>2026</v>
      </c>
      <c r="O26" s="31" t="n">
        <v>2030</v>
      </c>
      <c r="P26" s="32" t="str">
        <f>1-1/(J26^(H26-I26))</f>
      </c>
      <c r="Q26" s="33" t="str">
        <f>H26-I26</f>
      </c>
      <c r="R26" s="34" t="str">
        <f>IF(H26=0,0,(H26-I26)/H26)</f>
      </c>
      <c r="S26" s="35" t="s">
        <v>229</v>
      </c>
      <c r="T26" t="s">
        <v>180</v>
      </c>
      <c r="U26" s="36" t="str">
        <f>COUNTIF($B$2:$B$49,B26)</f>
      </c>
      <c r="V26" s="23" t="str">
        <f>IF(U26=1,"OK","DUPLICATE KEY")</f>
      </c>
      <c r="W26" t="s">
        <v>207</v>
      </c>
      <c r="X26" t="s">
        <v>208</v>
      </c>
      <c r="Y26" t="s">
        <v>144</v>
      </c>
    </row>
    <row r="27">
      <c r="A27" t="s">
        <v>226</v>
      </c>
      <c r="B27" t="s">
        <v>232</v>
      </c>
      <c r="C27" t="s">
        <v>228</v>
      </c>
      <c r="D27" t="s">
        <v>205</v>
      </c>
      <c r="E27" t="s">
        <v>192</v>
      </c>
      <c r="F27" t="s">
        <v>193</v>
      </c>
      <c r="G27" t="s">
        <v>177</v>
      </c>
      <c r="H27" s="25" t="n">
        <v>4.4</v>
      </c>
      <c r="I27" s="26" t="n">
        <v>3.96</v>
      </c>
      <c r="J27" s="27" t="n">
        <v>1.06</v>
      </c>
      <c r="K27" s="28"/>
      <c r="L27" t="s">
        <v>178</v>
      </c>
      <c r="M27" s="29" t="n">
        <v>1</v>
      </c>
      <c r="N27" s="30" t="n">
        <v>2026</v>
      </c>
      <c r="O27" s="31" t="n">
        <v>2030</v>
      </c>
      <c r="P27" s="32" t="str">
        <f>1-1/(J27^(H27-I27))</f>
      </c>
      <c r="Q27" s="33" t="str">
        <f>H27-I27</f>
      </c>
      <c r="R27" s="34" t="str">
        <f>IF(H27=0,0,(H27-I27)/H27)</f>
      </c>
      <c r="S27" s="35" t="s">
        <v>229</v>
      </c>
      <c r="T27" t="s">
        <v>180</v>
      </c>
      <c r="U27" s="36" t="str">
        <f>COUNTIF($B$2:$B$49,B27)</f>
      </c>
      <c r="V27" s="23" t="str">
        <f>IF(U27=1,"OK","DUPLICATE KEY")</f>
      </c>
      <c r="W27" t="s">
        <v>207</v>
      </c>
      <c r="X27" t="s">
        <v>208</v>
      </c>
      <c r="Y27" t="s">
        <v>144</v>
      </c>
    </row>
    <row r="28">
      <c r="A28" t="s">
        <v>233</v>
      </c>
      <c r="B28" t="s">
        <v>234</v>
      </c>
      <c r="C28" t="s">
        <v>235</v>
      </c>
      <c r="D28" t="s">
        <v>236</v>
      </c>
      <c r="E28" t="s">
        <v>237</v>
      </c>
      <c r="F28" t="s">
        <v>238</v>
      </c>
      <c r="G28" t="s">
        <v>177</v>
      </c>
      <c r="H28" s="25" t="n">
        <v>0.114285714285714</v>
      </c>
      <c r="I28" s="26" t="n">
        <v>0.094285714285714</v>
      </c>
      <c r="J28" s="27" t="n">
        <v>1.18</v>
      </c>
      <c r="K28" s="28"/>
      <c r="L28" t="s">
        <v>178</v>
      </c>
      <c r="M28" s="29" t="n">
        <v>1</v>
      </c>
      <c r="N28" s="30" t="n">
        <v>2026</v>
      </c>
      <c r="O28" s="31" t="n">
        <v>2030</v>
      </c>
      <c r="P28" s="32" t="str">
        <f>1-1/(J28^(H28-I28))</f>
      </c>
      <c r="Q28" s="33" t="str">
        <f>H28-I28</f>
      </c>
      <c r="R28" s="34" t="str">
        <f>IF(H28=0,0,(H28-I28)/H28)</f>
      </c>
      <c r="S28" s="35" t="s">
        <v>239</v>
      </c>
      <c r="T28" t="s">
        <v>180</v>
      </c>
      <c r="U28" s="36" t="str">
        <f>COUNTIF($B$2:$B$49,B28)</f>
      </c>
      <c r="V28" s="23" t="str">
        <f>IF(U28=1,"OK","DUPLICATE KEY")</f>
      </c>
      <c r="W28" t="s">
        <v>233</v>
      </c>
      <c r="X28" t="s">
        <v>181</v>
      </c>
      <c r="Y28" t="s">
        <v>144</v>
      </c>
    </row>
    <row r="29">
      <c r="A29" t="s">
        <v>233</v>
      </c>
      <c r="B29" t="s">
        <v>240</v>
      </c>
      <c r="C29" t="s">
        <v>235</v>
      </c>
      <c r="D29" t="s">
        <v>236</v>
      </c>
      <c r="E29" t="s">
        <v>183</v>
      </c>
      <c r="F29" t="s">
        <v>184</v>
      </c>
      <c r="G29" t="s">
        <v>177</v>
      </c>
      <c r="H29" s="25" t="n">
        <v>0.114285714285714</v>
      </c>
      <c r="I29" s="26" t="n">
        <v>0.094285714285714</v>
      </c>
      <c r="J29" s="27" t="n">
        <v>1.1</v>
      </c>
      <c r="K29" s="28"/>
      <c r="L29" t="s">
        <v>178</v>
      </c>
      <c r="M29" s="29" t="n">
        <v>1</v>
      </c>
      <c r="N29" s="30" t="n">
        <v>2026</v>
      </c>
      <c r="O29" s="31" t="n">
        <v>2030</v>
      </c>
      <c r="P29" s="32" t="str">
        <f>1-1/(J29^(H29-I29))</f>
      </c>
      <c r="Q29" s="33" t="str">
        <f>H29-I29</f>
      </c>
      <c r="R29" s="34" t="str">
        <f>IF(H29=0,0,(H29-I29)/H29)</f>
      </c>
      <c r="S29" s="35" t="s">
        <v>239</v>
      </c>
      <c r="T29" t="s">
        <v>180</v>
      </c>
      <c r="U29" s="36" t="str">
        <f>COUNTIF($B$2:$B$49,B29)</f>
      </c>
      <c r="V29" s="23" t="str">
        <f>IF(U29=1,"OK","DUPLICATE KEY")</f>
      </c>
      <c r="W29" t="s">
        <v>233</v>
      </c>
      <c r="X29" t="s">
        <v>181</v>
      </c>
      <c r="Y29" t="s">
        <v>144</v>
      </c>
    </row>
    <row r="30">
      <c r="A30" t="s">
        <v>233</v>
      </c>
      <c r="B30" t="s">
        <v>241</v>
      </c>
      <c r="C30" t="s">
        <v>235</v>
      </c>
      <c r="D30" t="s">
        <v>236</v>
      </c>
      <c r="E30" t="s">
        <v>186</v>
      </c>
      <c r="F30" t="s">
        <v>187</v>
      </c>
      <c r="G30" t="s">
        <v>177</v>
      </c>
      <c r="H30" s="25" t="n">
        <v>0.114285714285714</v>
      </c>
      <c r="I30" s="26" t="n">
        <v>0.094285714285714</v>
      </c>
      <c r="J30" s="27" t="n">
        <v>1.08</v>
      </c>
      <c r="K30" s="28"/>
      <c r="L30" t="s">
        <v>178</v>
      </c>
      <c r="M30" s="29" t="n">
        <v>1</v>
      </c>
      <c r="N30" s="30" t="n">
        <v>2026</v>
      </c>
      <c r="O30" s="31" t="n">
        <v>2030</v>
      </c>
      <c r="P30" s="32" t="str">
        <f>1-1/(J30^(H30-I30))</f>
      </c>
      <c r="Q30" s="33" t="str">
        <f>H30-I30</f>
      </c>
      <c r="R30" s="34" t="str">
        <f>IF(H30=0,0,(H30-I30)/H30)</f>
      </c>
      <c r="S30" s="35" t="s">
        <v>239</v>
      </c>
      <c r="T30" t="s">
        <v>180</v>
      </c>
      <c r="U30" s="36" t="str">
        <f>COUNTIF($B$2:$B$49,B30)</f>
      </c>
      <c r="V30" s="23" t="str">
        <f>IF(U30=1,"OK","DUPLICATE KEY")</f>
      </c>
      <c r="W30" t="s">
        <v>233</v>
      </c>
      <c r="X30" t="s">
        <v>181</v>
      </c>
      <c r="Y30" t="s">
        <v>144</v>
      </c>
    </row>
    <row r="31">
      <c r="A31" t="s">
        <v>233</v>
      </c>
      <c r="B31" t="s">
        <v>242</v>
      </c>
      <c r="C31" t="s">
        <v>235</v>
      </c>
      <c r="D31" t="s">
        <v>236</v>
      </c>
      <c r="E31" t="s">
        <v>189</v>
      </c>
      <c r="F31" t="s">
        <v>190</v>
      </c>
      <c r="G31" t="s">
        <v>177</v>
      </c>
      <c r="H31" s="25" t="n">
        <v>0.114285714285714</v>
      </c>
      <c r="I31" s="26" t="n">
        <v>0.094285714285714</v>
      </c>
      <c r="J31" s="27" t="n">
        <v>1.14</v>
      </c>
      <c r="K31" s="28"/>
      <c r="L31" t="s">
        <v>178</v>
      </c>
      <c r="M31" s="29" t="n">
        <v>1</v>
      </c>
      <c r="N31" s="30" t="n">
        <v>2026</v>
      </c>
      <c r="O31" s="31" t="n">
        <v>2030</v>
      </c>
      <c r="P31" s="32" t="str">
        <f>1-1/(J31^(H31-I31))</f>
      </c>
      <c r="Q31" s="33" t="str">
        <f>H31-I31</f>
      </c>
      <c r="R31" s="34" t="str">
        <f>IF(H31=0,0,(H31-I31)/H31)</f>
      </c>
      <c r="S31" s="35" t="s">
        <v>239</v>
      </c>
      <c r="T31" t="s">
        <v>180</v>
      </c>
      <c r="U31" s="36" t="str">
        <f>COUNTIF($B$2:$B$49,B31)</f>
      </c>
      <c r="V31" s="23" t="str">
        <f>IF(U31=1,"OK","DUPLICATE KEY")</f>
      </c>
      <c r="W31" t="s">
        <v>233</v>
      </c>
      <c r="X31" t="s">
        <v>181</v>
      </c>
      <c r="Y31" t="s">
        <v>144</v>
      </c>
    </row>
    <row r="32">
      <c r="A32" t="s">
        <v>233</v>
      </c>
      <c r="B32" t="s">
        <v>243</v>
      </c>
      <c r="C32" t="s">
        <v>235</v>
      </c>
      <c r="D32" t="s">
        <v>236</v>
      </c>
      <c r="E32" t="s">
        <v>192</v>
      </c>
      <c r="F32" t="s">
        <v>193</v>
      </c>
      <c r="G32" t="s">
        <v>177</v>
      </c>
      <c r="H32" s="25" t="n">
        <v>0.114285714285714</v>
      </c>
      <c r="I32" s="26" t="n">
        <v>0.094285714285714</v>
      </c>
      <c r="J32" s="27" t="n">
        <v>1.07</v>
      </c>
      <c r="K32" s="28"/>
      <c r="L32" t="s">
        <v>178</v>
      </c>
      <c r="M32" s="29" t="n">
        <v>1</v>
      </c>
      <c r="N32" s="30" t="n">
        <v>2026</v>
      </c>
      <c r="O32" s="31" t="n">
        <v>2030</v>
      </c>
      <c r="P32" s="32" t="str">
        <f>1-1/(J32^(H32-I32))</f>
      </c>
      <c r="Q32" s="33" t="str">
        <f>H32-I32</f>
      </c>
      <c r="R32" s="34" t="str">
        <f>IF(H32=0,0,(H32-I32)/H32)</f>
      </c>
      <c r="S32" s="35" t="s">
        <v>239</v>
      </c>
      <c r="T32" t="s">
        <v>180</v>
      </c>
      <c r="U32" s="36" t="str">
        <f>COUNTIF($B$2:$B$49,B32)</f>
      </c>
      <c r="V32" s="23" t="str">
        <f>IF(U32=1,"OK","DUPLICATE KEY")</f>
      </c>
      <c r="W32" t="s">
        <v>233</v>
      </c>
      <c r="X32" t="s">
        <v>181</v>
      </c>
      <c r="Y32" t="s">
        <v>144</v>
      </c>
    </row>
    <row r="33">
      <c r="A33" t="s">
        <v>244</v>
      </c>
      <c r="B33" t="s">
        <v>245</v>
      </c>
      <c r="C33" t="s">
        <v>246</v>
      </c>
      <c r="D33" t="s">
        <v>247</v>
      </c>
      <c r="E33" t="s">
        <v>189</v>
      </c>
      <c r="F33" t="s">
        <v>190</v>
      </c>
      <c r="G33" t="s">
        <v>177</v>
      </c>
      <c r="H33" s="25" t="n">
        <v>0.48</v>
      </c>
      <c r="I33" s="26" t="n">
        <v>0.24</v>
      </c>
      <c r="J33" s="27" t="n">
        <v>1.1</v>
      </c>
      <c r="K33" s="28"/>
      <c r="L33" t="s">
        <v>178</v>
      </c>
      <c r="M33" s="29" t="n">
        <v>1</v>
      </c>
      <c r="N33" s="30" t="n">
        <v>2026</v>
      </c>
      <c r="O33" s="31" t="n">
        <v>2030</v>
      </c>
      <c r="P33" s="32" t="str">
        <f>1-1/(J33^(H33-I33))</f>
      </c>
      <c r="Q33" s="33" t="str">
        <f>H33-I33</f>
      </c>
      <c r="R33" s="34" t="str">
        <f>IF(H33=0,0,(H33-I33)/H33)</f>
      </c>
      <c r="S33" s="35" t="s">
        <v>248</v>
      </c>
      <c r="T33" t="s">
        <v>180</v>
      </c>
      <c r="U33" s="36" t="str">
        <f>COUNTIF($B$2:$B$49,B33)</f>
      </c>
      <c r="V33" s="23" t="str">
        <f>IF(U33=1,"OK","DUPLICATE KEY")</f>
      </c>
      <c r="W33" t="s">
        <v>244</v>
      </c>
      <c r="X33" t="s">
        <v>181</v>
      </c>
      <c r="Y33" t="s">
        <v>144</v>
      </c>
    </row>
    <row r="34">
      <c r="A34" t="s">
        <v>249</v>
      </c>
      <c r="B34" t="s">
        <v>250</v>
      </c>
      <c r="C34" t="s">
        <v>251</v>
      </c>
      <c r="D34" t="s">
        <v>252</v>
      </c>
      <c r="E34" t="s">
        <v>237</v>
      </c>
      <c r="F34" t="s">
        <v>238</v>
      </c>
      <c r="G34" t="s">
        <v>253</v>
      </c>
      <c r="H34" s="25" t="n">
        <v>0.303</v>
      </c>
      <c r="I34" s="26" t="n">
        <v>0.1982832</v>
      </c>
      <c r="J34" s="27" t="n">
        <v>1.37</v>
      </c>
      <c r="K34" s="28"/>
      <c r="L34" t="s">
        <v>254</v>
      </c>
      <c r="M34" s="29" t="n">
        <v>0.0615144568129612</v>
      </c>
      <c r="N34" s="30" t="n">
        <v>2026</v>
      </c>
      <c r="O34" s="31" t="n">
        <v>2030</v>
      </c>
      <c r="P34" s="32" t="str">
        <f>1-(1+I34*(J34-1))/(1+H34*(J34-1))</f>
      </c>
      <c r="Q34" s="33" t="str">
        <f>H34-I34</f>
      </c>
      <c r="R34" s="34" t="str">
        <f>IF(H34=0,0,(H34-I34)/H34)</f>
      </c>
      <c r="S34" s="35" t="s">
        <v>255</v>
      </c>
      <c r="T34" t="s">
        <v>180</v>
      </c>
      <c r="U34" s="36" t="str">
        <f>COUNTIF($B$2:$B$49,B34)</f>
      </c>
      <c r="V34" s="23" t="str">
        <f>IF(U34=1,"OK","DUPLICATE KEY")</f>
      </c>
      <c r="W34" t="s">
        <v>249</v>
      </c>
      <c r="X34" t="s">
        <v>181</v>
      </c>
      <c r="Y34" t="s">
        <v>144</v>
      </c>
    </row>
    <row r="35">
      <c r="A35" t="s">
        <v>249</v>
      </c>
      <c r="B35" t="s">
        <v>256</v>
      </c>
      <c r="C35" t="s">
        <v>251</v>
      </c>
      <c r="D35" t="s">
        <v>252</v>
      </c>
      <c r="E35" t="s">
        <v>186</v>
      </c>
      <c r="F35" t="s">
        <v>187</v>
      </c>
      <c r="G35" t="s">
        <v>253</v>
      </c>
      <c r="H35" s="25" t="n">
        <v>0.303</v>
      </c>
      <c r="I35" s="26" t="n">
        <v>0.1982832</v>
      </c>
      <c r="J35" s="27" t="n">
        <v>1.19</v>
      </c>
      <c r="K35" s="28"/>
      <c r="L35" t="s">
        <v>254</v>
      </c>
      <c r="M35" s="29" t="n">
        <v>0.0615144568129612</v>
      </c>
      <c r="N35" s="30" t="n">
        <v>2026</v>
      </c>
      <c r="O35" s="31" t="n">
        <v>2030</v>
      </c>
      <c r="P35" s="32" t="str">
        <f>1-(1+I35*(J35-1))/(1+H35*(J35-1))</f>
      </c>
      <c r="Q35" s="33" t="str">
        <f>H35-I35</f>
      </c>
      <c r="R35" s="34" t="str">
        <f>IF(H35=0,0,(H35-I35)/H35)</f>
      </c>
      <c r="S35" s="35" t="s">
        <v>255</v>
      </c>
      <c r="T35" t="s">
        <v>180</v>
      </c>
      <c r="U35" s="36" t="str">
        <f>COUNTIF($B$2:$B$49,B35)</f>
      </c>
      <c r="V35" s="23" t="str">
        <f>IF(U35=1,"OK","DUPLICATE KEY")</f>
      </c>
      <c r="W35" t="s">
        <v>249</v>
      </c>
      <c r="X35" t="s">
        <v>181</v>
      </c>
      <c r="Y35" t="s">
        <v>144</v>
      </c>
    </row>
    <row r="36">
      <c r="A36" t="s">
        <v>249</v>
      </c>
      <c r="B36" t="s">
        <v>257</v>
      </c>
      <c r="C36" t="s">
        <v>251</v>
      </c>
      <c r="D36" t="s">
        <v>252</v>
      </c>
      <c r="E36" t="s">
        <v>189</v>
      </c>
      <c r="F36" t="s">
        <v>190</v>
      </c>
      <c r="G36" t="s">
        <v>253</v>
      </c>
      <c r="H36" s="25" t="n">
        <v>0.303</v>
      </c>
      <c r="I36" s="26" t="n">
        <v>0.1982832</v>
      </c>
      <c r="J36" s="27" t="n">
        <v>1.6</v>
      </c>
      <c r="K36" s="28"/>
      <c r="L36" t="s">
        <v>254</v>
      </c>
      <c r="M36" s="29" t="n">
        <v>0.0615144568129612</v>
      </c>
      <c r="N36" s="30" t="n">
        <v>2026</v>
      </c>
      <c r="O36" s="31" t="n">
        <v>2030</v>
      </c>
      <c r="P36" s="32" t="str">
        <f>1-(1+I36*(J36-1))/(1+H36*(J36-1))</f>
      </c>
      <c r="Q36" s="33" t="str">
        <f>H36-I36</f>
      </c>
      <c r="R36" s="34" t="str">
        <f>IF(H36=0,0,(H36-I36)/H36)</f>
      </c>
      <c r="S36" s="35" t="s">
        <v>255</v>
      </c>
      <c r="T36" t="s">
        <v>180</v>
      </c>
      <c r="U36" s="36" t="str">
        <f>COUNTIF($B$2:$B$49,B36)</f>
      </c>
      <c r="V36" s="23" t="str">
        <f>IF(U36=1,"OK","DUPLICATE KEY")</f>
      </c>
      <c r="W36" t="s">
        <v>249</v>
      </c>
      <c r="X36" t="s">
        <v>181</v>
      </c>
      <c r="Y36" t="s">
        <v>144</v>
      </c>
    </row>
    <row r="37">
      <c r="A37" t="s">
        <v>249</v>
      </c>
      <c r="B37" t="s">
        <v>258</v>
      </c>
      <c r="C37" t="s">
        <v>251</v>
      </c>
      <c r="D37" t="s">
        <v>252</v>
      </c>
      <c r="E37" t="s">
        <v>192</v>
      </c>
      <c r="F37" t="s">
        <v>193</v>
      </c>
      <c r="G37" t="s">
        <v>253</v>
      </c>
      <c r="H37" s="25" t="n">
        <v>0.303</v>
      </c>
      <c r="I37" s="26" t="n">
        <v>0.1982832</v>
      </c>
      <c r="J37" s="27" t="n">
        <v>1.38</v>
      </c>
      <c r="K37" s="28"/>
      <c r="L37" t="s">
        <v>254</v>
      </c>
      <c r="M37" s="29" t="n">
        <v>0.0615144568129612</v>
      </c>
      <c r="N37" s="30" t="n">
        <v>2026</v>
      </c>
      <c r="O37" s="31" t="n">
        <v>2030</v>
      </c>
      <c r="P37" s="32" t="str">
        <f>1-(1+I37*(J37-1))/(1+H37*(J37-1))</f>
      </c>
      <c r="Q37" s="33" t="str">
        <f>H37-I37</f>
      </c>
      <c r="R37" s="34" t="str">
        <f>IF(H37=0,0,(H37-I37)/H37)</f>
      </c>
      <c r="S37" s="35" t="s">
        <v>255</v>
      </c>
      <c r="T37" t="s">
        <v>180</v>
      </c>
      <c r="U37" s="36" t="str">
        <f>COUNTIF($B$2:$B$49,B37)</f>
      </c>
      <c r="V37" s="23" t="str">
        <f>IF(U37=1,"OK","DUPLICATE KEY")</f>
      </c>
      <c r="W37" t="s">
        <v>249</v>
      </c>
      <c r="X37" t="s">
        <v>181</v>
      </c>
      <c r="Y37" t="s">
        <v>144</v>
      </c>
    </row>
    <row r="38">
      <c r="A38" t="s">
        <v>259</v>
      </c>
      <c r="B38" t="s">
        <v>260</v>
      </c>
      <c r="C38" t="s">
        <v>261</v>
      </c>
      <c r="D38" t="s">
        <v>252</v>
      </c>
      <c r="E38" t="s">
        <v>237</v>
      </c>
      <c r="F38" t="s">
        <v>238</v>
      </c>
      <c r="G38" t="s">
        <v>253</v>
      </c>
      <c r="H38" s="25" t="n">
        <v>0.303</v>
      </c>
      <c r="I38" s="26" t="n">
        <v>0.29088</v>
      </c>
      <c r="J38" s="27" t="n">
        <v>1.37</v>
      </c>
      <c r="K38" s="28"/>
      <c r="L38" t="s">
        <v>254</v>
      </c>
      <c r="M38" s="29" t="n">
        <v>0.0615144568129612</v>
      </c>
      <c r="N38" s="30" t="n">
        <v>2026</v>
      </c>
      <c r="O38" s="31" t="n">
        <v>2030</v>
      </c>
      <c r="P38" s="32" t="str">
        <f>1-(1+I38*(J38-1))/(1+H38*(J38-1))</f>
      </c>
      <c r="Q38" s="33" t="str">
        <f>H38-I38</f>
      </c>
      <c r="R38" s="34" t="str">
        <f>IF(H38=0,0,(H38-I38)/H38)</f>
      </c>
      <c r="S38" s="35" t="s">
        <v>262</v>
      </c>
      <c r="T38" t="s">
        <v>180</v>
      </c>
      <c r="U38" s="36" t="str">
        <f>COUNTIF($B$2:$B$49,B38)</f>
      </c>
      <c r="V38" s="23" t="str">
        <f>IF(U38=1,"OK","DUPLICATE KEY")</f>
      </c>
      <c r="W38" t="s">
        <v>263</v>
      </c>
      <c r="X38" t="s">
        <v>208</v>
      </c>
      <c r="Y38" t="s">
        <v>144</v>
      </c>
    </row>
    <row r="39">
      <c r="A39" t="s">
        <v>259</v>
      </c>
      <c r="B39" t="s">
        <v>264</v>
      </c>
      <c r="C39" t="s">
        <v>261</v>
      </c>
      <c r="D39" t="s">
        <v>252</v>
      </c>
      <c r="E39" t="s">
        <v>186</v>
      </c>
      <c r="F39" t="s">
        <v>187</v>
      </c>
      <c r="G39" t="s">
        <v>253</v>
      </c>
      <c r="H39" s="25" t="n">
        <v>0.303</v>
      </c>
      <c r="I39" s="26" t="n">
        <v>0.29088</v>
      </c>
      <c r="J39" s="27" t="n">
        <v>1.19</v>
      </c>
      <c r="K39" s="28"/>
      <c r="L39" t="s">
        <v>254</v>
      </c>
      <c r="M39" s="29" t="n">
        <v>0.0615144568129612</v>
      </c>
      <c r="N39" s="30" t="n">
        <v>2026</v>
      </c>
      <c r="O39" s="31" t="n">
        <v>2030</v>
      </c>
      <c r="P39" s="32" t="str">
        <f>1-(1+I39*(J39-1))/(1+H39*(J39-1))</f>
      </c>
      <c r="Q39" s="33" t="str">
        <f>H39-I39</f>
      </c>
      <c r="R39" s="34" t="str">
        <f>IF(H39=0,0,(H39-I39)/H39)</f>
      </c>
      <c r="S39" s="35" t="s">
        <v>262</v>
      </c>
      <c r="T39" t="s">
        <v>180</v>
      </c>
      <c r="U39" s="36" t="str">
        <f>COUNTIF($B$2:$B$49,B39)</f>
      </c>
      <c r="V39" s="23" t="str">
        <f>IF(U39=1,"OK","DUPLICATE KEY")</f>
      </c>
      <c r="W39" t="s">
        <v>263</v>
      </c>
      <c r="X39" t="s">
        <v>208</v>
      </c>
      <c r="Y39" t="s">
        <v>144</v>
      </c>
    </row>
    <row r="40">
      <c r="A40" t="s">
        <v>259</v>
      </c>
      <c r="B40" t="s">
        <v>265</v>
      </c>
      <c r="C40" t="s">
        <v>261</v>
      </c>
      <c r="D40" t="s">
        <v>252</v>
      </c>
      <c r="E40" t="s">
        <v>189</v>
      </c>
      <c r="F40" t="s">
        <v>190</v>
      </c>
      <c r="G40" t="s">
        <v>253</v>
      </c>
      <c r="H40" s="25" t="n">
        <v>0.303</v>
      </c>
      <c r="I40" s="26" t="n">
        <v>0.29088</v>
      </c>
      <c r="J40" s="27" t="n">
        <v>1.6</v>
      </c>
      <c r="K40" s="28"/>
      <c r="L40" t="s">
        <v>254</v>
      </c>
      <c r="M40" s="29" t="n">
        <v>0.0615144568129612</v>
      </c>
      <c r="N40" s="30" t="n">
        <v>2026</v>
      </c>
      <c r="O40" s="31" t="n">
        <v>2030</v>
      </c>
      <c r="P40" s="32" t="str">
        <f>1-(1+I40*(J40-1))/(1+H40*(J40-1))</f>
      </c>
      <c r="Q40" s="33" t="str">
        <f>H40-I40</f>
      </c>
      <c r="R40" s="34" t="str">
        <f>IF(H40=0,0,(H40-I40)/H40)</f>
      </c>
      <c r="S40" s="35" t="s">
        <v>262</v>
      </c>
      <c r="T40" t="s">
        <v>180</v>
      </c>
      <c r="U40" s="36" t="str">
        <f>COUNTIF($B$2:$B$49,B40)</f>
      </c>
      <c r="V40" s="23" t="str">
        <f>IF(U40=1,"OK","DUPLICATE KEY")</f>
      </c>
      <c r="W40" t="s">
        <v>263</v>
      </c>
      <c r="X40" t="s">
        <v>208</v>
      </c>
      <c r="Y40" t="s">
        <v>144</v>
      </c>
    </row>
    <row r="41">
      <c r="A41" t="s">
        <v>259</v>
      </c>
      <c r="B41" t="s">
        <v>266</v>
      </c>
      <c r="C41" t="s">
        <v>261</v>
      </c>
      <c r="D41" t="s">
        <v>252</v>
      </c>
      <c r="E41" t="s">
        <v>192</v>
      </c>
      <c r="F41" t="s">
        <v>193</v>
      </c>
      <c r="G41" t="s">
        <v>253</v>
      </c>
      <c r="H41" s="25" t="n">
        <v>0.303</v>
      </c>
      <c r="I41" s="26" t="n">
        <v>0.29088</v>
      </c>
      <c r="J41" s="27" t="n">
        <v>1.38</v>
      </c>
      <c r="K41" s="28"/>
      <c r="L41" t="s">
        <v>254</v>
      </c>
      <c r="M41" s="29" t="n">
        <v>0.0615144568129612</v>
      </c>
      <c r="N41" s="30" t="n">
        <v>2026</v>
      </c>
      <c r="O41" s="31" t="n">
        <v>2030</v>
      </c>
      <c r="P41" s="32" t="str">
        <f>1-(1+I41*(J41-1))/(1+H41*(J41-1))</f>
      </c>
      <c r="Q41" s="33" t="str">
        <f>H41-I41</f>
      </c>
      <c r="R41" s="34" t="str">
        <f>IF(H41=0,0,(H41-I41)/H41)</f>
      </c>
      <c r="S41" s="35" t="s">
        <v>262</v>
      </c>
      <c r="T41" t="s">
        <v>180</v>
      </c>
      <c r="U41" s="36" t="str">
        <f>COUNTIF($B$2:$B$49,B41)</f>
      </c>
      <c r="V41" s="23" t="str">
        <f>IF(U41=1,"OK","DUPLICATE KEY")</f>
      </c>
      <c r="W41" t="s">
        <v>263</v>
      </c>
      <c r="X41" t="s">
        <v>208</v>
      </c>
      <c r="Y41" t="s">
        <v>144</v>
      </c>
    </row>
    <row r="42">
      <c r="A42" t="s">
        <v>267</v>
      </c>
      <c r="B42" t="s">
        <v>268</v>
      </c>
      <c r="C42" t="s">
        <v>269</v>
      </c>
      <c r="D42" t="s">
        <v>252</v>
      </c>
      <c r="E42" t="s">
        <v>237</v>
      </c>
      <c r="F42" t="s">
        <v>238</v>
      </c>
      <c r="G42" t="s">
        <v>253</v>
      </c>
      <c r="H42" s="25" t="n">
        <v>0.303</v>
      </c>
      <c r="I42" s="26" t="n">
        <v>0.286335</v>
      </c>
      <c r="J42" s="27" t="n">
        <v>1.37</v>
      </c>
      <c r="K42" s="28"/>
      <c r="L42" t="s">
        <v>254</v>
      </c>
      <c r="M42" s="29" t="n">
        <v>0.0615144568129612</v>
      </c>
      <c r="N42" s="30" t="n">
        <v>2026</v>
      </c>
      <c r="O42" s="31" t="n">
        <v>2030</v>
      </c>
      <c r="P42" s="32" t="str">
        <f>1-(1+I42*(J42-1))/(1+H42*(J42-1))</f>
      </c>
      <c r="Q42" s="33" t="str">
        <f>H42-I42</f>
      </c>
      <c r="R42" s="34" t="str">
        <f>IF(H42=0,0,(H42-I42)/H42)</f>
      </c>
      <c r="S42" s="35" t="s">
        <v>270</v>
      </c>
      <c r="T42" t="s">
        <v>180</v>
      </c>
      <c r="U42" s="36" t="str">
        <f>COUNTIF($B$2:$B$49,B42)</f>
      </c>
      <c r="V42" s="23" t="str">
        <f>IF(U42=1,"OK","DUPLICATE KEY")</f>
      </c>
      <c r="W42" t="s">
        <v>263</v>
      </c>
      <c r="X42" t="s">
        <v>208</v>
      </c>
      <c r="Y42" t="s">
        <v>144</v>
      </c>
    </row>
    <row r="43">
      <c r="A43" t="s">
        <v>267</v>
      </c>
      <c r="B43" t="s">
        <v>271</v>
      </c>
      <c r="C43" t="s">
        <v>269</v>
      </c>
      <c r="D43" t="s">
        <v>252</v>
      </c>
      <c r="E43" t="s">
        <v>186</v>
      </c>
      <c r="F43" t="s">
        <v>187</v>
      </c>
      <c r="G43" t="s">
        <v>253</v>
      </c>
      <c r="H43" s="25" t="n">
        <v>0.303</v>
      </c>
      <c r="I43" s="26" t="n">
        <v>0.286335</v>
      </c>
      <c r="J43" s="27" t="n">
        <v>1.19</v>
      </c>
      <c r="K43" s="28"/>
      <c r="L43" t="s">
        <v>254</v>
      </c>
      <c r="M43" s="29" t="n">
        <v>0.0615144568129612</v>
      </c>
      <c r="N43" s="30" t="n">
        <v>2026</v>
      </c>
      <c r="O43" s="31" t="n">
        <v>2030</v>
      </c>
      <c r="P43" s="32" t="str">
        <f>1-(1+I43*(J43-1))/(1+H43*(J43-1))</f>
      </c>
      <c r="Q43" s="33" t="str">
        <f>H43-I43</f>
      </c>
      <c r="R43" s="34" t="str">
        <f>IF(H43=0,0,(H43-I43)/H43)</f>
      </c>
      <c r="S43" s="35" t="s">
        <v>270</v>
      </c>
      <c r="T43" t="s">
        <v>180</v>
      </c>
      <c r="U43" s="36" t="str">
        <f>COUNTIF($B$2:$B$49,B43)</f>
      </c>
      <c r="V43" s="23" t="str">
        <f>IF(U43=1,"OK","DUPLICATE KEY")</f>
      </c>
      <c r="W43" t="s">
        <v>263</v>
      </c>
      <c r="X43" t="s">
        <v>208</v>
      </c>
      <c r="Y43" t="s">
        <v>144</v>
      </c>
    </row>
    <row r="44">
      <c r="A44" t="s">
        <v>267</v>
      </c>
      <c r="B44" t="s">
        <v>272</v>
      </c>
      <c r="C44" t="s">
        <v>269</v>
      </c>
      <c r="D44" t="s">
        <v>252</v>
      </c>
      <c r="E44" t="s">
        <v>189</v>
      </c>
      <c r="F44" t="s">
        <v>190</v>
      </c>
      <c r="G44" t="s">
        <v>253</v>
      </c>
      <c r="H44" s="25" t="n">
        <v>0.303</v>
      </c>
      <c r="I44" s="26" t="n">
        <v>0.286335</v>
      </c>
      <c r="J44" s="27" t="n">
        <v>1.6</v>
      </c>
      <c r="K44" s="28"/>
      <c r="L44" t="s">
        <v>254</v>
      </c>
      <c r="M44" s="29" t="n">
        <v>0.0615144568129612</v>
      </c>
      <c r="N44" s="30" t="n">
        <v>2026</v>
      </c>
      <c r="O44" s="31" t="n">
        <v>2030</v>
      </c>
      <c r="P44" s="32" t="str">
        <f>1-(1+I44*(J44-1))/(1+H44*(J44-1))</f>
      </c>
      <c r="Q44" s="33" t="str">
        <f>H44-I44</f>
      </c>
      <c r="R44" s="34" t="str">
        <f>IF(H44=0,0,(H44-I44)/H44)</f>
      </c>
      <c r="S44" s="35" t="s">
        <v>270</v>
      </c>
      <c r="T44" t="s">
        <v>180</v>
      </c>
      <c r="U44" s="36" t="str">
        <f>COUNTIF($B$2:$B$49,B44)</f>
      </c>
      <c r="V44" s="23" t="str">
        <f>IF(U44=1,"OK","DUPLICATE KEY")</f>
      </c>
      <c r="W44" t="s">
        <v>263</v>
      </c>
      <c r="X44" t="s">
        <v>208</v>
      </c>
      <c r="Y44" t="s">
        <v>144</v>
      </c>
    </row>
    <row r="45">
      <c r="A45" t="s">
        <v>267</v>
      </c>
      <c r="B45" t="s">
        <v>273</v>
      </c>
      <c r="C45" t="s">
        <v>269</v>
      </c>
      <c r="D45" t="s">
        <v>252</v>
      </c>
      <c r="E45" t="s">
        <v>192</v>
      </c>
      <c r="F45" t="s">
        <v>193</v>
      </c>
      <c r="G45" t="s">
        <v>253</v>
      </c>
      <c r="H45" s="25" t="n">
        <v>0.303</v>
      </c>
      <c r="I45" s="26" t="n">
        <v>0.286335</v>
      </c>
      <c r="J45" s="27" t="n">
        <v>1.38</v>
      </c>
      <c r="K45" s="28"/>
      <c r="L45" t="s">
        <v>254</v>
      </c>
      <c r="M45" s="29" t="n">
        <v>0.0615144568129612</v>
      </c>
      <c r="N45" s="30" t="n">
        <v>2026</v>
      </c>
      <c r="O45" s="31" t="n">
        <v>2030</v>
      </c>
      <c r="P45" s="32" t="str">
        <f>1-(1+I45*(J45-1))/(1+H45*(J45-1))</f>
      </c>
      <c r="Q45" s="33" t="str">
        <f>H45-I45</f>
      </c>
      <c r="R45" s="34" t="str">
        <f>IF(H45=0,0,(H45-I45)/H45)</f>
      </c>
      <c r="S45" s="35" t="s">
        <v>270</v>
      </c>
      <c r="T45" t="s">
        <v>180</v>
      </c>
      <c r="U45" s="36" t="str">
        <f>COUNTIF($B$2:$B$49,B45)</f>
      </c>
      <c r="V45" s="23" t="str">
        <f>IF(U45=1,"OK","DUPLICATE KEY")</f>
      </c>
      <c r="W45" t="s">
        <v>263</v>
      </c>
      <c r="X45" t="s">
        <v>208</v>
      </c>
      <c r="Y45" t="s">
        <v>144</v>
      </c>
    </row>
    <row r="46">
      <c r="A46" t="s">
        <v>274</v>
      </c>
      <c r="B46" t="s">
        <v>275</v>
      </c>
      <c r="C46" t="s">
        <v>276</v>
      </c>
      <c r="D46" t="s">
        <v>252</v>
      </c>
      <c r="E46" t="s">
        <v>237</v>
      </c>
      <c r="F46" t="s">
        <v>238</v>
      </c>
      <c r="G46" t="s">
        <v>253</v>
      </c>
      <c r="H46" s="25" t="n">
        <v>0.303</v>
      </c>
      <c r="I46" s="26" t="n">
        <v>0.283305</v>
      </c>
      <c r="J46" s="27" t="n">
        <v>1.37</v>
      </c>
      <c r="K46" s="28"/>
      <c r="L46" t="s">
        <v>254</v>
      </c>
      <c r="M46" s="29" t="n">
        <v>0.0615144568129612</v>
      </c>
      <c r="N46" s="30" t="n">
        <v>2026</v>
      </c>
      <c r="O46" s="31" t="n">
        <v>2030</v>
      </c>
      <c r="P46" s="32" t="str">
        <f>1-(1+I46*(J46-1))/(1+H46*(J46-1))</f>
      </c>
      <c r="Q46" s="33" t="str">
        <f>H46-I46</f>
      </c>
      <c r="R46" s="34" t="str">
        <f>IF(H46=0,0,(H46-I46)/H46)</f>
      </c>
      <c r="S46" s="35" t="s">
        <v>277</v>
      </c>
      <c r="T46" t="s">
        <v>180</v>
      </c>
      <c r="U46" s="36" t="str">
        <f>COUNTIF($B$2:$B$49,B46)</f>
      </c>
      <c r="V46" s="23" t="str">
        <f>IF(U46=1,"OK","DUPLICATE KEY")</f>
      </c>
      <c r="W46" t="s">
        <v>263</v>
      </c>
      <c r="X46" t="s">
        <v>208</v>
      </c>
      <c r="Y46" t="s">
        <v>144</v>
      </c>
    </row>
    <row r="47">
      <c r="A47" t="s">
        <v>274</v>
      </c>
      <c r="B47" t="s">
        <v>278</v>
      </c>
      <c r="C47" t="s">
        <v>276</v>
      </c>
      <c r="D47" t="s">
        <v>252</v>
      </c>
      <c r="E47" t="s">
        <v>186</v>
      </c>
      <c r="F47" t="s">
        <v>187</v>
      </c>
      <c r="G47" t="s">
        <v>253</v>
      </c>
      <c r="H47" s="25" t="n">
        <v>0.303</v>
      </c>
      <c r="I47" s="26" t="n">
        <v>0.283305</v>
      </c>
      <c r="J47" s="27" t="n">
        <v>1.19</v>
      </c>
      <c r="K47" s="28"/>
      <c r="L47" t="s">
        <v>254</v>
      </c>
      <c r="M47" s="29" t="n">
        <v>0.0615144568129612</v>
      </c>
      <c r="N47" s="30" t="n">
        <v>2026</v>
      </c>
      <c r="O47" s="31" t="n">
        <v>2030</v>
      </c>
      <c r="P47" s="32" t="str">
        <f>1-(1+I47*(J47-1))/(1+H47*(J47-1))</f>
      </c>
      <c r="Q47" s="33" t="str">
        <f>H47-I47</f>
      </c>
      <c r="R47" s="34" t="str">
        <f>IF(H47=0,0,(H47-I47)/H47)</f>
      </c>
      <c r="S47" s="35" t="s">
        <v>277</v>
      </c>
      <c r="T47" t="s">
        <v>180</v>
      </c>
      <c r="U47" s="36" t="str">
        <f>COUNTIF($B$2:$B$49,B47)</f>
      </c>
      <c r="V47" s="23" t="str">
        <f>IF(U47=1,"OK","DUPLICATE KEY")</f>
      </c>
      <c r="W47" t="s">
        <v>263</v>
      </c>
      <c r="X47" t="s">
        <v>208</v>
      </c>
      <c r="Y47" t="s">
        <v>144</v>
      </c>
    </row>
    <row r="48">
      <c r="A48" t="s">
        <v>274</v>
      </c>
      <c r="B48" t="s">
        <v>279</v>
      </c>
      <c r="C48" t="s">
        <v>276</v>
      </c>
      <c r="D48" t="s">
        <v>252</v>
      </c>
      <c r="E48" t="s">
        <v>189</v>
      </c>
      <c r="F48" t="s">
        <v>190</v>
      </c>
      <c r="G48" t="s">
        <v>253</v>
      </c>
      <c r="H48" s="25" t="n">
        <v>0.303</v>
      </c>
      <c r="I48" s="26" t="n">
        <v>0.283305</v>
      </c>
      <c r="J48" s="27" t="n">
        <v>1.6</v>
      </c>
      <c r="K48" s="28"/>
      <c r="L48" t="s">
        <v>254</v>
      </c>
      <c r="M48" s="29" t="n">
        <v>0.0615144568129612</v>
      </c>
      <c r="N48" s="30" t="n">
        <v>2026</v>
      </c>
      <c r="O48" s="31" t="n">
        <v>2030</v>
      </c>
      <c r="P48" s="32" t="str">
        <f>1-(1+I48*(J48-1))/(1+H48*(J48-1))</f>
      </c>
      <c r="Q48" s="33" t="str">
        <f>H48-I48</f>
      </c>
      <c r="R48" s="34" t="str">
        <f>IF(H48=0,0,(H48-I48)/H48)</f>
      </c>
      <c r="S48" s="35" t="s">
        <v>277</v>
      </c>
      <c r="T48" t="s">
        <v>180</v>
      </c>
      <c r="U48" s="36" t="str">
        <f>COUNTIF($B$2:$B$49,B48)</f>
      </c>
      <c r="V48" s="23" t="str">
        <f>IF(U48=1,"OK","DUPLICATE KEY")</f>
      </c>
      <c r="W48" t="s">
        <v>263</v>
      </c>
      <c r="X48" t="s">
        <v>208</v>
      </c>
      <c r="Y48" t="s">
        <v>144</v>
      </c>
    </row>
    <row r="49">
      <c r="A49" t="s">
        <v>274</v>
      </c>
      <c r="B49" t="s">
        <v>280</v>
      </c>
      <c r="C49" t="s">
        <v>276</v>
      </c>
      <c r="D49" t="s">
        <v>252</v>
      </c>
      <c r="E49" t="s">
        <v>192</v>
      </c>
      <c r="F49" t="s">
        <v>193</v>
      </c>
      <c r="G49" t="s">
        <v>253</v>
      </c>
      <c r="H49" s="25" t="n">
        <v>0.303</v>
      </c>
      <c r="I49" s="26" t="n">
        <v>0.283305</v>
      </c>
      <c r="J49" s="27" t="n">
        <v>1.38</v>
      </c>
      <c r="K49" s="28"/>
      <c r="L49" t="s">
        <v>254</v>
      </c>
      <c r="M49" s="29" t="n">
        <v>0.0615144568129612</v>
      </c>
      <c r="N49" s="30" t="n">
        <v>2026</v>
      </c>
      <c r="O49" s="31" t="n">
        <v>2030</v>
      </c>
      <c r="P49" s="32" t="str">
        <f>1-(1+I49*(J49-1))/(1+H49*(J49-1))</f>
      </c>
      <c r="Q49" s="33" t="str">
        <f>H49-I49</f>
      </c>
      <c r="R49" s="34" t="str">
        <f>IF(H49=0,0,(H49-I49)/H49)</f>
      </c>
      <c r="S49" s="35" t="s">
        <v>277</v>
      </c>
      <c r="T49" t="s">
        <v>180</v>
      </c>
      <c r="U49" s="36" t="str">
        <f>COUNTIF($B$2:$B$49,B49)</f>
      </c>
      <c r="V49" s="23" t="str">
        <f>IF(U49=1,"OK","DUPLICATE KEY")</f>
      </c>
      <c r="W49" t="s">
        <v>263</v>
      </c>
      <c r="X49" t="s">
        <v>208</v>
      </c>
      <c r="Y49" t="s">
        <v>144</v>
      </c>
    </row>
  </sheetData>
  <autoFilter ref="A1:Y1"/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80.71" hidden="0" customWidth="1"/>
  </cols>
  <sheetData>
    <row r="1">
      <c r="A1" s="1" t="s">
        <v>281</v>
      </c>
    </row>
    <row r="2">
      <c r="A2" t="s">
        <v>282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7.71" hidden="0" customWidth="1"/>
    <col min="3" max="3" width="11.71" hidden="0" customWidth="1"/>
    <col min="4" max="4" width="14.71" hidden="0" customWidth="1"/>
    <col min="5" max="5" width="19.71" hidden="0" customWidth="1"/>
    <col min="6" max="6" width="19.71" hidden="0" customWidth="1"/>
    <col min="7" max="7" width="27.71" hidden="0" customWidth="1"/>
    <col min="8" max="8" width="25.71" hidden="0" customWidth="1"/>
    <col min="9" max="9" width="23.71" hidden="0" customWidth="1"/>
    <col min="10" max="10" width="27.71" hidden="0" customWidth="1"/>
    <col min="11" max="11" width="25.71" hidden="0" customWidth="1"/>
    <col min="12" max="12" width="27.71" hidden="0" customWidth="1"/>
    <col min="13" max="13" width="25.71" hidden="0" customWidth="1"/>
    <col min="14" max="14" width="18.71" hidden="0" customWidth="1"/>
    <col min="15" max="15" width="20.71" hidden="0" customWidth="1"/>
    <col min="16" max="16" width="22.71" hidden="0" customWidth="1"/>
    <col min="17" max="17" width="18.71" hidden="0" customWidth="1"/>
    <col min="18" max="18" width="18.71" hidden="0" customWidth="1"/>
    <col min="19" max="19" width="29.71" hidden="0" customWidth="1"/>
    <col min="20" max="20" width="15.71" hidden="0" customWidth="1"/>
    <col min="21" max="21" width="11.71" hidden="0" customWidth="1"/>
  </cols>
  <sheetData>
    <row r="1" ht="28" customHeight="1">
      <c r="A1" s="1" t="s">
        <v>283</v>
      </c>
      <c r="B1" s="1" t="s">
        <v>147</v>
      </c>
      <c r="C1" s="1" t="s">
        <v>284</v>
      </c>
      <c r="D1" s="1" t="s">
        <v>285</v>
      </c>
      <c r="E1" s="1" t="s">
        <v>168</v>
      </c>
      <c r="F1" s="1" t="s">
        <v>169</v>
      </c>
      <c r="G1" s="1" t="s">
        <v>286</v>
      </c>
      <c r="H1" s="1" t="s">
        <v>287</v>
      </c>
      <c r="I1" s="1" t="s">
        <v>288</v>
      </c>
      <c r="J1" s="1" t="s">
        <v>289</v>
      </c>
      <c r="K1" s="1" t="s">
        <v>290</v>
      </c>
      <c r="L1" s="1" t="s">
        <v>291</v>
      </c>
      <c r="M1" s="1" t="s">
        <v>292</v>
      </c>
      <c r="N1" s="1" t="s">
        <v>293</v>
      </c>
      <c r="O1" s="1" t="s">
        <v>294</v>
      </c>
      <c r="P1" s="1" t="s">
        <v>295</v>
      </c>
      <c r="Q1" s="1" t="s">
        <v>296</v>
      </c>
      <c r="R1" s="1" t="s">
        <v>297</v>
      </c>
      <c r="S1" s="1" t="s">
        <v>298</v>
      </c>
      <c r="T1" s="1" t="s">
        <v>165</v>
      </c>
      <c r="U1" s="1" t="s">
        <v>299</v>
      </c>
    </row>
    <row r="2">
      <c r="A2" s="3" t="s">
        <v>300</v>
      </c>
      <c r="B2" s="3" t="s">
        <v>249</v>
      </c>
      <c r="C2" s="3" t="s">
        <v>301</v>
      </c>
      <c r="D2" s="3" t="s">
        <v>302</v>
      </c>
      <c r="E2" s="3" t="s">
        <v>249</v>
      </c>
      <c r="F2" s="3" t="s">
        <v>181</v>
      </c>
      <c r="G2" s="3" t="n">
        <v>0.57</v>
      </c>
      <c r="H2" s="3" t="n">
        <v>0.75</v>
      </c>
      <c r="I2" s="3" t="s">
        <v>303</v>
      </c>
      <c r="J2" s="3" t="s">
        <v>304</v>
      </c>
      <c r="K2" s="3" t="s">
        <v>304</v>
      </c>
      <c r="L2" s="37" t="n">
        <v>0.5</v>
      </c>
      <c r="M2" s="38" t="n">
        <v>0.5</v>
      </c>
      <c r="N2" s="3" t="n">
        <v>-0.48</v>
      </c>
      <c r="O2" s="39" t="str">
        <f>IF(D2="regulatory_gap_multiplicative",MAX(0,M2-L2),"")</f>
      </c>
      <c r="P2" s="40" t="str">
        <f>IF(D2="tax_share_to_price_elasticity",(1-G2)/(1-H2)-1,IF(D2="price_elasticity",Q2,""))</f>
      </c>
      <c r="Q2" s="41" t="str">
        <f>IF(D2="price_elasticity",MAX(0,H2-G2),"")</f>
      </c>
      <c r="R2" s="42" t="str">
        <f>IF(D2="regulatory_gap_multiplicative",N2*O2,IF(OR(D2="price_elasticity",D2="tax_share_to_price_elasticity"),ABS(N2)*P2,""))</f>
      </c>
      <c r="S2" s="43" t="n">
        <v>0.3456</v>
      </c>
      <c r="T2" s="3" t="s">
        <v>180</v>
      </c>
      <c r="U2" s="3" t="s">
        <v>305</v>
      </c>
    </row>
    <row r="3">
      <c r="A3" s="3" t="s">
        <v>306</v>
      </c>
      <c r="B3" s="3" t="s">
        <v>194</v>
      </c>
      <c r="C3" s="3" t="s">
        <v>307</v>
      </c>
      <c r="D3" s="3" t="s">
        <v>308</v>
      </c>
      <c r="E3" s="3" t="s">
        <v>194</v>
      </c>
      <c r="F3" s="3" t="s">
        <v>181</v>
      </c>
      <c r="G3" s="3" t="n">
        <v>0</v>
      </c>
      <c r="H3" s="3" t="n">
        <v>0.25</v>
      </c>
      <c r="I3" s="3" t="s">
        <v>309</v>
      </c>
      <c r="J3" s="3" t="s">
        <v>310</v>
      </c>
      <c r="K3" s="3" t="s">
        <v>310</v>
      </c>
      <c r="L3" s="37" t="n">
        <v>0</v>
      </c>
      <c r="M3" s="38" t="n">
        <v>0</v>
      </c>
      <c r="N3" s="3" t="n">
        <v>-0.49</v>
      </c>
      <c r="O3" s="39" t="str">
        <f>IF(D3="regulatory_gap_multiplicative",MAX(0,M3-L3),"")</f>
      </c>
      <c r="P3" s="40" t="str">
        <f>IF(D3="tax_share_to_price_elasticity",(1-G3)/(1-H3)-1,IF(D3="price_elasticity",Q3,""))</f>
      </c>
      <c r="Q3" s="41" t="str">
        <f>IF(D3="price_elasticity",MAX(0,H3-G3),"")</f>
      </c>
      <c r="R3" s="42" t="str">
        <f>IF(D3="regulatory_gap_multiplicative",N3*O3,IF(OR(D3="price_elasticity",D3="tax_share_to_price_elasticity"),ABS(N3)*P3,""))</f>
      </c>
      <c r="S3" s="43" t="n">
        <v>0.1225</v>
      </c>
      <c r="T3" s="3" t="s">
        <v>180</v>
      </c>
      <c r="U3" s="3" t="s">
        <v>305</v>
      </c>
    </row>
    <row r="4">
      <c r="A4" s="3" t="s">
        <v>311</v>
      </c>
      <c r="B4" s="3" t="s">
        <v>267</v>
      </c>
      <c r="C4" s="3" t="s">
        <v>312</v>
      </c>
      <c r="D4" s="3" t="s">
        <v>313</v>
      </c>
      <c r="E4" s="3" t="s">
        <v>263</v>
      </c>
      <c r="F4" s="3" t="s">
        <v>208</v>
      </c>
      <c r="G4" s="3"/>
      <c r="H4" s="3"/>
      <c r="I4" s="3"/>
      <c r="J4" s="3" t="s">
        <v>304</v>
      </c>
      <c r="K4" s="3" t="s">
        <v>314</v>
      </c>
      <c r="L4" s="37" t="n">
        <v>0.5</v>
      </c>
      <c r="M4" s="38" t="n">
        <v>1</v>
      </c>
      <c r="N4" s="3" t="n">
        <v>0.11</v>
      </c>
      <c r="O4" s="39" t="str">
        <f>IF(D4="regulatory_gap_multiplicative",MAX(0,M4-L4),"")</f>
      </c>
      <c r="P4" s="40" t="str">
        <f>IF(D4="tax_share_to_price_elasticity",(1-G4)/(1-H4)-1,IF(D4="price_elasticity",Q4,""))</f>
      </c>
      <c r="Q4" s="41" t="str">
        <f>IF(D4="price_elasticity",MAX(0,H4-G4),"")</f>
      </c>
      <c r="R4" s="42" t="str">
        <f>IF(D4="regulatory_gap_multiplicative",N4*O4,IF(OR(D4="price_elasticity",D4="tax_share_to_price_elasticity"),ABS(N4)*P4,""))</f>
      </c>
      <c r="S4" s="43" t="n">
        <v>0.055</v>
      </c>
      <c r="T4" s="3" t="s">
        <v>180</v>
      </c>
      <c r="U4" s="3" t="s">
        <v>305</v>
      </c>
    </row>
    <row r="5">
      <c r="A5" s="3" t="s">
        <v>315</v>
      </c>
      <c r="B5" s="3" t="s">
        <v>274</v>
      </c>
      <c r="C5" s="3" t="s">
        <v>316</v>
      </c>
      <c r="D5" s="3" t="s">
        <v>313</v>
      </c>
      <c r="E5" s="3" t="s">
        <v>263</v>
      </c>
      <c r="F5" s="3" t="s">
        <v>208</v>
      </c>
      <c r="G5" s="3"/>
      <c r="H5" s="3"/>
      <c r="I5" s="3"/>
      <c r="J5" s="3" t="s">
        <v>310</v>
      </c>
      <c r="K5" s="3" t="s">
        <v>314</v>
      </c>
      <c r="L5" s="37" t="n">
        <v>0</v>
      </c>
      <c r="M5" s="38" t="n">
        <v>1</v>
      </c>
      <c r="N5" s="3" t="n">
        <v>0.065</v>
      </c>
      <c r="O5" s="39" t="str">
        <f>IF(D5="regulatory_gap_multiplicative",MAX(0,M5-L5),"")</f>
      </c>
      <c r="P5" s="40" t="str">
        <f>IF(D5="tax_share_to_price_elasticity",(1-G5)/(1-H5)-1,IF(D5="price_elasticity",Q5,""))</f>
      </c>
      <c r="Q5" s="41" t="str">
        <f>IF(D5="price_elasticity",MAX(0,H5-G5),"")</f>
      </c>
      <c r="R5" s="42" t="str">
        <f>IF(D5="regulatory_gap_multiplicative",N5*O5,IF(OR(D5="price_elasticity",D5="tax_share_to_price_elasticity"),ABS(N5)*P5,""))</f>
      </c>
      <c r="S5" s="43" t="n">
        <v>0.065</v>
      </c>
      <c r="T5" s="3" t="s">
        <v>180</v>
      </c>
      <c r="U5" s="3" t="s">
        <v>305</v>
      </c>
    </row>
    <row r="6">
      <c r="A6" s="3" t="s">
        <v>317</v>
      </c>
      <c r="B6" s="3" t="s">
        <v>259</v>
      </c>
      <c r="C6" s="3" t="s">
        <v>318</v>
      </c>
      <c r="D6" s="3" t="s">
        <v>313</v>
      </c>
      <c r="E6" s="3" t="s">
        <v>263</v>
      </c>
      <c r="F6" s="3" t="s">
        <v>208</v>
      </c>
      <c r="G6" s="3"/>
      <c r="H6" s="3"/>
      <c r="I6" s="3"/>
      <c r="J6" s="3" t="s">
        <v>310</v>
      </c>
      <c r="K6" s="3" t="s">
        <v>314</v>
      </c>
      <c r="L6" s="37" t="n">
        <v>0</v>
      </c>
      <c r="M6" s="38" t="n">
        <v>1</v>
      </c>
      <c r="N6" s="3" t="n">
        <v>0.04</v>
      </c>
      <c r="O6" s="39" t="str">
        <f>IF(D6="regulatory_gap_multiplicative",MAX(0,M6-L6),"")</f>
      </c>
      <c r="P6" s="40" t="str">
        <f>IF(D6="tax_share_to_price_elasticity",(1-G6)/(1-H6)-1,IF(D6="price_elasticity",Q6,""))</f>
      </c>
      <c r="Q6" s="41" t="str">
        <f>IF(D6="price_elasticity",MAX(0,H6-G6),"")</f>
      </c>
      <c r="R6" s="42" t="str">
        <f>IF(D6="regulatory_gap_multiplicative",N6*O6,IF(OR(D6="price_elasticity",D6="tax_share_to_price_elasticity"),ABS(N6)*P6,""))</f>
      </c>
      <c r="S6" s="43" t="n">
        <v>0.04</v>
      </c>
      <c r="T6" s="3" t="s">
        <v>180</v>
      </c>
      <c r="U6" s="3" t="s">
        <v>305</v>
      </c>
    </row>
    <row r="7">
      <c r="A7" s="3" t="s">
        <v>319</v>
      </c>
      <c r="B7" s="3" t="s">
        <v>171</v>
      </c>
      <c r="C7" s="3" t="s">
        <v>173</v>
      </c>
      <c r="D7" s="3" t="s">
        <v>313</v>
      </c>
      <c r="E7" s="3" t="s">
        <v>171</v>
      </c>
      <c r="F7" s="3" t="s">
        <v>181</v>
      </c>
      <c r="G7" s="3"/>
      <c r="H7" s="3"/>
      <c r="I7" s="3"/>
      <c r="J7" s="3" t="s">
        <v>304</v>
      </c>
      <c r="K7" s="3" t="s">
        <v>314</v>
      </c>
      <c r="L7" s="37" t="n">
        <v>0.5</v>
      </c>
      <c r="M7" s="38" t="n">
        <v>1</v>
      </c>
      <c r="N7" s="3" t="n">
        <v>0.269</v>
      </c>
      <c r="O7" s="39" t="str">
        <f>IF(D7="regulatory_gap_multiplicative",MAX(0,M7-L7),"")</f>
      </c>
      <c r="P7" s="40" t="str">
        <f>IF(D7="tax_share_to_price_elasticity",(1-G7)/(1-H7)-1,IF(D7="price_elasticity",Q7,""))</f>
      </c>
      <c r="Q7" s="41" t="str">
        <f>IF(D7="price_elasticity",MAX(0,H7-G7),"")</f>
      </c>
      <c r="R7" s="42" t="str">
        <f>IF(D7="regulatory_gap_multiplicative",N7*O7,IF(OR(D7="price_elasticity",D7="tax_share_to_price_elasticity"),ABS(N7)*P7,""))</f>
      </c>
      <c r="S7" s="43" t="n">
        <v>0.1345</v>
      </c>
      <c r="T7" s="3" t="s">
        <v>180</v>
      </c>
      <c r="U7" s="3" t="s">
        <v>305</v>
      </c>
    </row>
    <row r="8">
      <c r="A8" s="3" t="s">
        <v>320</v>
      </c>
      <c r="B8" s="3" t="s">
        <v>226</v>
      </c>
      <c r="C8" s="3" t="s">
        <v>321</v>
      </c>
      <c r="D8" s="3" t="s">
        <v>313</v>
      </c>
      <c r="E8" s="3" t="s">
        <v>207</v>
      </c>
      <c r="F8" s="3" t="s">
        <v>208</v>
      </c>
      <c r="G8" s="3"/>
      <c r="H8" s="3"/>
      <c r="I8" s="3"/>
      <c r="J8" s="3" t="s">
        <v>304</v>
      </c>
      <c r="K8" s="3" t="s">
        <v>314</v>
      </c>
      <c r="L8" s="37" t="n">
        <v>0.5</v>
      </c>
      <c r="M8" s="38" t="n">
        <v>1</v>
      </c>
      <c r="N8" s="3" t="n">
        <v>0.2</v>
      </c>
      <c r="O8" s="39" t="str">
        <f>IF(D8="regulatory_gap_multiplicative",MAX(0,M8-L8),"")</f>
      </c>
      <c r="P8" s="40" t="str">
        <f>IF(D8="tax_share_to_price_elasticity",(1-G8)/(1-H8)-1,IF(D8="price_elasticity",Q8,""))</f>
      </c>
      <c r="Q8" s="41" t="str">
        <f>IF(D8="price_elasticity",MAX(0,H8-G8),"")</f>
      </c>
      <c r="R8" s="42" t="str">
        <f>IF(D8="regulatory_gap_multiplicative",N8*O8,IF(OR(D8="price_elasticity",D8="tax_share_to_price_elasticity"),ABS(N8)*P8,""))</f>
      </c>
      <c r="S8" s="43" t="n">
        <v>0.1</v>
      </c>
      <c r="T8" s="3" t="s">
        <v>180</v>
      </c>
      <c r="U8" s="3" t="s">
        <v>305</v>
      </c>
    </row>
    <row r="9">
      <c r="A9" s="3" t="s">
        <v>322</v>
      </c>
      <c r="B9" s="3" t="s">
        <v>212</v>
      </c>
      <c r="C9" s="3" t="s">
        <v>323</v>
      </c>
      <c r="D9" s="3" t="s">
        <v>313</v>
      </c>
      <c r="E9" s="3" t="s">
        <v>207</v>
      </c>
      <c r="F9" s="3" t="s">
        <v>208</v>
      </c>
      <c r="G9" s="3"/>
      <c r="H9" s="3"/>
      <c r="I9" s="3"/>
      <c r="J9" s="3" t="s">
        <v>304</v>
      </c>
      <c r="K9" s="3" t="s">
        <v>314</v>
      </c>
      <c r="L9" s="37" t="n">
        <v>0.5</v>
      </c>
      <c r="M9" s="38" t="n">
        <v>1</v>
      </c>
      <c r="N9" s="3" t="n">
        <v>0.1</v>
      </c>
      <c r="O9" s="39" t="str">
        <f>IF(D9="regulatory_gap_multiplicative",MAX(0,M9-L9),"")</f>
      </c>
      <c r="P9" s="40" t="str">
        <f>IF(D9="tax_share_to_price_elasticity",(1-G9)/(1-H9)-1,IF(D9="price_elasticity",Q9,""))</f>
      </c>
      <c r="Q9" s="41" t="str">
        <f>IF(D9="price_elasticity",MAX(0,H9-G9),"")</f>
      </c>
      <c r="R9" s="42" t="str">
        <f>IF(D9="regulatory_gap_multiplicative",N9*O9,IF(OR(D9="price_elasticity",D9="tax_share_to_price_elasticity"),ABS(N9)*P9,""))</f>
      </c>
      <c r="S9" s="43" t="n">
        <v>0.05</v>
      </c>
      <c r="T9" s="3" t="s">
        <v>180</v>
      </c>
      <c r="U9" s="3" t="s">
        <v>305</v>
      </c>
    </row>
    <row r="10">
      <c r="A10" s="3" t="s">
        <v>324</v>
      </c>
      <c r="B10" s="3" t="s">
        <v>219</v>
      </c>
      <c r="C10" s="3" t="s">
        <v>325</v>
      </c>
      <c r="D10" s="3" t="s">
        <v>313</v>
      </c>
      <c r="E10" s="3" t="s">
        <v>207</v>
      </c>
      <c r="F10" s="3" t="s">
        <v>208</v>
      </c>
      <c r="G10" s="3"/>
      <c r="H10" s="3"/>
      <c r="I10" s="3"/>
      <c r="J10" s="3" t="s">
        <v>304</v>
      </c>
      <c r="K10" s="3" t="s">
        <v>304</v>
      </c>
      <c r="L10" s="37" t="n">
        <v>0.5</v>
      </c>
      <c r="M10" s="38" t="n">
        <v>0.5</v>
      </c>
      <c r="N10" s="3" t="n">
        <v>0.05</v>
      </c>
      <c r="O10" s="39" t="str">
        <f>IF(D10="regulatory_gap_multiplicative",MAX(0,M10-L10),"")</f>
      </c>
      <c r="P10" s="40" t="str">
        <f>IF(D10="tax_share_to_price_elasticity",(1-G10)/(1-H10)-1,IF(D10="price_elasticity",Q10,""))</f>
      </c>
      <c r="Q10" s="41" t="str">
        <f>IF(D10="price_elasticity",MAX(0,H10-G10),"")</f>
      </c>
      <c r="R10" s="42" t="str">
        <f>IF(D10="regulatory_gap_multiplicative",N10*O10,IF(OR(D10="price_elasticity",D10="tax_share_to_price_elasticity"),ABS(N10)*P10,""))</f>
      </c>
      <c r="S10" s="43" t="n">
        <v>0</v>
      </c>
      <c r="T10" s="3" t="s">
        <v>180</v>
      </c>
      <c r="U10" s="3" t="s">
        <v>305</v>
      </c>
    </row>
    <row r="11">
      <c r="A11" s="3" t="s">
        <v>326</v>
      </c>
      <c r="B11" s="3" t="s">
        <v>202</v>
      </c>
      <c r="C11" s="3" t="s">
        <v>327</v>
      </c>
      <c r="D11" s="3" t="s">
        <v>313</v>
      </c>
      <c r="E11" s="3" t="s">
        <v>207</v>
      </c>
      <c r="F11" s="3" t="s">
        <v>208</v>
      </c>
      <c r="G11" s="3"/>
      <c r="H11" s="3"/>
      <c r="I11" s="3"/>
      <c r="J11" s="3" t="s">
        <v>304</v>
      </c>
      <c r="K11" s="3" t="s">
        <v>314</v>
      </c>
      <c r="L11" s="37" t="n">
        <v>0.5</v>
      </c>
      <c r="M11" s="38" t="n">
        <v>1</v>
      </c>
      <c r="N11" s="3" t="n">
        <v>0.07</v>
      </c>
      <c r="O11" s="39" t="str">
        <f>IF(D11="regulatory_gap_multiplicative",MAX(0,M11-L11),"")</f>
      </c>
      <c r="P11" s="40" t="str">
        <f>IF(D11="tax_share_to_price_elasticity",(1-G11)/(1-H11)-1,IF(D11="price_elasticity",Q11,""))</f>
      </c>
      <c r="Q11" s="41" t="str">
        <f>IF(D11="price_elasticity",MAX(0,H11-G11),"")</f>
      </c>
      <c r="R11" s="42" t="str">
        <f>IF(D11="regulatory_gap_multiplicative",N11*O11,IF(OR(D11="price_elasticity",D11="tax_share_to_price_elasticity"),ABS(N11)*P11,""))</f>
      </c>
      <c r="S11" s="43" t="n">
        <v>0.035</v>
      </c>
      <c r="T11" s="3" t="s">
        <v>180</v>
      </c>
      <c r="U11" s="3" t="s">
        <v>305</v>
      </c>
    </row>
    <row r="12">
      <c r="A12" s="3" t="s">
        <v>328</v>
      </c>
      <c r="B12" s="3" t="s">
        <v>244</v>
      </c>
      <c r="C12" s="3" t="s">
        <v>329</v>
      </c>
      <c r="D12" s="3" t="s">
        <v>313</v>
      </c>
      <c r="E12" s="3" t="s">
        <v>244</v>
      </c>
      <c r="F12" s="3" t="s">
        <v>181</v>
      </c>
      <c r="G12" s="3"/>
      <c r="H12" s="3"/>
      <c r="I12" s="3"/>
      <c r="J12" s="3" t="s">
        <v>304</v>
      </c>
      <c r="K12" s="3" t="s">
        <v>314</v>
      </c>
      <c r="L12" s="37" t="n">
        <v>0.5</v>
      </c>
      <c r="M12" s="38" t="n">
        <v>1</v>
      </c>
      <c r="N12" s="3" t="n">
        <v>1</v>
      </c>
      <c r="O12" s="39" t="str">
        <f>IF(D12="regulatory_gap_multiplicative",MAX(0,M12-L12),"")</f>
      </c>
      <c r="P12" s="40" t="str">
        <f>IF(D12="tax_share_to_price_elasticity",(1-G12)/(1-H12)-1,IF(D12="price_elasticity",Q12,""))</f>
      </c>
      <c r="Q12" s="41" t="str">
        <f>IF(D12="price_elasticity",MAX(0,H12-G12),"")</f>
      </c>
      <c r="R12" s="42" t="str">
        <f>IF(D12="regulatory_gap_multiplicative",N12*O12,IF(OR(D12="price_elasticity",D12="tax_share_to_price_elasticity"),ABS(N12)*P12,""))</f>
      </c>
      <c r="S12" s="43" t="n">
        <v>0.5</v>
      </c>
      <c r="T12" s="3" t="s">
        <v>180</v>
      </c>
      <c r="U12" s="3" t="s">
        <v>305</v>
      </c>
    </row>
    <row r="13">
      <c r="A13" s="3" t="s">
        <v>330</v>
      </c>
      <c r="B13" s="3" t="s">
        <v>233</v>
      </c>
      <c r="C13" s="3" t="s">
        <v>331</v>
      </c>
      <c r="D13" s="3" t="s">
        <v>308</v>
      </c>
      <c r="E13" s="3" t="s">
        <v>233</v>
      </c>
      <c r="F13" s="3" t="s">
        <v>181</v>
      </c>
      <c r="G13" s="3" t="n">
        <v>0</v>
      </c>
      <c r="H13" s="3" t="n">
        <v>0.2</v>
      </c>
      <c r="I13" s="3" t="s">
        <v>332</v>
      </c>
      <c r="J13" s="3" t="s">
        <v>310</v>
      </c>
      <c r="K13" s="3" t="s">
        <v>314</v>
      </c>
      <c r="L13" s="37" t="n">
        <v>0</v>
      </c>
      <c r="M13" s="38" t="n">
        <v>1</v>
      </c>
      <c r="N13" s="3" t="n">
        <v>-0.875</v>
      </c>
      <c r="O13" s="39" t="str">
        <f>IF(D13="regulatory_gap_multiplicative",MAX(0,M13-L13),"")</f>
      </c>
      <c r="P13" s="40" t="str">
        <f>IF(D13="tax_share_to_price_elasticity",(1-G13)/(1-H13)-1,IF(D13="price_elasticity",Q13,""))</f>
      </c>
      <c r="Q13" s="41" t="str">
        <f>IF(D13="price_elasticity",MAX(0,H13-G13),"")</f>
      </c>
      <c r="R13" s="42" t="str">
        <f>IF(D13="regulatory_gap_multiplicative",N13*O13,IF(OR(D13="price_elasticity",D13="tax_share_to_price_elasticity"),ABS(N13)*P13,""))</f>
      </c>
      <c r="S13" s="43" t="n">
        <v>0.175</v>
      </c>
      <c r="T13" s="3" t="s">
        <v>180</v>
      </c>
      <c r="U13" s="3" t="s">
        <v>305</v>
      </c>
    </row>
  </sheetData>
  <autoFilter ref="A1:U1"/>
  <conditionalFormatting sqref="T2:T13">
    <cfRule type="containsText" dxfId="0" priority="3" operator="containsText" text="Ready">
      <formula>NOT(ISERROR(SEARCH("Ready", T2)))</formula>
    </cfRule>
    <cfRule type="containsText" dxfId="1" priority="2" operator="containsText" text="Review">
      <formula>NOT(ISERROR(SEARCH("Review", T2)))</formula>
    </cfRule>
    <cfRule type="containsText" dxfId="1" priority="1" operator="containsText" text="Missing">
      <formula>NOT(ISERROR(SEARCH("Missing", T2)))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7.71" hidden="0" customWidth="1"/>
    <col min="2" max="2" width="11.71" hidden="0" customWidth="1"/>
    <col min="3" max="3" width="23.71" hidden="0" customWidth="1"/>
    <col min="4" max="4" width="15.71" hidden="0" customWidth="1"/>
    <col min="5" max="5" width="19.71" hidden="0" customWidth="1"/>
    <col min="6" max="6" width="18.71" hidden="0" customWidth="1"/>
    <col min="7" max="7" width="15.71" hidden="0" customWidth="1"/>
    <col min="8" max="8" width="16.71" hidden="0" customWidth="1"/>
    <col min="9" max="9" width="17.71" hidden="0" customWidth="1"/>
    <col min="10" max="10" width="20.71" hidden="0" customWidth="1"/>
    <col min="11" max="11" width="20.71" hidden="0" customWidth="1"/>
    <col min="12" max="12" width="12.71" hidden="0" customWidth="1"/>
    <col min="13" max="13" width="13.71" hidden="0" customWidth="1"/>
    <col min="14" max="14" width="16.71" hidden="0" customWidth="1"/>
    <col min="15" max="15" width="15.71" hidden="0" customWidth="1"/>
  </cols>
  <sheetData>
    <row r="1" ht="28" customHeight="1">
      <c r="A1" s="1" t="s">
        <v>147</v>
      </c>
      <c r="B1" s="1" t="s">
        <v>150</v>
      </c>
      <c r="C1" s="1" t="s">
        <v>333</v>
      </c>
      <c r="D1" s="1" t="s">
        <v>334</v>
      </c>
      <c r="E1" s="1" t="s">
        <v>154</v>
      </c>
      <c r="F1" s="1" t="s">
        <v>335</v>
      </c>
      <c r="G1" s="1" t="s">
        <v>336</v>
      </c>
      <c r="H1" s="1" t="s">
        <v>337</v>
      </c>
      <c r="I1" s="1" t="s">
        <v>155</v>
      </c>
      <c r="J1" s="1" t="s">
        <v>338</v>
      </c>
      <c r="K1" s="1" t="s">
        <v>339</v>
      </c>
      <c r="L1" s="1" t="s">
        <v>340</v>
      </c>
      <c r="M1" s="1" t="s">
        <v>341</v>
      </c>
      <c r="N1" s="1" t="s">
        <v>17</v>
      </c>
      <c r="O1" s="1" t="s">
        <v>165</v>
      </c>
    </row>
    <row r="2">
      <c r="A2" t="s">
        <v>171</v>
      </c>
      <c r="B2" t="s">
        <v>174</v>
      </c>
      <c r="C2" t="s">
        <v>342</v>
      </c>
      <c r="D2" t="s">
        <v>343</v>
      </c>
      <c r="E2" s="44" t="n">
        <v>0.1</v>
      </c>
      <c r="F2" t="s">
        <v>344</v>
      </c>
      <c r="G2" s="45" t="n">
        <v>0.1345</v>
      </c>
      <c r="H2" s="46" t="n">
        <v>0</v>
      </c>
      <c r="I2" s="47" t="str">
        <f>MAX(H2,E2*(1-G2))</f>
      </c>
      <c r="J2" s="48" t="str">
        <f>E2-I2</f>
      </c>
      <c r="K2" s="49" t="str">
        <f>IF(E2=0,0,(E2-I2)/E2)</f>
      </c>
      <c r="L2" s="50" t="n">
        <v>2026</v>
      </c>
      <c r="M2" s="51" t="n">
        <v>2030</v>
      </c>
      <c r="N2" t="s">
        <v>75</v>
      </c>
      <c r="O2" t="s">
        <v>180</v>
      </c>
    </row>
    <row r="3">
      <c r="A3" t="s">
        <v>194</v>
      </c>
      <c r="B3" t="s">
        <v>174</v>
      </c>
      <c r="C3" t="s">
        <v>342</v>
      </c>
      <c r="D3" t="s">
        <v>343</v>
      </c>
      <c r="E3" s="44" t="n">
        <v>0.1</v>
      </c>
      <c r="F3" t="s">
        <v>344</v>
      </c>
      <c r="G3" s="45" t="n">
        <v>0.1225</v>
      </c>
      <c r="H3" s="46" t="n">
        <v>0</v>
      </c>
      <c r="I3" s="47" t="str">
        <f>MAX(H3,E3*(1-G3))</f>
      </c>
      <c r="J3" s="48" t="str">
        <f>E3-I3</f>
      </c>
      <c r="K3" s="49" t="str">
        <f>IF(E3=0,0,(E3-I3)/E3)</f>
      </c>
      <c r="L3" s="50" t="n">
        <v>2026</v>
      </c>
      <c r="M3" s="51" t="n">
        <v>2030</v>
      </c>
      <c r="N3" t="s">
        <v>75</v>
      </c>
      <c r="O3" t="s">
        <v>345</v>
      </c>
    </row>
    <row r="4">
      <c r="A4" t="s">
        <v>202</v>
      </c>
      <c r="B4" t="s">
        <v>205</v>
      </c>
      <c r="C4" t="s">
        <v>346</v>
      </c>
      <c r="D4" t="s">
        <v>347</v>
      </c>
      <c r="E4" s="44" t="n">
        <v>4.4</v>
      </c>
      <c r="F4" t="s">
        <v>344</v>
      </c>
      <c r="G4" s="45" t="n">
        <v>0.035</v>
      </c>
      <c r="H4" s="46" t="n">
        <v>3</v>
      </c>
      <c r="I4" s="47" t="str">
        <f>MAX(H4,E4*(1-G4))</f>
      </c>
      <c r="J4" s="48" t="str">
        <f>E4-I4</f>
      </c>
      <c r="K4" s="49" t="str">
        <f>IF(E4=0,0,(E4-I4)/E4)</f>
      </c>
      <c r="L4" s="50" t="n">
        <v>2026</v>
      </c>
      <c r="M4" s="51" t="n">
        <v>2030</v>
      </c>
      <c r="N4" t="s">
        <v>75</v>
      </c>
      <c r="O4" t="s">
        <v>180</v>
      </c>
    </row>
    <row r="5">
      <c r="A5" t="s">
        <v>212</v>
      </c>
      <c r="B5" t="s">
        <v>205</v>
      </c>
      <c r="C5" t="s">
        <v>346</v>
      </c>
      <c r="D5" t="s">
        <v>347</v>
      </c>
      <c r="E5" s="44" t="n">
        <v>4.4</v>
      </c>
      <c r="F5" t="s">
        <v>344</v>
      </c>
      <c r="G5" s="45" t="n">
        <v>0.05</v>
      </c>
      <c r="H5" s="46" t="n">
        <v>3</v>
      </c>
      <c r="I5" s="47" t="str">
        <f>MAX(H5,E5*(1-G5))</f>
      </c>
      <c r="J5" s="48" t="str">
        <f>E5-I5</f>
      </c>
      <c r="K5" s="49" t="str">
        <f>IF(E5=0,0,(E5-I5)/E5)</f>
      </c>
      <c r="L5" s="50" t="n">
        <v>2026</v>
      </c>
      <c r="M5" s="51" t="n">
        <v>2030</v>
      </c>
      <c r="N5" t="s">
        <v>75</v>
      </c>
      <c r="O5" t="s">
        <v>180</v>
      </c>
    </row>
    <row r="6">
      <c r="A6" t="s">
        <v>219</v>
      </c>
      <c r="B6" t="s">
        <v>205</v>
      </c>
      <c r="C6" t="s">
        <v>346</v>
      </c>
      <c r="D6" t="s">
        <v>347</v>
      </c>
      <c r="E6" s="44" t="n">
        <v>4.4</v>
      </c>
      <c r="F6" t="s">
        <v>344</v>
      </c>
      <c r="G6" s="45" t="n">
        <v>0</v>
      </c>
      <c r="H6" s="46" t="n">
        <v>3</v>
      </c>
      <c r="I6" s="47" t="str">
        <f>MAX(H6,E6*(1-G6))</f>
      </c>
      <c r="J6" s="48" t="str">
        <f>E6-I6</f>
      </c>
      <c r="K6" s="49" t="str">
        <f>IF(E6=0,0,(E6-I6)/E6)</f>
      </c>
      <c r="L6" s="50" t="n">
        <v>2026</v>
      </c>
      <c r="M6" s="51" t="n">
        <v>2030</v>
      </c>
      <c r="N6" t="s">
        <v>75</v>
      </c>
      <c r="O6" t="s">
        <v>180</v>
      </c>
    </row>
    <row r="7">
      <c r="A7" t="s">
        <v>226</v>
      </c>
      <c r="B7" t="s">
        <v>205</v>
      </c>
      <c r="C7" t="s">
        <v>346</v>
      </c>
      <c r="D7" t="s">
        <v>347</v>
      </c>
      <c r="E7" s="44" t="n">
        <v>4.4</v>
      </c>
      <c r="F7" t="s">
        <v>344</v>
      </c>
      <c r="G7" s="45" t="n">
        <v>0.1</v>
      </c>
      <c r="H7" s="46" t="n">
        <v>3</v>
      </c>
      <c r="I7" s="47" t="str">
        <f>MAX(H7,E7*(1-G7))</f>
      </c>
      <c r="J7" s="48" t="str">
        <f>E7-I7</f>
      </c>
      <c r="K7" s="49" t="str">
        <f>IF(E7=0,0,(E7-I7)/E7)</f>
      </c>
      <c r="L7" s="50" t="n">
        <v>2026</v>
      </c>
      <c r="M7" s="51" t="n">
        <v>2030</v>
      </c>
      <c r="N7" t="s">
        <v>75</v>
      </c>
      <c r="O7" t="s">
        <v>180</v>
      </c>
    </row>
    <row r="8">
      <c r="A8" t="s">
        <v>233</v>
      </c>
      <c r="B8" t="s">
        <v>236</v>
      </c>
      <c r="C8" t="s">
        <v>348</v>
      </c>
      <c r="D8" t="s">
        <v>349</v>
      </c>
      <c r="E8" s="44" t="n">
        <v>0.114285714285714</v>
      </c>
      <c r="F8" t="s">
        <v>344</v>
      </c>
      <c r="G8" s="45" t="n">
        <v>0.175</v>
      </c>
      <c r="H8" s="46" t="n">
        <v>0</v>
      </c>
      <c r="I8" s="47" t="str">
        <f>MAX(H8,E8*(1-G8))</f>
      </c>
      <c r="J8" s="48" t="str">
        <f>E8-I8</f>
      </c>
      <c r="K8" s="49" t="str">
        <f>IF(E8=0,0,(E8-I8)/E8)</f>
      </c>
      <c r="L8" s="50" t="n">
        <v>2026</v>
      </c>
      <c r="M8" s="51" t="n">
        <v>2030</v>
      </c>
      <c r="N8" t="s">
        <v>75</v>
      </c>
      <c r="O8" t="s">
        <v>350</v>
      </c>
    </row>
    <row r="9">
      <c r="A9" t="s">
        <v>244</v>
      </c>
      <c r="B9" t="s">
        <v>247</v>
      </c>
      <c r="C9" t="s">
        <v>351</v>
      </c>
      <c r="D9" t="s">
        <v>352</v>
      </c>
      <c r="E9" s="44" t="n">
        <v>0.48</v>
      </c>
      <c r="F9" t="s">
        <v>344</v>
      </c>
      <c r="G9" s="45" t="n">
        <v>0.5</v>
      </c>
      <c r="H9" s="46" t="n">
        <v>0</v>
      </c>
      <c r="I9" s="47" t="str">
        <f>MAX(H9,E9*(1-G9))</f>
      </c>
      <c r="J9" s="48" t="str">
        <f>E9-I9</f>
      </c>
      <c r="K9" s="49" t="str">
        <f>IF(E9=0,0,(E9-I9)/E9)</f>
      </c>
      <c r="L9" s="50" t="n">
        <v>2026</v>
      </c>
      <c r="M9" s="51" t="n">
        <v>2030</v>
      </c>
      <c r="N9" t="s">
        <v>75</v>
      </c>
      <c r="O9" t="s">
        <v>353</v>
      </c>
    </row>
    <row r="10">
      <c r="A10" t="s">
        <v>249</v>
      </c>
      <c r="B10" t="s">
        <v>252</v>
      </c>
      <c r="C10" t="s">
        <v>354</v>
      </c>
      <c r="D10" t="s">
        <v>49</v>
      </c>
      <c r="E10" s="44" t="n">
        <v>0.303</v>
      </c>
      <c r="F10" t="s">
        <v>344</v>
      </c>
      <c r="G10" s="45" t="n">
        <v>0.3456</v>
      </c>
      <c r="H10" s="46" t="n">
        <v>0</v>
      </c>
      <c r="I10" s="47" t="str">
        <f>MAX(H10,E10*(1-G10))</f>
      </c>
      <c r="J10" s="48" t="str">
        <f>E10-I10</f>
      </c>
      <c r="K10" s="49" t="str">
        <f>IF(E10=0,0,(E10-I10)/E10)</f>
      </c>
      <c r="L10" s="50" t="n">
        <v>2026</v>
      </c>
      <c r="M10" s="51" t="n">
        <v>2030</v>
      </c>
      <c r="N10" t="s">
        <v>75</v>
      </c>
      <c r="O10" t="s">
        <v>345</v>
      </c>
    </row>
    <row r="11">
      <c r="A11" t="s">
        <v>259</v>
      </c>
      <c r="B11" t="s">
        <v>252</v>
      </c>
      <c r="C11" t="s">
        <v>354</v>
      </c>
      <c r="D11" t="s">
        <v>49</v>
      </c>
      <c r="E11" s="44" t="n">
        <v>0.303</v>
      </c>
      <c r="F11" t="s">
        <v>344</v>
      </c>
      <c r="G11" s="45" t="n">
        <v>0.04</v>
      </c>
      <c r="H11" s="46" t="n">
        <v>0</v>
      </c>
      <c r="I11" s="47" t="str">
        <f>MAX(H11,E11*(1-G11))</f>
      </c>
      <c r="J11" s="48" t="str">
        <f>E11-I11</f>
      </c>
      <c r="K11" s="49" t="str">
        <f>IF(E11=0,0,(E11-I11)/E11)</f>
      </c>
      <c r="L11" s="50" t="n">
        <v>2026</v>
      </c>
      <c r="M11" s="51" t="n">
        <v>2030</v>
      </c>
      <c r="N11" t="s">
        <v>75</v>
      </c>
      <c r="O11" t="s">
        <v>180</v>
      </c>
    </row>
    <row r="12">
      <c r="A12" t="s">
        <v>267</v>
      </c>
      <c r="B12" t="s">
        <v>252</v>
      </c>
      <c r="C12" t="s">
        <v>354</v>
      </c>
      <c r="D12" t="s">
        <v>49</v>
      </c>
      <c r="E12" s="44" t="n">
        <v>0.303</v>
      </c>
      <c r="F12" t="s">
        <v>344</v>
      </c>
      <c r="G12" s="45" t="n">
        <v>0.055</v>
      </c>
      <c r="H12" s="46" t="n">
        <v>0</v>
      </c>
      <c r="I12" s="47" t="str">
        <f>MAX(H12,E12*(1-G12))</f>
      </c>
      <c r="J12" s="48" t="str">
        <f>E12-I12</f>
      </c>
      <c r="K12" s="49" t="str">
        <f>IF(E12=0,0,(E12-I12)/E12)</f>
      </c>
      <c r="L12" s="50" t="n">
        <v>2026</v>
      </c>
      <c r="M12" s="51" t="n">
        <v>2030</v>
      </c>
      <c r="N12" t="s">
        <v>75</v>
      </c>
      <c r="O12" t="s">
        <v>180</v>
      </c>
    </row>
    <row r="13">
      <c r="A13" t="s">
        <v>274</v>
      </c>
      <c r="B13" t="s">
        <v>252</v>
      </c>
      <c r="C13" t="s">
        <v>354</v>
      </c>
      <c r="D13" t="s">
        <v>49</v>
      </c>
      <c r="E13" s="44" t="n">
        <v>0.303</v>
      </c>
      <c r="F13" t="s">
        <v>344</v>
      </c>
      <c r="G13" s="45" t="n">
        <v>0.065</v>
      </c>
      <c r="H13" s="46" t="n">
        <v>0</v>
      </c>
      <c r="I13" s="47" t="str">
        <f>MAX(H13,E13*(1-G13))</f>
      </c>
      <c r="J13" s="48" t="str">
        <f>E13-I13</f>
      </c>
      <c r="K13" s="49" t="str">
        <f>IF(E13=0,0,(E13-I13)/E13)</f>
      </c>
      <c r="L13" s="50" t="n">
        <v>2026</v>
      </c>
      <c r="M13" s="51" t="n">
        <v>2030</v>
      </c>
      <c r="N13" t="s">
        <v>75</v>
      </c>
      <c r="O13" t="s">
        <v>180</v>
      </c>
    </row>
  </sheetData>
  <autoFilter ref="A1:O1"/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4.71" hidden="0" customWidth="1"/>
    <col min="2" max="2" width="17.71" hidden="0" customWidth="1"/>
    <col min="3" max="3" width="11.71" hidden="0" customWidth="1"/>
    <col min="4" max="4" width="12.71" hidden="0" customWidth="1"/>
    <col min="5" max="5" width="14.71" hidden="0" customWidth="1"/>
    <col min="6" max="6" width="20.71" hidden="0" customWidth="1"/>
    <col min="7" max="7" width="16.71" hidden="0" customWidth="1"/>
    <col min="8" max="8" width="11.71" hidden="0" customWidth="1"/>
    <col min="9" max="9" width="11.71" hidden="0" customWidth="1"/>
    <col min="10" max="10" width="15.71" hidden="0" customWidth="1"/>
    <col min="11" max="11" width="19.71" hidden="0" customWidth="1"/>
    <col min="12" max="12" width="17.71" hidden="0" customWidth="1"/>
    <col min="13" max="13" width="23.71" hidden="0" customWidth="1"/>
    <col min="14" max="14" width="18.71" hidden="0" customWidth="1"/>
    <col min="15" max="15" width="11.71" hidden="0" customWidth="1"/>
    <col min="16" max="16" width="15.71" hidden="0" customWidth="1"/>
  </cols>
  <sheetData>
    <row r="1" ht="28" customHeight="1">
      <c r="A1" s="1" t="s">
        <v>148</v>
      </c>
      <c r="B1" s="1" t="s">
        <v>147</v>
      </c>
      <c r="C1" s="1" t="s">
        <v>151</v>
      </c>
      <c r="D1" s="1" t="s">
        <v>152</v>
      </c>
      <c r="E1" s="1" t="s">
        <v>153</v>
      </c>
      <c r="F1" s="1" t="s">
        <v>355</v>
      </c>
      <c r="G1" s="1" t="s">
        <v>156</v>
      </c>
      <c r="H1" s="1" t="s">
        <v>157</v>
      </c>
      <c r="I1" s="1" t="s">
        <v>158</v>
      </c>
      <c r="J1" s="1" t="s">
        <v>159</v>
      </c>
      <c r="K1" s="1" t="s">
        <v>154</v>
      </c>
      <c r="L1" s="1" t="s">
        <v>155</v>
      </c>
      <c r="M1" s="1" t="s">
        <v>161</v>
      </c>
      <c r="N1" s="1" t="s">
        <v>356</v>
      </c>
      <c r="O1" s="1" t="s">
        <v>357</v>
      </c>
      <c r="P1" s="1" t="s">
        <v>165</v>
      </c>
    </row>
    <row r="2">
      <c r="A2" t="s">
        <v>172</v>
      </c>
      <c r="B2" t="s">
        <v>171</v>
      </c>
      <c r="C2" t="s">
        <v>175</v>
      </c>
      <c r="D2" t="s">
        <v>176</v>
      </c>
      <c r="E2" t="s">
        <v>177</v>
      </c>
      <c r="F2" t="s">
        <v>358</v>
      </c>
      <c r="G2" s="52" t="n">
        <v>1.01316167035158</v>
      </c>
      <c r="H2" s="53"/>
      <c r="I2" t="s">
        <v>178</v>
      </c>
      <c r="J2" s="54" t="n">
        <v>1</v>
      </c>
      <c r="K2" s="55" t="n">
        <v>0.1</v>
      </c>
      <c r="L2" s="56" t="n">
        <v>0.08655</v>
      </c>
      <c r="M2" s="57" t="str">
        <f>1-1/(G2^(K2-L2))</f>
      </c>
      <c r="N2" t="s">
        <v>359</v>
      </c>
      <c r="O2" t="n">
        <v>1</v>
      </c>
      <c r="P2" t="s">
        <v>180</v>
      </c>
    </row>
    <row r="3">
      <c r="A3" t="s">
        <v>182</v>
      </c>
      <c r="B3" t="s">
        <v>171</v>
      </c>
      <c r="C3" t="s">
        <v>183</v>
      </c>
      <c r="D3" t="s">
        <v>184</v>
      </c>
      <c r="E3" t="s">
        <v>177</v>
      </c>
      <c r="F3" t="s">
        <v>358</v>
      </c>
      <c r="G3" s="52" t="n">
        <v>1.03317751043574</v>
      </c>
      <c r="H3" s="53"/>
      <c r="I3" t="s">
        <v>178</v>
      </c>
      <c r="J3" s="54" t="n">
        <v>1</v>
      </c>
      <c r="K3" s="55" t="n">
        <v>0.1</v>
      </c>
      <c r="L3" s="56" t="n">
        <v>0.08655</v>
      </c>
      <c r="M3" s="57" t="str">
        <f>1-1/(G3^(K3-L3))</f>
      </c>
      <c r="N3" t="s">
        <v>359</v>
      </c>
      <c r="O3" t="n">
        <v>1</v>
      </c>
      <c r="P3" t="s">
        <v>180</v>
      </c>
    </row>
    <row r="4">
      <c r="A4" t="s">
        <v>185</v>
      </c>
      <c r="B4" t="s">
        <v>171</v>
      </c>
      <c r="C4" t="s">
        <v>186</v>
      </c>
      <c r="D4" t="s">
        <v>187</v>
      </c>
      <c r="E4" t="s">
        <v>177</v>
      </c>
      <c r="F4" t="s">
        <v>358</v>
      </c>
      <c r="G4" s="52" t="n">
        <v>1.02007996271888</v>
      </c>
      <c r="H4" s="53"/>
      <c r="I4" t="s">
        <v>178</v>
      </c>
      <c r="J4" s="54" t="n">
        <v>1</v>
      </c>
      <c r="K4" s="55" t="n">
        <v>0.1</v>
      </c>
      <c r="L4" s="56" t="n">
        <v>0.08655</v>
      </c>
      <c r="M4" s="57" t="str">
        <f>1-1/(G4^(K4-L4))</f>
      </c>
      <c r="N4" t="s">
        <v>359</v>
      </c>
      <c r="O4" t="n">
        <v>1</v>
      </c>
      <c r="P4" t="s">
        <v>180</v>
      </c>
    </row>
    <row r="5">
      <c r="A5" t="s">
        <v>188</v>
      </c>
      <c r="B5" t="s">
        <v>171</v>
      </c>
      <c r="C5" t="s">
        <v>189</v>
      </c>
      <c r="D5" t="s">
        <v>190</v>
      </c>
      <c r="E5" t="s">
        <v>177</v>
      </c>
      <c r="F5" t="s">
        <v>358</v>
      </c>
      <c r="G5" s="52" t="n">
        <v>1.00888038497497</v>
      </c>
      <c r="H5" s="53"/>
      <c r="I5" t="s">
        <v>178</v>
      </c>
      <c r="J5" s="54" t="n">
        <v>1</v>
      </c>
      <c r="K5" s="55" t="n">
        <v>0.1</v>
      </c>
      <c r="L5" s="56" t="n">
        <v>0.08655</v>
      </c>
      <c r="M5" s="57" t="str">
        <f>1-1/(G5^(K5-L5))</f>
      </c>
      <c r="N5" t="s">
        <v>359</v>
      </c>
      <c r="O5" t="n">
        <v>1</v>
      </c>
      <c r="P5" t="s">
        <v>180</v>
      </c>
    </row>
    <row r="6">
      <c r="A6" t="s">
        <v>191</v>
      </c>
      <c r="B6" t="s">
        <v>171</v>
      </c>
      <c r="C6" t="s">
        <v>192</v>
      </c>
      <c r="D6" t="s">
        <v>193</v>
      </c>
      <c r="E6" t="s">
        <v>177</v>
      </c>
      <c r="F6" t="s">
        <v>358</v>
      </c>
      <c r="G6" s="52" t="n">
        <v>1.02007996271888</v>
      </c>
      <c r="H6" s="53"/>
      <c r="I6" t="s">
        <v>178</v>
      </c>
      <c r="J6" s="54" t="n">
        <v>1</v>
      </c>
      <c r="K6" s="55" t="n">
        <v>0.1</v>
      </c>
      <c r="L6" s="56" t="n">
        <v>0.08655</v>
      </c>
      <c r="M6" s="57" t="str">
        <f>1-1/(G6^(K6-L6))</f>
      </c>
      <c r="N6" t="s">
        <v>359</v>
      </c>
      <c r="O6" t="n">
        <v>1</v>
      </c>
      <c r="P6" t="s">
        <v>180</v>
      </c>
    </row>
    <row r="7">
      <c r="A7" t="s">
        <v>195</v>
      </c>
      <c r="B7" t="s">
        <v>194</v>
      </c>
      <c r="C7" t="s">
        <v>175</v>
      </c>
      <c r="D7" t="s">
        <v>176</v>
      </c>
      <c r="E7" t="s">
        <v>177</v>
      </c>
      <c r="F7" t="s">
        <v>358</v>
      </c>
      <c r="G7" s="52" t="n">
        <v>1.01316167035158</v>
      </c>
      <c r="H7" s="53"/>
      <c r="I7" t="s">
        <v>178</v>
      </c>
      <c r="J7" s="54" t="n">
        <v>1</v>
      </c>
      <c r="K7" s="55" t="n">
        <v>0.1</v>
      </c>
      <c r="L7" s="56" t="n">
        <v>0.08775</v>
      </c>
      <c r="M7" s="57" t="str">
        <f>1-1/(G7^(K7-L7))</f>
      </c>
      <c r="N7" t="s">
        <v>359</v>
      </c>
      <c r="O7" t="n">
        <v>1</v>
      </c>
      <c r="P7" t="s">
        <v>180</v>
      </c>
    </row>
    <row r="8">
      <c r="A8" t="s">
        <v>198</v>
      </c>
      <c r="B8" t="s">
        <v>194</v>
      </c>
      <c r="C8" t="s">
        <v>183</v>
      </c>
      <c r="D8" t="s">
        <v>184</v>
      </c>
      <c r="E8" t="s">
        <v>177</v>
      </c>
      <c r="F8" t="s">
        <v>358</v>
      </c>
      <c r="G8" s="52" t="n">
        <v>1.03317751043574</v>
      </c>
      <c r="H8" s="53"/>
      <c r="I8" t="s">
        <v>178</v>
      </c>
      <c r="J8" s="54" t="n">
        <v>1</v>
      </c>
      <c r="K8" s="55" t="n">
        <v>0.1</v>
      </c>
      <c r="L8" s="56" t="n">
        <v>0.08775</v>
      </c>
      <c r="M8" s="57" t="str">
        <f>1-1/(G8^(K8-L8))</f>
      </c>
      <c r="N8" t="s">
        <v>359</v>
      </c>
      <c r="O8" t="n">
        <v>1</v>
      </c>
      <c r="P8" t="s">
        <v>180</v>
      </c>
    </row>
    <row r="9">
      <c r="A9" t="s">
        <v>199</v>
      </c>
      <c r="B9" t="s">
        <v>194</v>
      </c>
      <c r="C9" t="s">
        <v>186</v>
      </c>
      <c r="D9" t="s">
        <v>187</v>
      </c>
      <c r="E9" t="s">
        <v>177</v>
      </c>
      <c r="F9" t="s">
        <v>358</v>
      </c>
      <c r="G9" s="52" t="n">
        <v>1.02007996271888</v>
      </c>
      <c r="H9" s="53"/>
      <c r="I9" t="s">
        <v>178</v>
      </c>
      <c r="J9" s="54" t="n">
        <v>1</v>
      </c>
      <c r="K9" s="55" t="n">
        <v>0.1</v>
      </c>
      <c r="L9" s="56" t="n">
        <v>0.08775</v>
      </c>
      <c r="M9" s="57" t="str">
        <f>1-1/(G9^(K9-L9))</f>
      </c>
      <c r="N9" t="s">
        <v>359</v>
      </c>
      <c r="O9" t="n">
        <v>1</v>
      </c>
      <c r="P9" t="s">
        <v>180</v>
      </c>
    </row>
    <row r="10">
      <c r="A10" t="s">
        <v>200</v>
      </c>
      <c r="B10" t="s">
        <v>194</v>
      </c>
      <c r="C10" t="s">
        <v>189</v>
      </c>
      <c r="D10" t="s">
        <v>190</v>
      </c>
      <c r="E10" t="s">
        <v>177</v>
      </c>
      <c r="F10" t="s">
        <v>358</v>
      </c>
      <c r="G10" s="52" t="n">
        <v>1.00888038497497</v>
      </c>
      <c r="H10" s="53"/>
      <c r="I10" t="s">
        <v>178</v>
      </c>
      <c r="J10" s="54" t="n">
        <v>1</v>
      </c>
      <c r="K10" s="55" t="n">
        <v>0.1</v>
      </c>
      <c r="L10" s="56" t="n">
        <v>0.08775</v>
      </c>
      <c r="M10" s="57" t="str">
        <f>1-1/(G10^(K10-L10))</f>
      </c>
      <c r="N10" t="s">
        <v>359</v>
      </c>
      <c r="O10" t="n">
        <v>1</v>
      </c>
      <c r="P10" t="s">
        <v>180</v>
      </c>
    </row>
    <row r="11">
      <c r="A11" t="s">
        <v>201</v>
      </c>
      <c r="B11" t="s">
        <v>194</v>
      </c>
      <c r="C11" t="s">
        <v>192</v>
      </c>
      <c r="D11" t="s">
        <v>193</v>
      </c>
      <c r="E11" t="s">
        <v>177</v>
      </c>
      <c r="F11" t="s">
        <v>358</v>
      </c>
      <c r="G11" s="52" t="n">
        <v>1.02007996271888</v>
      </c>
      <c r="H11" s="53"/>
      <c r="I11" t="s">
        <v>178</v>
      </c>
      <c r="J11" s="54" t="n">
        <v>1</v>
      </c>
      <c r="K11" s="55" t="n">
        <v>0.1</v>
      </c>
      <c r="L11" s="56" t="n">
        <v>0.08775</v>
      </c>
      <c r="M11" s="57" t="str">
        <f>1-1/(G11^(K11-L11))</f>
      </c>
      <c r="N11" t="s">
        <v>359</v>
      </c>
      <c r="O11" t="n">
        <v>1</v>
      </c>
      <c r="P11" t="s">
        <v>180</v>
      </c>
    </row>
    <row r="12">
      <c r="A12" t="s">
        <v>203</v>
      </c>
      <c r="B12" t="s">
        <v>202</v>
      </c>
      <c r="C12" t="s">
        <v>183</v>
      </c>
      <c r="D12" t="s">
        <v>184</v>
      </c>
      <c r="E12" t="s">
        <v>177</v>
      </c>
      <c r="F12" t="s">
        <v>360</v>
      </c>
      <c r="G12" s="52" t="n">
        <v>1.06</v>
      </c>
      <c r="H12" s="53"/>
      <c r="I12" t="s">
        <v>178</v>
      </c>
      <c r="J12" s="54" t="n">
        <v>1</v>
      </c>
      <c r="K12" s="55" t="n">
        <v>4.4</v>
      </c>
      <c r="L12" s="56" t="n">
        <v>4.246</v>
      </c>
      <c r="M12" s="57" t="str">
        <f>1-1/(G12^(K12-L12))</f>
      </c>
      <c r="N12" t="s">
        <v>359</v>
      </c>
      <c r="O12" t="n">
        <v>1</v>
      </c>
      <c r="P12" t="s">
        <v>180</v>
      </c>
    </row>
    <row r="13">
      <c r="A13" t="s">
        <v>209</v>
      </c>
      <c r="B13" t="s">
        <v>202</v>
      </c>
      <c r="C13" t="s">
        <v>186</v>
      </c>
      <c r="D13" t="s">
        <v>187</v>
      </c>
      <c r="E13" t="s">
        <v>177</v>
      </c>
      <c r="F13" t="s">
        <v>360</v>
      </c>
      <c r="G13" s="52" t="n">
        <v>1.06</v>
      </c>
      <c r="H13" s="53"/>
      <c r="I13" t="s">
        <v>178</v>
      </c>
      <c r="J13" s="54" t="n">
        <v>1</v>
      </c>
      <c r="K13" s="55" t="n">
        <v>4.4</v>
      </c>
      <c r="L13" s="56" t="n">
        <v>4.246</v>
      </c>
      <c r="M13" s="57" t="str">
        <f>1-1/(G13^(K13-L13))</f>
      </c>
      <c r="N13" t="s">
        <v>359</v>
      </c>
      <c r="O13" t="n">
        <v>1</v>
      </c>
      <c r="P13" t="s">
        <v>180</v>
      </c>
    </row>
    <row r="14">
      <c r="A14" t="s">
        <v>210</v>
      </c>
      <c r="B14" t="s">
        <v>202</v>
      </c>
      <c r="C14" t="s">
        <v>189</v>
      </c>
      <c r="D14" t="s">
        <v>190</v>
      </c>
      <c r="E14" t="s">
        <v>177</v>
      </c>
      <c r="F14" t="s">
        <v>360</v>
      </c>
      <c r="G14" s="52" t="n">
        <v>1.06</v>
      </c>
      <c r="H14" s="53"/>
      <c r="I14" t="s">
        <v>178</v>
      </c>
      <c r="J14" s="54" t="n">
        <v>1</v>
      </c>
      <c r="K14" s="55" t="n">
        <v>4.4</v>
      </c>
      <c r="L14" s="56" t="n">
        <v>4.246</v>
      </c>
      <c r="M14" s="57" t="str">
        <f>1-1/(G14^(K14-L14))</f>
      </c>
      <c r="N14" t="s">
        <v>359</v>
      </c>
      <c r="O14" t="n">
        <v>1</v>
      </c>
      <c r="P14" t="s">
        <v>180</v>
      </c>
    </row>
    <row r="15">
      <c r="A15" t="s">
        <v>211</v>
      </c>
      <c r="B15" t="s">
        <v>202</v>
      </c>
      <c r="C15" t="s">
        <v>192</v>
      </c>
      <c r="D15" t="s">
        <v>193</v>
      </c>
      <c r="E15" t="s">
        <v>177</v>
      </c>
      <c r="F15" t="s">
        <v>360</v>
      </c>
      <c r="G15" s="52" t="n">
        <v>1.06</v>
      </c>
      <c r="H15" s="53"/>
      <c r="I15" t="s">
        <v>178</v>
      </c>
      <c r="J15" s="54" t="n">
        <v>1</v>
      </c>
      <c r="K15" s="55" t="n">
        <v>4.4</v>
      </c>
      <c r="L15" s="56" t="n">
        <v>4.246</v>
      </c>
      <c r="M15" s="57" t="str">
        <f>1-1/(G15^(K15-L15))</f>
      </c>
      <c r="N15" t="s">
        <v>359</v>
      </c>
      <c r="O15" t="n">
        <v>1</v>
      </c>
      <c r="P15" t="s">
        <v>180</v>
      </c>
    </row>
    <row r="16">
      <c r="A16" t="s">
        <v>213</v>
      </c>
      <c r="B16" t="s">
        <v>212</v>
      </c>
      <c r="C16" t="s">
        <v>183</v>
      </c>
      <c r="D16" t="s">
        <v>184</v>
      </c>
      <c r="E16" t="s">
        <v>177</v>
      </c>
      <c r="F16" t="s">
        <v>360</v>
      </c>
      <c r="G16" s="52" t="n">
        <v>1.06</v>
      </c>
      <c r="H16" s="53"/>
      <c r="I16" t="s">
        <v>178</v>
      </c>
      <c r="J16" s="54" t="n">
        <v>1</v>
      </c>
      <c r="K16" s="55" t="n">
        <v>4.4</v>
      </c>
      <c r="L16" s="56" t="n">
        <v>4.18</v>
      </c>
      <c r="M16" s="57" t="str">
        <f>1-1/(G16^(K16-L16))</f>
      </c>
      <c r="N16" t="s">
        <v>359</v>
      </c>
      <c r="O16" t="n">
        <v>1</v>
      </c>
      <c r="P16" t="s">
        <v>180</v>
      </c>
    </row>
    <row r="17">
      <c r="A17" t="s">
        <v>216</v>
      </c>
      <c r="B17" t="s">
        <v>212</v>
      </c>
      <c r="C17" t="s">
        <v>186</v>
      </c>
      <c r="D17" t="s">
        <v>187</v>
      </c>
      <c r="E17" t="s">
        <v>177</v>
      </c>
      <c r="F17" t="s">
        <v>360</v>
      </c>
      <c r="G17" s="52" t="n">
        <v>1.06</v>
      </c>
      <c r="H17" s="53"/>
      <c r="I17" t="s">
        <v>178</v>
      </c>
      <c r="J17" s="54" t="n">
        <v>1</v>
      </c>
      <c r="K17" s="55" t="n">
        <v>4.4</v>
      </c>
      <c r="L17" s="56" t="n">
        <v>4.18</v>
      </c>
      <c r="M17" s="57" t="str">
        <f>1-1/(G17^(K17-L17))</f>
      </c>
      <c r="N17" t="s">
        <v>359</v>
      </c>
      <c r="O17" t="n">
        <v>1</v>
      </c>
      <c r="P17" t="s">
        <v>180</v>
      </c>
    </row>
    <row r="18">
      <c r="A18" t="s">
        <v>217</v>
      </c>
      <c r="B18" t="s">
        <v>212</v>
      </c>
      <c r="C18" t="s">
        <v>189</v>
      </c>
      <c r="D18" t="s">
        <v>190</v>
      </c>
      <c r="E18" t="s">
        <v>177</v>
      </c>
      <c r="F18" t="s">
        <v>360</v>
      </c>
      <c r="G18" s="52" t="n">
        <v>1.06</v>
      </c>
      <c r="H18" s="53"/>
      <c r="I18" t="s">
        <v>178</v>
      </c>
      <c r="J18" s="54" t="n">
        <v>1</v>
      </c>
      <c r="K18" s="55" t="n">
        <v>4.4</v>
      </c>
      <c r="L18" s="56" t="n">
        <v>4.18</v>
      </c>
      <c r="M18" s="57" t="str">
        <f>1-1/(G18^(K18-L18))</f>
      </c>
      <c r="N18" t="s">
        <v>359</v>
      </c>
      <c r="O18" t="n">
        <v>1</v>
      </c>
      <c r="P18" t="s">
        <v>180</v>
      </c>
    </row>
    <row r="19">
      <c r="A19" t="s">
        <v>218</v>
      </c>
      <c r="B19" t="s">
        <v>212</v>
      </c>
      <c r="C19" t="s">
        <v>192</v>
      </c>
      <c r="D19" t="s">
        <v>193</v>
      </c>
      <c r="E19" t="s">
        <v>177</v>
      </c>
      <c r="F19" t="s">
        <v>360</v>
      </c>
      <c r="G19" s="52" t="n">
        <v>1.06</v>
      </c>
      <c r="H19" s="53"/>
      <c r="I19" t="s">
        <v>178</v>
      </c>
      <c r="J19" s="54" t="n">
        <v>1</v>
      </c>
      <c r="K19" s="55" t="n">
        <v>4.4</v>
      </c>
      <c r="L19" s="56" t="n">
        <v>4.18</v>
      </c>
      <c r="M19" s="57" t="str">
        <f>1-1/(G19^(K19-L19))</f>
      </c>
      <c r="N19" t="s">
        <v>359</v>
      </c>
      <c r="O19" t="n">
        <v>1</v>
      </c>
      <c r="P19" t="s">
        <v>180</v>
      </c>
    </row>
    <row r="20">
      <c r="A20" t="s">
        <v>220</v>
      </c>
      <c r="B20" t="s">
        <v>219</v>
      </c>
      <c r="C20" t="s">
        <v>183</v>
      </c>
      <c r="D20" t="s">
        <v>184</v>
      </c>
      <c r="E20" t="s">
        <v>177</v>
      </c>
      <c r="F20" t="s">
        <v>360</v>
      </c>
      <c r="G20" s="52" t="n">
        <v>1.06</v>
      </c>
      <c r="H20" s="53"/>
      <c r="I20" t="s">
        <v>178</v>
      </c>
      <c r="J20" s="54" t="n">
        <v>1</v>
      </c>
      <c r="K20" s="55" t="n">
        <v>4.4</v>
      </c>
      <c r="L20" s="56" t="n">
        <v>4.4</v>
      </c>
      <c r="M20" s="57" t="str">
        <f>1-1/(G20^(K20-L20))</f>
      </c>
      <c r="N20" t="s">
        <v>359</v>
      </c>
      <c r="O20" t="n">
        <v>1</v>
      </c>
      <c r="P20" t="s">
        <v>180</v>
      </c>
    </row>
    <row r="21">
      <c r="A21" t="s">
        <v>223</v>
      </c>
      <c r="B21" t="s">
        <v>219</v>
      </c>
      <c r="C21" t="s">
        <v>186</v>
      </c>
      <c r="D21" t="s">
        <v>187</v>
      </c>
      <c r="E21" t="s">
        <v>177</v>
      </c>
      <c r="F21" t="s">
        <v>360</v>
      </c>
      <c r="G21" s="52" t="n">
        <v>1.06</v>
      </c>
      <c r="H21" s="53"/>
      <c r="I21" t="s">
        <v>178</v>
      </c>
      <c r="J21" s="54" t="n">
        <v>1</v>
      </c>
      <c r="K21" s="55" t="n">
        <v>4.4</v>
      </c>
      <c r="L21" s="56" t="n">
        <v>4.4</v>
      </c>
      <c r="M21" s="57" t="str">
        <f>1-1/(G21^(K21-L21))</f>
      </c>
      <c r="N21" t="s">
        <v>359</v>
      </c>
      <c r="O21" t="n">
        <v>1</v>
      </c>
      <c r="P21" t="s">
        <v>180</v>
      </c>
    </row>
    <row r="22">
      <c r="A22" t="s">
        <v>224</v>
      </c>
      <c r="B22" t="s">
        <v>219</v>
      </c>
      <c r="C22" t="s">
        <v>189</v>
      </c>
      <c r="D22" t="s">
        <v>190</v>
      </c>
      <c r="E22" t="s">
        <v>177</v>
      </c>
      <c r="F22" t="s">
        <v>360</v>
      </c>
      <c r="G22" s="52" t="n">
        <v>1.06</v>
      </c>
      <c r="H22" s="53"/>
      <c r="I22" t="s">
        <v>178</v>
      </c>
      <c r="J22" s="54" t="n">
        <v>1</v>
      </c>
      <c r="K22" s="55" t="n">
        <v>4.4</v>
      </c>
      <c r="L22" s="56" t="n">
        <v>4.4</v>
      </c>
      <c r="M22" s="57" t="str">
        <f>1-1/(G22^(K22-L22))</f>
      </c>
      <c r="N22" t="s">
        <v>359</v>
      </c>
      <c r="O22" t="n">
        <v>1</v>
      </c>
      <c r="P22" t="s">
        <v>180</v>
      </c>
    </row>
    <row r="23">
      <c r="A23" t="s">
        <v>225</v>
      </c>
      <c r="B23" t="s">
        <v>219</v>
      </c>
      <c r="C23" t="s">
        <v>192</v>
      </c>
      <c r="D23" t="s">
        <v>193</v>
      </c>
      <c r="E23" t="s">
        <v>177</v>
      </c>
      <c r="F23" t="s">
        <v>360</v>
      </c>
      <c r="G23" s="52" t="n">
        <v>1.06</v>
      </c>
      <c r="H23" s="53"/>
      <c r="I23" t="s">
        <v>178</v>
      </c>
      <c r="J23" s="54" t="n">
        <v>1</v>
      </c>
      <c r="K23" s="55" t="n">
        <v>4.4</v>
      </c>
      <c r="L23" s="56" t="n">
        <v>4.4</v>
      </c>
      <c r="M23" s="57" t="str">
        <f>1-1/(G23^(K23-L23))</f>
      </c>
      <c r="N23" t="s">
        <v>359</v>
      </c>
      <c r="O23" t="n">
        <v>1</v>
      </c>
      <c r="P23" t="s">
        <v>180</v>
      </c>
    </row>
    <row r="24">
      <c r="A24" t="s">
        <v>227</v>
      </c>
      <c r="B24" t="s">
        <v>226</v>
      </c>
      <c r="C24" t="s">
        <v>183</v>
      </c>
      <c r="D24" t="s">
        <v>184</v>
      </c>
      <c r="E24" t="s">
        <v>177</v>
      </c>
      <c r="F24" t="s">
        <v>360</v>
      </c>
      <c r="G24" s="52" t="n">
        <v>1.06</v>
      </c>
      <c r="H24" s="53"/>
      <c r="I24" t="s">
        <v>178</v>
      </c>
      <c r="J24" s="54" t="n">
        <v>1</v>
      </c>
      <c r="K24" s="55" t="n">
        <v>4.4</v>
      </c>
      <c r="L24" s="56" t="n">
        <v>3.96</v>
      </c>
      <c r="M24" s="57" t="str">
        <f>1-1/(G24^(K24-L24))</f>
      </c>
      <c r="N24" t="s">
        <v>359</v>
      </c>
      <c r="O24" t="n">
        <v>1</v>
      </c>
      <c r="P24" t="s">
        <v>180</v>
      </c>
    </row>
    <row r="25">
      <c r="A25" t="s">
        <v>230</v>
      </c>
      <c r="B25" t="s">
        <v>226</v>
      </c>
      <c r="C25" t="s">
        <v>186</v>
      </c>
      <c r="D25" t="s">
        <v>187</v>
      </c>
      <c r="E25" t="s">
        <v>177</v>
      </c>
      <c r="F25" t="s">
        <v>360</v>
      </c>
      <c r="G25" s="52" t="n">
        <v>1.06</v>
      </c>
      <c r="H25" s="53"/>
      <c r="I25" t="s">
        <v>178</v>
      </c>
      <c r="J25" s="54" t="n">
        <v>1</v>
      </c>
      <c r="K25" s="55" t="n">
        <v>4.4</v>
      </c>
      <c r="L25" s="56" t="n">
        <v>3.96</v>
      </c>
      <c r="M25" s="57" t="str">
        <f>1-1/(G25^(K25-L25))</f>
      </c>
      <c r="N25" t="s">
        <v>359</v>
      </c>
      <c r="O25" t="n">
        <v>1</v>
      </c>
      <c r="P25" t="s">
        <v>180</v>
      </c>
    </row>
    <row r="26">
      <c r="A26" t="s">
        <v>231</v>
      </c>
      <c r="B26" t="s">
        <v>226</v>
      </c>
      <c r="C26" t="s">
        <v>189</v>
      </c>
      <c r="D26" t="s">
        <v>190</v>
      </c>
      <c r="E26" t="s">
        <v>177</v>
      </c>
      <c r="F26" t="s">
        <v>360</v>
      </c>
      <c r="G26" s="52" t="n">
        <v>1.06</v>
      </c>
      <c r="H26" s="53"/>
      <c r="I26" t="s">
        <v>178</v>
      </c>
      <c r="J26" s="54" t="n">
        <v>1</v>
      </c>
      <c r="K26" s="55" t="n">
        <v>4.4</v>
      </c>
      <c r="L26" s="56" t="n">
        <v>3.96</v>
      </c>
      <c r="M26" s="57" t="str">
        <f>1-1/(G26^(K26-L26))</f>
      </c>
      <c r="N26" t="s">
        <v>359</v>
      </c>
      <c r="O26" t="n">
        <v>1</v>
      </c>
      <c r="P26" t="s">
        <v>180</v>
      </c>
    </row>
    <row r="27">
      <c r="A27" t="s">
        <v>232</v>
      </c>
      <c r="B27" t="s">
        <v>226</v>
      </c>
      <c r="C27" t="s">
        <v>192</v>
      </c>
      <c r="D27" t="s">
        <v>193</v>
      </c>
      <c r="E27" t="s">
        <v>177</v>
      </c>
      <c r="F27" t="s">
        <v>360</v>
      </c>
      <c r="G27" s="52" t="n">
        <v>1.06</v>
      </c>
      <c r="H27" s="53"/>
      <c r="I27" t="s">
        <v>178</v>
      </c>
      <c r="J27" s="54" t="n">
        <v>1</v>
      </c>
      <c r="K27" s="55" t="n">
        <v>4.4</v>
      </c>
      <c r="L27" s="56" t="n">
        <v>3.96</v>
      </c>
      <c r="M27" s="57" t="str">
        <f>1-1/(G27^(K27-L27))</f>
      </c>
      <c r="N27" t="s">
        <v>359</v>
      </c>
      <c r="O27" t="n">
        <v>1</v>
      </c>
      <c r="P27" t="s">
        <v>180</v>
      </c>
    </row>
    <row r="28">
      <c r="A28" t="s">
        <v>234</v>
      </c>
      <c r="B28" t="s">
        <v>233</v>
      </c>
      <c r="C28" t="s">
        <v>237</v>
      </c>
      <c r="D28" t="s">
        <v>238</v>
      </c>
      <c r="E28" t="s">
        <v>177</v>
      </c>
      <c r="F28" t="s">
        <v>361</v>
      </c>
      <c r="G28" s="52" t="n">
        <v>1.18</v>
      </c>
      <c r="H28" s="53"/>
      <c r="I28" t="s">
        <v>178</v>
      </c>
      <c r="J28" s="54" t="n">
        <v>1</v>
      </c>
      <c r="K28" s="55" t="n">
        <v>0.114285714285714</v>
      </c>
      <c r="L28" s="56" t="n">
        <v>0.094285714285714</v>
      </c>
      <c r="M28" s="57" t="str">
        <f>1-1/(G28^(K28-L28))</f>
      </c>
      <c r="N28" t="s">
        <v>359</v>
      </c>
      <c r="O28" t="n">
        <v>1</v>
      </c>
      <c r="P28" t="s">
        <v>180</v>
      </c>
    </row>
    <row r="29">
      <c r="A29" t="s">
        <v>240</v>
      </c>
      <c r="B29" t="s">
        <v>233</v>
      </c>
      <c r="C29" t="s">
        <v>183</v>
      </c>
      <c r="D29" t="s">
        <v>184</v>
      </c>
      <c r="E29" t="s">
        <v>177</v>
      </c>
      <c r="F29" t="s">
        <v>361</v>
      </c>
      <c r="G29" s="52" t="n">
        <v>1.1</v>
      </c>
      <c r="H29" s="53"/>
      <c r="I29" t="s">
        <v>178</v>
      </c>
      <c r="J29" s="54" t="n">
        <v>1</v>
      </c>
      <c r="K29" s="55" t="n">
        <v>0.114285714285714</v>
      </c>
      <c r="L29" s="56" t="n">
        <v>0.094285714285714</v>
      </c>
      <c r="M29" s="57" t="str">
        <f>1-1/(G29^(K29-L29))</f>
      </c>
      <c r="N29" t="s">
        <v>359</v>
      </c>
      <c r="O29" t="n">
        <v>1</v>
      </c>
      <c r="P29" t="s">
        <v>180</v>
      </c>
    </row>
    <row r="30">
      <c r="A30" t="s">
        <v>241</v>
      </c>
      <c r="B30" t="s">
        <v>233</v>
      </c>
      <c r="C30" t="s">
        <v>186</v>
      </c>
      <c r="D30" t="s">
        <v>187</v>
      </c>
      <c r="E30" t="s">
        <v>177</v>
      </c>
      <c r="F30" t="s">
        <v>361</v>
      </c>
      <c r="G30" s="52" t="n">
        <v>1.08</v>
      </c>
      <c r="H30" s="53"/>
      <c r="I30" t="s">
        <v>178</v>
      </c>
      <c r="J30" s="54" t="n">
        <v>1</v>
      </c>
      <c r="K30" s="55" t="n">
        <v>0.114285714285714</v>
      </c>
      <c r="L30" s="56" t="n">
        <v>0.094285714285714</v>
      </c>
      <c r="M30" s="57" t="str">
        <f>1-1/(G30^(K30-L30))</f>
      </c>
      <c r="N30" t="s">
        <v>359</v>
      </c>
      <c r="O30" t="n">
        <v>1</v>
      </c>
      <c r="P30" t="s">
        <v>180</v>
      </c>
    </row>
    <row r="31">
      <c r="A31" t="s">
        <v>242</v>
      </c>
      <c r="B31" t="s">
        <v>233</v>
      </c>
      <c r="C31" t="s">
        <v>189</v>
      </c>
      <c r="D31" t="s">
        <v>190</v>
      </c>
      <c r="E31" t="s">
        <v>177</v>
      </c>
      <c r="F31" t="s">
        <v>361</v>
      </c>
      <c r="G31" s="52" t="n">
        <v>1.14</v>
      </c>
      <c r="H31" s="53"/>
      <c r="I31" t="s">
        <v>178</v>
      </c>
      <c r="J31" s="54" t="n">
        <v>1</v>
      </c>
      <c r="K31" s="55" t="n">
        <v>0.114285714285714</v>
      </c>
      <c r="L31" s="56" t="n">
        <v>0.094285714285714</v>
      </c>
      <c r="M31" s="57" t="str">
        <f>1-1/(G31^(K31-L31))</f>
      </c>
      <c r="N31" t="s">
        <v>359</v>
      </c>
      <c r="O31" t="n">
        <v>1</v>
      </c>
      <c r="P31" t="s">
        <v>180</v>
      </c>
    </row>
    <row r="32">
      <c r="A32" t="s">
        <v>243</v>
      </c>
      <c r="B32" t="s">
        <v>233</v>
      </c>
      <c r="C32" t="s">
        <v>192</v>
      </c>
      <c r="D32" t="s">
        <v>193</v>
      </c>
      <c r="E32" t="s">
        <v>177</v>
      </c>
      <c r="F32" t="s">
        <v>361</v>
      </c>
      <c r="G32" s="52" t="n">
        <v>1.07</v>
      </c>
      <c r="H32" s="53"/>
      <c r="I32" t="s">
        <v>178</v>
      </c>
      <c r="J32" s="54" t="n">
        <v>1</v>
      </c>
      <c r="K32" s="55" t="n">
        <v>0.114285714285714</v>
      </c>
      <c r="L32" s="56" t="n">
        <v>0.094285714285714</v>
      </c>
      <c r="M32" s="57" t="str">
        <f>1-1/(G32^(K32-L32))</f>
      </c>
      <c r="N32" t="s">
        <v>359</v>
      </c>
      <c r="O32" t="n">
        <v>1</v>
      </c>
      <c r="P32" t="s">
        <v>180</v>
      </c>
    </row>
    <row r="33">
      <c r="A33" t="s">
        <v>245</v>
      </c>
      <c r="B33" t="s">
        <v>244</v>
      </c>
      <c r="C33" t="s">
        <v>189</v>
      </c>
      <c r="D33" t="s">
        <v>190</v>
      </c>
      <c r="E33" t="s">
        <v>177</v>
      </c>
      <c r="F33" t="s">
        <v>362</v>
      </c>
      <c r="G33" s="52" t="n">
        <v>1.1</v>
      </c>
      <c r="H33" s="53"/>
      <c r="I33" t="s">
        <v>178</v>
      </c>
      <c r="J33" s="54" t="n">
        <v>1</v>
      </c>
      <c r="K33" s="55" t="n">
        <v>0.48</v>
      </c>
      <c r="L33" s="56" t="n">
        <v>0.24</v>
      </c>
      <c r="M33" s="57" t="str">
        <f>1-1/(G33^(K33-L33))</f>
      </c>
      <c r="N33" t="s">
        <v>359</v>
      </c>
      <c r="O33" t="n">
        <v>1</v>
      </c>
      <c r="P33" t="s">
        <v>180</v>
      </c>
    </row>
    <row r="34">
      <c r="A34" t="s">
        <v>250</v>
      </c>
      <c r="B34" t="s">
        <v>249</v>
      </c>
      <c r="C34" t="s">
        <v>237</v>
      </c>
      <c r="D34" t="s">
        <v>238</v>
      </c>
      <c r="E34" t="s">
        <v>253</v>
      </c>
      <c r="F34" t="s">
        <v>363</v>
      </c>
      <c r="G34" s="52" t="n">
        <v>1.37</v>
      </c>
      <c r="H34" s="53"/>
      <c r="I34" t="s">
        <v>254</v>
      </c>
      <c r="J34" s="54" t="n">
        <v>0.0615144568129612</v>
      </c>
      <c r="K34" s="55" t="n">
        <v>0.303</v>
      </c>
      <c r="L34" s="56" t="n">
        <v>0.1982832</v>
      </c>
      <c r="M34" s="57" t="str">
        <f>1-(1+L34*(G34-1))/(1+K34*(G34-1))</f>
      </c>
      <c r="N34" t="s">
        <v>359</v>
      </c>
      <c r="O34" t="n">
        <v>1</v>
      </c>
      <c r="P34" t="s">
        <v>180</v>
      </c>
    </row>
    <row r="35">
      <c r="A35" t="s">
        <v>256</v>
      </c>
      <c r="B35" t="s">
        <v>249</v>
      </c>
      <c r="C35" t="s">
        <v>186</v>
      </c>
      <c r="D35" t="s">
        <v>187</v>
      </c>
      <c r="E35" t="s">
        <v>253</v>
      </c>
      <c r="F35" t="s">
        <v>363</v>
      </c>
      <c r="G35" s="52" t="n">
        <v>1.19</v>
      </c>
      <c r="H35" s="53"/>
      <c r="I35" t="s">
        <v>254</v>
      </c>
      <c r="J35" s="54" t="n">
        <v>0.0615144568129612</v>
      </c>
      <c r="K35" s="55" t="n">
        <v>0.303</v>
      </c>
      <c r="L35" s="56" t="n">
        <v>0.1982832</v>
      </c>
      <c r="M35" s="57" t="str">
        <f>1-(1+L35*(G35-1))/(1+K35*(G35-1))</f>
      </c>
      <c r="N35" t="s">
        <v>359</v>
      </c>
      <c r="O35" t="n">
        <v>1</v>
      </c>
      <c r="P35" t="s">
        <v>180</v>
      </c>
    </row>
    <row r="36">
      <c r="A36" t="s">
        <v>257</v>
      </c>
      <c r="B36" t="s">
        <v>249</v>
      </c>
      <c r="C36" t="s">
        <v>189</v>
      </c>
      <c r="D36" t="s">
        <v>190</v>
      </c>
      <c r="E36" t="s">
        <v>253</v>
      </c>
      <c r="F36" t="s">
        <v>363</v>
      </c>
      <c r="G36" s="52" t="n">
        <v>1.6</v>
      </c>
      <c r="H36" s="53"/>
      <c r="I36" t="s">
        <v>254</v>
      </c>
      <c r="J36" s="54" t="n">
        <v>0.0615144568129612</v>
      </c>
      <c r="K36" s="55" t="n">
        <v>0.303</v>
      </c>
      <c r="L36" s="56" t="n">
        <v>0.1982832</v>
      </c>
      <c r="M36" s="57" t="str">
        <f>1-(1+L36*(G36-1))/(1+K36*(G36-1))</f>
      </c>
      <c r="N36" t="s">
        <v>359</v>
      </c>
      <c r="O36" t="n">
        <v>1</v>
      </c>
      <c r="P36" t="s">
        <v>180</v>
      </c>
    </row>
    <row r="37">
      <c r="A37" t="s">
        <v>258</v>
      </c>
      <c r="B37" t="s">
        <v>249</v>
      </c>
      <c r="C37" t="s">
        <v>192</v>
      </c>
      <c r="D37" t="s">
        <v>193</v>
      </c>
      <c r="E37" t="s">
        <v>253</v>
      </c>
      <c r="F37" t="s">
        <v>363</v>
      </c>
      <c r="G37" s="52" t="n">
        <v>1.38</v>
      </c>
      <c r="H37" s="53"/>
      <c r="I37" t="s">
        <v>254</v>
      </c>
      <c r="J37" s="54" t="n">
        <v>0.0615144568129612</v>
      </c>
      <c r="K37" s="55" t="n">
        <v>0.303</v>
      </c>
      <c r="L37" s="56" t="n">
        <v>0.1982832</v>
      </c>
      <c r="M37" s="57" t="str">
        <f>1-(1+L37*(G37-1))/(1+K37*(G37-1))</f>
      </c>
      <c r="N37" t="s">
        <v>359</v>
      </c>
      <c r="O37" t="n">
        <v>1</v>
      </c>
      <c r="P37" t="s">
        <v>180</v>
      </c>
    </row>
    <row r="38">
      <c r="A38" t="s">
        <v>260</v>
      </c>
      <c r="B38" t="s">
        <v>259</v>
      </c>
      <c r="C38" t="s">
        <v>237</v>
      </c>
      <c r="D38" t="s">
        <v>238</v>
      </c>
      <c r="E38" t="s">
        <v>253</v>
      </c>
      <c r="F38" t="s">
        <v>363</v>
      </c>
      <c r="G38" s="52" t="n">
        <v>1.37</v>
      </c>
      <c r="H38" s="53"/>
      <c r="I38" t="s">
        <v>254</v>
      </c>
      <c r="J38" s="54" t="n">
        <v>0.0615144568129612</v>
      </c>
      <c r="K38" s="55" t="n">
        <v>0.303</v>
      </c>
      <c r="L38" s="56" t="n">
        <v>0.29088</v>
      </c>
      <c r="M38" s="57" t="str">
        <f>1-(1+L38*(G38-1))/(1+K38*(G38-1))</f>
      </c>
      <c r="N38" t="s">
        <v>359</v>
      </c>
      <c r="O38" t="n">
        <v>1</v>
      </c>
      <c r="P38" t="s">
        <v>180</v>
      </c>
    </row>
    <row r="39">
      <c r="A39" t="s">
        <v>264</v>
      </c>
      <c r="B39" t="s">
        <v>259</v>
      </c>
      <c r="C39" t="s">
        <v>186</v>
      </c>
      <c r="D39" t="s">
        <v>187</v>
      </c>
      <c r="E39" t="s">
        <v>253</v>
      </c>
      <c r="F39" t="s">
        <v>363</v>
      </c>
      <c r="G39" s="52" t="n">
        <v>1.19</v>
      </c>
      <c r="H39" s="53"/>
      <c r="I39" t="s">
        <v>254</v>
      </c>
      <c r="J39" s="54" t="n">
        <v>0.0615144568129612</v>
      </c>
      <c r="K39" s="55" t="n">
        <v>0.303</v>
      </c>
      <c r="L39" s="56" t="n">
        <v>0.29088</v>
      </c>
      <c r="M39" s="57" t="str">
        <f>1-(1+L39*(G39-1))/(1+K39*(G39-1))</f>
      </c>
      <c r="N39" t="s">
        <v>359</v>
      </c>
      <c r="O39" t="n">
        <v>1</v>
      </c>
      <c r="P39" t="s">
        <v>180</v>
      </c>
    </row>
    <row r="40">
      <c r="A40" t="s">
        <v>265</v>
      </c>
      <c r="B40" t="s">
        <v>259</v>
      </c>
      <c r="C40" t="s">
        <v>189</v>
      </c>
      <c r="D40" t="s">
        <v>190</v>
      </c>
      <c r="E40" t="s">
        <v>253</v>
      </c>
      <c r="F40" t="s">
        <v>363</v>
      </c>
      <c r="G40" s="52" t="n">
        <v>1.6</v>
      </c>
      <c r="H40" s="53"/>
      <c r="I40" t="s">
        <v>254</v>
      </c>
      <c r="J40" s="54" t="n">
        <v>0.0615144568129612</v>
      </c>
      <c r="K40" s="55" t="n">
        <v>0.303</v>
      </c>
      <c r="L40" s="56" t="n">
        <v>0.29088</v>
      </c>
      <c r="M40" s="57" t="str">
        <f>1-(1+L40*(G40-1))/(1+K40*(G40-1))</f>
      </c>
      <c r="N40" t="s">
        <v>359</v>
      </c>
      <c r="O40" t="n">
        <v>1</v>
      </c>
      <c r="P40" t="s">
        <v>180</v>
      </c>
    </row>
    <row r="41">
      <c r="A41" t="s">
        <v>266</v>
      </c>
      <c r="B41" t="s">
        <v>259</v>
      </c>
      <c r="C41" t="s">
        <v>192</v>
      </c>
      <c r="D41" t="s">
        <v>193</v>
      </c>
      <c r="E41" t="s">
        <v>253</v>
      </c>
      <c r="F41" t="s">
        <v>363</v>
      </c>
      <c r="G41" s="52" t="n">
        <v>1.38</v>
      </c>
      <c r="H41" s="53"/>
      <c r="I41" t="s">
        <v>254</v>
      </c>
      <c r="J41" s="54" t="n">
        <v>0.0615144568129612</v>
      </c>
      <c r="K41" s="55" t="n">
        <v>0.303</v>
      </c>
      <c r="L41" s="56" t="n">
        <v>0.29088</v>
      </c>
      <c r="M41" s="57" t="str">
        <f>1-(1+L41*(G41-1))/(1+K41*(G41-1))</f>
      </c>
      <c r="N41" t="s">
        <v>359</v>
      </c>
      <c r="O41" t="n">
        <v>1</v>
      </c>
      <c r="P41" t="s">
        <v>180</v>
      </c>
    </row>
    <row r="42">
      <c r="A42" t="s">
        <v>268</v>
      </c>
      <c r="B42" t="s">
        <v>267</v>
      </c>
      <c r="C42" t="s">
        <v>237</v>
      </c>
      <c r="D42" t="s">
        <v>238</v>
      </c>
      <c r="E42" t="s">
        <v>253</v>
      </c>
      <c r="F42" t="s">
        <v>363</v>
      </c>
      <c r="G42" s="52" t="n">
        <v>1.37</v>
      </c>
      <c r="H42" s="53"/>
      <c r="I42" t="s">
        <v>254</v>
      </c>
      <c r="J42" s="54" t="n">
        <v>0.0615144568129612</v>
      </c>
      <c r="K42" s="55" t="n">
        <v>0.303</v>
      </c>
      <c r="L42" s="56" t="n">
        <v>0.286335</v>
      </c>
      <c r="M42" s="57" t="str">
        <f>1-(1+L42*(G42-1))/(1+K42*(G42-1))</f>
      </c>
      <c r="N42" t="s">
        <v>359</v>
      </c>
      <c r="O42" t="n">
        <v>1</v>
      </c>
      <c r="P42" t="s">
        <v>180</v>
      </c>
    </row>
    <row r="43">
      <c r="A43" t="s">
        <v>271</v>
      </c>
      <c r="B43" t="s">
        <v>267</v>
      </c>
      <c r="C43" t="s">
        <v>186</v>
      </c>
      <c r="D43" t="s">
        <v>187</v>
      </c>
      <c r="E43" t="s">
        <v>253</v>
      </c>
      <c r="F43" t="s">
        <v>363</v>
      </c>
      <c r="G43" s="52" t="n">
        <v>1.19</v>
      </c>
      <c r="H43" s="53"/>
      <c r="I43" t="s">
        <v>254</v>
      </c>
      <c r="J43" s="54" t="n">
        <v>0.0615144568129612</v>
      </c>
      <c r="K43" s="55" t="n">
        <v>0.303</v>
      </c>
      <c r="L43" s="56" t="n">
        <v>0.286335</v>
      </c>
      <c r="M43" s="57" t="str">
        <f>1-(1+L43*(G43-1))/(1+K43*(G43-1))</f>
      </c>
      <c r="N43" t="s">
        <v>359</v>
      </c>
      <c r="O43" t="n">
        <v>1</v>
      </c>
      <c r="P43" t="s">
        <v>180</v>
      </c>
    </row>
    <row r="44">
      <c r="A44" t="s">
        <v>272</v>
      </c>
      <c r="B44" t="s">
        <v>267</v>
      </c>
      <c r="C44" t="s">
        <v>189</v>
      </c>
      <c r="D44" t="s">
        <v>190</v>
      </c>
      <c r="E44" t="s">
        <v>253</v>
      </c>
      <c r="F44" t="s">
        <v>363</v>
      </c>
      <c r="G44" s="52" t="n">
        <v>1.6</v>
      </c>
      <c r="H44" s="53"/>
      <c r="I44" t="s">
        <v>254</v>
      </c>
      <c r="J44" s="54" t="n">
        <v>0.0615144568129612</v>
      </c>
      <c r="K44" s="55" t="n">
        <v>0.303</v>
      </c>
      <c r="L44" s="56" t="n">
        <v>0.286335</v>
      </c>
      <c r="M44" s="57" t="str">
        <f>1-(1+L44*(G44-1))/(1+K44*(G44-1))</f>
      </c>
      <c r="N44" t="s">
        <v>359</v>
      </c>
      <c r="O44" t="n">
        <v>1</v>
      </c>
      <c r="P44" t="s">
        <v>180</v>
      </c>
    </row>
    <row r="45">
      <c r="A45" t="s">
        <v>273</v>
      </c>
      <c r="B45" t="s">
        <v>267</v>
      </c>
      <c r="C45" t="s">
        <v>192</v>
      </c>
      <c r="D45" t="s">
        <v>193</v>
      </c>
      <c r="E45" t="s">
        <v>253</v>
      </c>
      <c r="F45" t="s">
        <v>363</v>
      </c>
      <c r="G45" s="52" t="n">
        <v>1.38</v>
      </c>
      <c r="H45" s="53"/>
      <c r="I45" t="s">
        <v>254</v>
      </c>
      <c r="J45" s="54" t="n">
        <v>0.0615144568129612</v>
      </c>
      <c r="K45" s="55" t="n">
        <v>0.303</v>
      </c>
      <c r="L45" s="56" t="n">
        <v>0.286335</v>
      </c>
      <c r="M45" s="57" t="str">
        <f>1-(1+L45*(G45-1))/(1+K45*(G45-1))</f>
      </c>
      <c r="N45" t="s">
        <v>359</v>
      </c>
      <c r="O45" t="n">
        <v>1</v>
      </c>
      <c r="P45" t="s">
        <v>180</v>
      </c>
    </row>
    <row r="46">
      <c r="A46" t="s">
        <v>275</v>
      </c>
      <c r="B46" t="s">
        <v>274</v>
      </c>
      <c r="C46" t="s">
        <v>237</v>
      </c>
      <c r="D46" t="s">
        <v>238</v>
      </c>
      <c r="E46" t="s">
        <v>253</v>
      </c>
      <c r="F46" t="s">
        <v>363</v>
      </c>
      <c r="G46" s="52" t="n">
        <v>1.37</v>
      </c>
      <c r="H46" s="53"/>
      <c r="I46" t="s">
        <v>254</v>
      </c>
      <c r="J46" s="54" t="n">
        <v>0.0615144568129612</v>
      </c>
      <c r="K46" s="55" t="n">
        <v>0.303</v>
      </c>
      <c r="L46" s="56" t="n">
        <v>0.283305</v>
      </c>
      <c r="M46" s="57" t="str">
        <f>1-(1+L46*(G46-1))/(1+K46*(G46-1))</f>
      </c>
      <c r="N46" t="s">
        <v>359</v>
      </c>
      <c r="O46" t="n">
        <v>1</v>
      </c>
      <c r="P46" t="s">
        <v>180</v>
      </c>
    </row>
    <row r="47">
      <c r="A47" t="s">
        <v>278</v>
      </c>
      <c r="B47" t="s">
        <v>274</v>
      </c>
      <c r="C47" t="s">
        <v>186</v>
      </c>
      <c r="D47" t="s">
        <v>187</v>
      </c>
      <c r="E47" t="s">
        <v>253</v>
      </c>
      <c r="F47" t="s">
        <v>363</v>
      </c>
      <c r="G47" s="52" t="n">
        <v>1.19</v>
      </c>
      <c r="H47" s="53"/>
      <c r="I47" t="s">
        <v>254</v>
      </c>
      <c r="J47" s="54" t="n">
        <v>0.0615144568129612</v>
      </c>
      <c r="K47" s="55" t="n">
        <v>0.303</v>
      </c>
      <c r="L47" s="56" t="n">
        <v>0.283305</v>
      </c>
      <c r="M47" s="57" t="str">
        <f>1-(1+L47*(G47-1))/(1+K47*(G47-1))</f>
      </c>
      <c r="N47" t="s">
        <v>359</v>
      </c>
      <c r="O47" t="n">
        <v>1</v>
      </c>
      <c r="P47" t="s">
        <v>180</v>
      </c>
    </row>
    <row r="48">
      <c r="A48" t="s">
        <v>279</v>
      </c>
      <c r="B48" t="s">
        <v>274</v>
      </c>
      <c r="C48" t="s">
        <v>189</v>
      </c>
      <c r="D48" t="s">
        <v>190</v>
      </c>
      <c r="E48" t="s">
        <v>253</v>
      </c>
      <c r="F48" t="s">
        <v>363</v>
      </c>
      <c r="G48" s="52" t="n">
        <v>1.6</v>
      </c>
      <c r="H48" s="53"/>
      <c r="I48" t="s">
        <v>254</v>
      </c>
      <c r="J48" s="54" t="n">
        <v>0.0615144568129612</v>
      </c>
      <c r="K48" s="55" t="n">
        <v>0.303</v>
      </c>
      <c r="L48" s="56" t="n">
        <v>0.283305</v>
      </c>
      <c r="M48" s="57" t="str">
        <f>1-(1+L48*(G48-1))/(1+K48*(G48-1))</f>
      </c>
      <c r="N48" t="s">
        <v>359</v>
      </c>
      <c r="O48" t="n">
        <v>1</v>
      </c>
      <c r="P48" t="s">
        <v>180</v>
      </c>
    </row>
    <row r="49">
      <c r="A49" t="s">
        <v>280</v>
      </c>
      <c r="B49" t="s">
        <v>274</v>
      </c>
      <c r="C49" t="s">
        <v>192</v>
      </c>
      <c r="D49" t="s">
        <v>193</v>
      </c>
      <c r="E49" t="s">
        <v>253</v>
      </c>
      <c r="F49" t="s">
        <v>363</v>
      </c>
      <c r="G49" s="52" t="n">
        <v>1.38</v>
      </c>
      <c r="H49" s="53"/>
      <c r="I49" t="s">
        <v>254</v>
      </c>
      <c r="J49" s="54" t="n">
        <v>0.0615144568129612</v>
      </c>
      <c r="K49" s="55" t="n">
        <v>0.303</v>
      </c>
      <c r="L49" s="56" t="n">
        <v>0.283305</v>
      </c>
      <c r="M49" s="57" t="str">
        <f>1-(1+L49*(G49-1))/(1+K49*(G49-1))</f>
      </c>
      <c r="N49" t="s">
        <v>359</v>
      </c>
      <c r="O49" t="n">
        <v>1</v>
      </c>
      <c r="P49" t="s">
        <v>180</v>
      </c>
    </row>
  </sheetData>
  <autoFilter ref="A1:P1"/>
  <conditionalFormatting sqref="O2:O49">
    <cfRule type="expression" dxfId="1" priority="1">
      <formula>O2=0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6.71" hidden="0" customWidth="1"/>
    <col min="2" max="2" width="20.71" hidden="0" customWidth="1"/>
    <col min="3" max="3" width="15.71" hidden="0" customWidth="1"/>
    <col min="4" max="4" width="12.71" hidden="0" customWidth="1"/>
    <col min="5" max="5" width="17.71" hidden="0" customWidth="1"/>
    <col min="6" max="6" width="19.71" hidden="0" customWidth="1"/>
    <col min="7" max="7" width="15.71" hidden="0" customWidth="1"/>
    <col min="8" max="8" width="16.71" hidden="0" customWidth="1"/>
    <col min="9" max="9" width="28.71" hidden="0" customWidth="1"/>
    <col min="10" max="10" width="29.71" hidden="0" customWidth="1"/>
    <col min="11" max="11" width="20.71" hidden="0" customWidth="1"/>
    <col min="12" max="12" width="15.71" hidden="0" customWidth="1"/>
    <col min="13" max="13" width="23.71" hidden="0" customWidth="1"/>
    <col min="14" max="14" width="35.71" hidden="0" customWidth="1"/>
    <col min="15" max="15" width="19.71" hidden="0" customWidth="1"/>
    <col min="16" max="16" width="22.71" hidden="0" customWidth="1"/>
    <col min="17" max="17" width="12.71" hidden="0" customWidth="1"/>
    <col min="18" max="18" width="25.71" hidden="0" customWidth="1"/>
    <col min="19" max="19" width="16.71" hidden="0" customWidth="1"/>
    <col min="20" max="20" width="15.71" hidden="0" customWidth="1"/>
    <col min="21" max="21" width="12.71" hidden="0" customWidth="1"/>
    <col min="22" max="22" width="11.71" hidden="0" customWidth="1"/>
  </cols>
  <sheetData>
    <row r="1" ht="28" customHeight="1">
      <c r="A1" s="1" t="s">
        <v>364</v>
      </c>
      <c r="B1" s="1" t="s">
        <v>365</v>
      </c>
      <c r="C1" s="1" t="s">
        <v>164</v>
      </c>
      <c r="D1" s="1" t="s">
        <v>366</v>
      </c>
      <c r="E1" s="1" t="s">
        <v>147</v>
      </c>
      <c r="F1" s="1" t="s">
        <v>168</v>
      </c>
      <c r="G1" s="1" t="s">
        <v>367</v>
      </c>
      <c r="H1" s="1" t="s">
        <v>368</v>
      </c>
      <c r="I1" s="1" t="s">
        <v>369</v>
      </c>
      <c r="J1" s="1" t="s">
        <v>370</v>
      </c>
      <c r="K1" s="1" t="s">
        <v>371</v>
      </c>
      <c r="L1" s="1" t="s">
        <v>372</v>
      </c>
      <c r="M1" s="1" t="s">
        <v>373</v>
      </c>
      <c r="N1" s="1" t="s">
        <v>374</v>
      </c>
      <c r="O1" s="1" t="s">
        <v>375</v>
      </c>
      <c r="P1" s="1" t="s">
        <v>376</v>
      </c>
      <c r="Q1" s="1" t="s">
        <v>377</v>
      </c>
      <c r="R1" s="1" t="s">
        <v>378</v>
      </c>
      <c r="S1" s="1" t="s">
        <v>379</v>
      </c>
      <c r="T1" s="1" t="s">
        <v>165</v>
      </c>
      <c r="U1" s="1" t="s">
        <v>380</v>
      </c>
      <c r="V1" s="1" t="s">
        <v>381</v>
      </c>
    </row>
    <row r="2">
      <c r="A2" s="58" t="s">
        <v>382</v>
      </c>
      <c r="B2" s="59" t="s">
        <v>383</v>
      </c>
      <c r="C2" s="60" t="s">
        <v>179</v>
      </c>
      <c r="D2" s="61" t="s">
        <v>384</v>
      </c>
      <c r="E2" t="s">
        <v>171</v>
      </c>
      <c r="F2" t="s">
        <v>171</v>
      </c>
      <c r="G2" t="s">
        <v>181</v>
      </c>
      <c r="H2" s="71" t="s">
        <v>385</v>
      </c>
      <c r="I2" s="62" t="s">
        <v>386</v>
      </c>
      <c r="J2" s="63" t="n">
        <v>1</v>
      </c>
      <c r="K2" s="64" t="n">
        <v>1</v>
      </c>
      <c r="L2" s="65" t="n">
        <v>0.0056</v>
      </c>
      <c r="M2" s="66" t="n">
        <v>1</v>
      </c>
      <c r="N2" s="67" t="n">
        <v>0.0056</v>
      </c>
      <c r="O2" t="s">
        <v>387</v>
      </c>
      <c r="P2" s="68" t="str">
        <f>IFERROR(N2*M2,L2)</f>
      </c>
      <c r="Q2" s="69" t="n">
        <v>2017</v>
      </c>
      <c r="R2" t="n">
        <v>0</v>
      </c>
      <c r="S2" t="s">
        <v>388</v>
      </c>
      <c r="T2" t="s">
        <v>389</v>
      </c>
      <c r="U2" s="70" t="str">
        <f>IF(AND(L2&gt;=0,J2&lt;&gt;"",J2&gt;=0,J2&lt;=1,OR(I2="all",I2="prevalence",I2="incidence")),1,0)</f>
      </c>
      <c r="V2" s="21" t="s">
        <v>390</v>
      </c>
    </row>
    <row r="3">
      <c r="A3" s="58" t="s">
        <v>391</v>
      </c>
      <c r="B3" s="59" t="s">
        <v>392</v>
      </c>
      <c r="C3" s="60" t="s">
        <v>197</v>
      </c>
      <c r="D3" s="61" t="s">
        <v>384</v>
      </c>
      <c r="E3" t="s">
        <v>194</v>
      </c>
      <c r="F3" t="s">
        <v>194</v>
      </c>
      <c r="G3" t="s">
        <v>181</v>
      </c>
      <c r="H3" s="71" t="s">
        <v>385</v>
      </c>
      <c r="I3" s="62" t="s">
        <v>386</v>
      </c>
      <c r="J3" s="63" t="n">
        <v>1</v>
      </c>
      <c r="K3" s="64" t="n">
        <v>1</v>
      </c>
      <c r="L3" s="65" t="n">
        <v>0.004</v>
      </c>
      <c r="M3" s="66" t="n">
        <v>1</v>
      </c>
      <c r="N3" s="67" t="n">
        <v>0.004</v>
      </c>
      <c r="O3" t="s">
        <v>387</v>
      </c>
      <c r="P3" s="68" t="str">
        <f>IFERROR(N3*M3,L3)</f>
      </c>
      <c r="Q3" s="69" t="n">
        <v>2017</v>
      </c>
      <c r="R3" t="n">
        <v>0</v>
      </c>
      <c r="S3" t="s">
        <v>388</v>
      </c>
      <c r="T3" t="s">
        <v>389</v>
      </c>
      <c r="U3" s="70" t="str">
        <f>IF(AND(L3&gt;=0,J3&lt;&gt;"",J3&gt;=0,J3&lt;=1,OR(I3="all",I3="prevalence",I3="incidence")),1,0)</f>
      </c>
      <c r="V3" s="21" t="s">
        <v>390</v>
      </c>
    </row>
    <row r="4">
      <c r="A4" s="58" t="s">
        <v>393</v>
      </c>
      <c r="B4" s="59" t="s">
        <v>394</v>
      </c>
      <c r="C4" s="60" t="s">
        <v>206</v>
      </c>
      <c r="D4" s="61" t="s">
        <v>395</v>
      </c>
      <c r="E4" t="s">
        <v>202</v>
      </c>
      <c r="F4" t="s">
        <v>207</v>
      </c>
      <c r="G4" t="s">
        <v>208</v>
      </c>
      <c r="H4" s="71" t="s">
        <v>385</v>
      </c>
      <c r="I4" s="62" t="s">
        <v>386</v>
      </c>
      <c r="J4" s="63" t="n">
        <v>1</v>
      </c>
      <c r="K4" s="64" t="n">
        <v>1</v>
      </c>
      <c r="L4" s="65" t="n">
        <v>0.008775</v>
      </c>
      <c r="M4" s="66" t="n">
        <v>0.25</v>
      </c>
      <c r="N4" s="67" t="n">
        <v>0.0351</v>
      </c>
      <c r="O4" t="s">
        <v>396</v>
      </c>
      <c r="P4" s="68" t="str">
        <f>IFERROR(N4*M4,L4)</f>
      </c>
      <c r="Q4" s="69" t="n">
        <v>2017</v>
      </c>
      <c r="R4" t="n">
        <v>0</v>
      </c>
      <c r="S4" t="s">
        <v>388</v>
      </c>
      <c r="T4" t="s">
        <v>389</v>
      </c>
      <c r="U4" s="70" t="str">
        <f>IF(AND(L4&gt;=0,J4&lt;&gt;"",J4&gt;=0,J4&lt;=1,OR(I4="all",I4="prevalence",I4="incidence")),1,0)</f>
      </c>
      <c r="V4" s="21" t="s">
        <v>390</v>
      </c>
    </row>
    <row r="5">
      <c r="A5" s="58" t="s">
        <v>397</v>
      </c>
      <c r="B5" s="59" t="s">
        <v>398</v>
      </c>
      <c r="C5" s="60" t="s">
        <v>215</v>
      </c>
      <c r="D5" s="61" t="s">
        <v>395</v>
      </c>
      <c r="E5" t="s">
        <v>212</v>
      </c>
      <c r="F5" t="s">
        <v>207</v>
      </c>
      <c r="G5" t="s">
        <v>208</v>
      </c>
      <c r="H5" s="71" t="s">
        <v>385</v>
      </c>
      <c r="I5" s="62" t="s">
        <v>386</v>
      </c>
      <c r="J5" s="63" t="n">
        <v>1</v>
      </c>
      <c r="K5" s="64" t="n">
        <v>1</v>
      </c>
      <c r="L5" s="65" t="n">
        <v>0.008775</v>
      </c>
      <c r="M5" s="66" t="n">
        <v>0.25</v>
      </c>
      <c r="N5" s="67" t="n">
        <v>0.0351</v>
      </c>
      <c r="O5" t="s">
        <v>396</v>
      </c>
      <c r="P5" s="68" t="str">
        <f>IFERROR(N5*M5,L5)</f>
      </c>
      <c r="Q5" s="69" t="n">
        <v>2017</v>
      </c>
      <c r="R5" t="n">
        <v>0</v>
      </c>
      <c r="S5" t="s">
        <v>388</v>
      </c>
      <c r="T5" t="s">
        <v>389</v>
      </c>
      <c r="U5" s="70" t="str">
        <f>IF(AND(L5&gt;=0,J5&lt;&gt;"",J5&gt;=0,J5&lt;=1,OR(I5="all",I5="prevalence",I5="incidence")),1,0)</f>
      </c>
      <c r="V5" s="21" t="s">
        <v>390</v>
      </c>
    </row>
    <row r="6">
      <c r="A6" s="58" t="s">
        <v>399</v>
      </c>
      <c r="B6" s="59" t="s">
        <v>400</v>
      </c>
      <c r="C6" s="60" t="s">
        <v>222</v>
      </c>
      <c r="D6" s="61" t="s">
        <v>395</v>
      </c>
      <c r="E6" t="s">
        <v>219</v>
      </c>
      <c r="F6" t="s">
        <v>207</v>
      </c>
      <c r="G6" t="s">
        <v>208</v>
      </c>
      <c r="H6" s="71" t="s">
        <v>385</v>
      </c>
      <c r="I6" s="62" t="s">
        <v>386</v>
      </c>
      <c r="J6" s="63" t="n">
        <v>1</v>
      </c>
      <c r="K6" s="64" t="n">
        <v>1</v>
      </c>
      <c r="L6" s="65" t="n">
        <v>0.008775</v>
      </c>
      <c r="M6" s="66" t="n">
        <v>0.25</v>
      </c>
      <c r="N6" s="67" t="n">
        <v>0.0351</v>
      </c>
      <c r="O6" t="s">
        <v>396</v>
      </c>
      <c r="P6" s="68" t="str">
        <f>IFERROR(N6*M6,L6)</f>
      </c>
      <c r="Q6" s="69" t="n">
        <v>2017</v>
      </c>
      <c r="R6" t="n">
        <v>0</v>
      </c>
      <c r="S6" t="s">
        <v>388</v>
      </c>
      <c r="T6" t="s">
        <v>389</v>
      </c>
      <c r="U6" s="70" t="str">
        <f>IF(AND(L6&gt;=0,J6&lt;&gt;"",J6&gt;=0,J6&lt;=1,OR(I6="all",I6="prevalence",I6="incidence")),1,0)</f>
      </c>
      <c r="V6" s="21" t="s">
        <v>390</v>
      </c>
    </row>
    <row r="7">
      <c r="A7" s="58" t="s">
        <v>401</v>
      </c>
      <c r="B7" s="59" t="s">
        <v>402</v>
      </c>
      <c r="C7" s="60" t="s">
        <v>229</v>
      </c>
      <c r="D7" s="61" t="s">
        <v>395</v>
      </c>
      <c r="E7" t="s">
        <v>226</v>
      </c>
      <c r="F7" t="s">
        <v>207</v>
      </c>
      <c r="G7" t="s">
        <v>208</v>
      </c>
      <c r="H7" s="71" t="s">
        <v>385</v>
      </c>
      <c r="I7" s="62" t="s">
        <v>386</v>
      </c>
      <c r="J7" s="63" t="n">
        <v>1</v>
      </c>
      <c r="K7" s="64" t="n">
        <v>1</v>
      </c>
      <c r="L7" s="65" t="n">
        <v>0.008775</v>
      </c>
      <c r="M7" s="66" t="n">
        <v>0.25</v>
      </c>
      <c r="N7" s="67" t="n">
        <v>0.0351</v>
      </c>
      <c r="O7" t="s">
        <v>396</v>
      </c>
      <c r="P7" s="68" t="str">
        <f>IFERROR(N7*M7,L7)</f>
      </c>
      <c r="Q7" s="69" t="n">
        <v>2017</v>
      </c>
      <c r="R7" t="n">
        <v>0</v>
      </c>
      <c r="S7" t="s">
        <v>388</v>
      </c>
      <c r="T7" t="s">
        <v>389</v>
      </c>
      <c r="U7" s="70" t="str">
        <f>IF(AND(L7&gt;=0,J7&lt;&gt;"",J7&gt;=0,J7&lt;=1,OR(I7="all",I7="prevalence",I7="incidence")),1,0)</f>
      </c>
      <c r="V7" s="21" t="s">
        <v>390</v>
      </c>
    </row>
    <row r="8">
      <c r="A8" s="58" t="s">
        <v>403</v>
      </c>
      <c r="B8" s="59" t="s">
        <v>404</v>
      </c>
      <c r="C8" s="60" t="s">
        <v>239</v>
      </c>
      <c r="D8" s="61" t="s">
        <v>384</v>
      </c>
      <c r="E8" t="s">
        <v>233</v>
      </c>
      <c r="F8" t="s">
        <v>233</v>
      </c>
      <c r="G8" t="s">
        <v>181</v>
      </c>
      <c r="H8" s="71" t="s">
        <v>385</v>
      </c>
      <c r="I8" s="62" t="s">
        <v>386</v>
      </c>
      <c r="J8" s="63" t="n">
        <v>1</v>
      </c>
      <c r="K8" s="64" t="n">
        <v>1</v>
      </c>
      <c r="L8" s="65" t="n">
        <v>0.004</v>
      </c>
      <c r="M8" s="66" t="n">
        <v>1</v>
      </c>
      <c r="N8" s="67" t="n">
        <v>0.004</v>
      </c>
      <c r="O8" t="s">
        <v>387</v>
      </c>
      <c r="P8" s="68" t="str">
        <f>IFERROR(N8*M8,L8)</f>
      </c>
      <c r="Q8" s="69" t="n">
        <v>2017</v>
      </c>
      <c r="R8" t="n">
        <v>0</v>
      </c>
      <c r="S8" t="s">
        <v>388</v>
      </c>
      <c r="T8" t="s">
        <v>389</v>
      </c>
      <c r="U8" s="70" t="str">
        <f>IF(AND(L8&gt;=0,J8&lt;&gt;"",J8&gt;=0,J8&lt;=1,OR(I8="all",I8="prevalence",I8="incidence")),1,0)</f>
      </c>
      <c r="V8" s="21" t="s">
        <v>390</v>
      </c>
    </row>
    <row r="9">
      <c r="A9" s="58" t="s">
        <v>405</v>
      </c>
      <c r="B9" s="59" t="s">
        <v>406</v>
      </c>
      <c r="C9" s="60" t="s">
        <v>248</v>
      </c>
      <c r="D9" s="61" t="s">
        <v>384</v>
      </c>
      <c r="E9" t="s">
        <v>244</v>
      </c>
      <c r="F9" t="s">
        <v>244</v>
      </c>
      <c r="G9" t="s">
        <v>181</v>
      </c>
      <c r="H9" s="71" t="s">
        <v>385</v>
      </c>
      <c r="I9" s="62" t="s">
        <v>386</v>
      </c>
      <c r="J9" s="63" t="n">
        <v>1</v>
      </c>
      <c r="K9" s="64" t="n">
        <v>1</v>
      </c>
      <c r="L9" s="65" t="n">
        <v>0.0087</v>
      </c>
      <c r="M9" s="66" t="n">
        <v>1</v>
      </c>
      <c r="N9" s="67" t="n">
        <v>0.0087</v>
      </c>
      <c r="O9" t="s">
        <v>387</v>
      </c>
      <c r="P9" s="68" t="str">
        <f>IFERROR(N9*M9,L9)</f>
      </c>
      <c r="Q9" s="69" t="n">
        <v>2017</v>
      </c>
      <c r="R9" t="n">
        <v>0</v>
      </c>
      <c r="S9" t="s">
        <v>388</v>
      </c>
      <c r="T9" t="s">
        <v>389</v>
      </c>
      <c r="U9" s="70" t="str">
        <f>IF(AND(L9&gt;=0,J9&lt;&gt;"",J9&gt;=0,J9&lt;=1,OR(I9="all",I9="prevalence",I9="incidence")),1,0)</f>
      </c>
      <c r="V9" s="21" t="s">
        <v>390</v>
      </c>
    </row>
    <row r="10">
      <c r="A10" s="58" t="s">
        <v>407</v>
      </c>
      <c r="B10" s="59" t="s">
        <v>408</v>
      </c>
      <c r="C10" s="60" t="s">
        <v>255</v>
      </c>
      <c r="D10" s="61" t="s">
        <v>384</v>
      </c>
      <c r="E10" t="s">
        <v>249</v>
      </c>
      <c r="F10" t="s">
        <v>249</v>
      </c>
      <c r="G10" t="s">
        <v>181</v>
      </c>
      <c r="H10" s="71" t="s">
        <v>385</v>
      </c>
      <c r="I10" s="62" t="s">
        <v>386</v>
      </c>
      <c r="J10" s="63" t="n">
        <v>1</v>
      </c>
      <c r="K10" s="64" t="n">
        <v>1</v>
      </c>
      <c r="L10" s="65" t="n">
        <v>0.004</v>
      </c>
      <c r="M10" s="66" t="n">
        <v>1</v>
      </c>
      <c r="N10" s="67" t="n">
        <v>0.004</v>
      </c>
      <c r="O10" t="s">
        <v>387</v>
      </c>
      <c r="P10" s="68" t="str">
        <f>IFERROR(N10*M10,L10)</f>
      </c>
      <c r="Q10" s="69" t="n">
        <v>2017</v>
      </c>
      <c r="R10" t="n">
        <v>0</v>
      </c>
      <c r="S10" t="s">
        <v>388</v>
      </c>
      <c r="T10" t="s">
        <v>389</v>
      </c>
      <c r="U10" s="70" t="str">
        <f>IF(AND(L10&gt;=0,J10&lt;&gt;"",J10&gt;=0,J10&lt;=1,OR(I10="all",I10="prevalence",I10="incidence")),1,0)</f>
      </c>
      <c r="V10" s="21" t="s">
        <v>390</v>
      </c>
    </row>
    <row r="11">
      <c r="A11" s="58" t="s">
        <v>409</v>
      </c>
      <c r="B11" s="59" t="s">
        <v>410</v>
      </c>
      <c r="C11" s="60" t="s">
        <v>262</v>
      </c>
      <c r="D11" s="61" t="s">
        <v>395</v>
      </c>
      <c r="E11" t="s">
        <v>259</v>
      </c>
      <c r="F11" t="s">
        <v>263</v>
      </c>
      <c r="G11" t="s">
        <v>208</v>
      </c>
      <c r="H11" s="71" t="s">
        <v>385</v>
      </c>
      <c r="I11" s="62" t="s">
        <v>386</v>
      </c>
      <c r="J11" s="63" t="n">
        <v>1</v>
      </c>
      <c r="K11" s="64" t="n">
        <v>1</v>
      </c>
      <c r="L11" s="65" t="n">
        <v>0.0077</v>
      </c>
      <c r="M11" s="66" t="n">
        <v>0.333333333333333</v>
      </c>
      <c r="N11" s="67" t="n">
        <v>0.0231</v>
      </c>
      <c r="O11" t="s">
        <v>396</v>
      </c>
      <c r="P11" s="68" t="str">
        <f>IFERROR(N11*M11,L11)</f>
      </c>
      <c r="Q11" s="69" t="n">
        <v>2017</v>
      </c>
      <c r="R11" t="n">
        <v>0</v>
      </c>
      <c r="S11" t="s">
        <v>388</v>
      </c>
      <c r="T11" t="s">
        <v>389</v>
      </c>
      <c r="U11" s="70" t="str">
        <f>IF(AND(L11&gt;=0,J11&lt;&gt;"",J11&gt;=0,J11&lt;=1,OR(I11="all",I11="prevalence",I11="incidence")),1,0)</f>
      </c>
      <c r="V11" s="21" t="s">
        <v>390</v>
      </c>
    </row>
    <row r="12">
      <c r="A12" s="58" t="s">
        <v>411</v>
      </c>
      <c r="B12" s="59" t="s">
        <v>412</v>
      </c>
      <c r="C12" s="60" t="s">
        <v>270</v>
      </c>
      <c r="D12" s="61" t="s">
        <v>395</v>
      </c>
      <c r="E12" t="s">
        <v>267</v>
      </c>
      <c r="F12" t="s">
        <v>263</v>
      </c>
      <c r="G12" t="s">
        <v>208</v>
      </c>
      <c r="H12" s="71" t="s">
        <v>385</v>
      </c>
      <c r="I12" s="62" t="s">
        <v>386</v>
      </c>
      <c r="J12" s="63" t="n">
        <v>1</v>
      </c>
      <c r="K12" s="64" t="n">
        <v>1</v>
      </c>
      <c r="L12" s="65" t="n">
        <v>0.0077</v>
      </c>
      <c r="M12" s="66" t="n">
        <v>0.333333333333333</v>
      </c>
      <c r="N12" s="67" t="n">
        <v>0.0231</v>
      </c>
      <c r="O12" t="s">
        <v>396</v>
      </c>
      <c r="P12" s="68" t="str">
        <f>IFERROR(N12*M12,L12)</f>
      </c>
      <c r="Q12" s="69" t="n">
        <v>2017</v>
      </c>
      <c r="R12" t="n">
        <v>0</v>
      </c>
      <c r="S12" t="s">
        <v>388</v>
      </c>
      <c r="T12" t="s">
        <v>389</v>
      </c>
      <c r="U12" s="70" t="str">
        <f>IF(AND(L12&gt;=0,J12&lt;&gt;"",J12&gt;=0,J12&lt;=1,OR(I12="all",I12="prevalence",I12="incidence")),1,0)</f>
      </c>
      <c r="V12" s="21" t="s">
        <v>390</v>
      </c>
    </row>
    <row r="13">
      <c r="A13" s="58" t="s">
        <v>413</v>
      </c>
      <c r="B13" s="59" t="s">
        <v>414</v>
      </c>
      <c r="C13" s="60" t="s">
        <v>277</v>
      </c>
      <c r="D13" s="61" t="s">
        <v>395</v>
      </c>
      <c r="E13" t="s">
        <v>274</v>
      </c>
      <c r="F13" t="s">
        <v>263</v>
      </c>
      <c r="G13" t="s">
        <v>208</v>
      </c>
      <c r="H13" s="71" t="s">
        <v>385</v>
      </c>
      <c r="I13" s="62" t="s">
        <v>386</v>
      </c>
      <c r="J13" s="63" t="n">
        <v>1</v>
      </c>
      <c r="K13" s="64" t="n">
        <v>1</v>
      </c>
      <c r="L13" s="65" t="n">
        <v>0.0077</v>
      </c>
      <c r="M13" s="66" t="n">
        <v>0.333333333333333</v>
      </c>
      <c r="N13" s="67" t="n">
        <v>0.0231</v>
      </c>
      <c r="O13" t="s">
        <v>396</v>
      </c>
      <c r="P13" s="68" t="str">
        <f>IFERROR(N13*M13,L13)</f>
      </c>
      <c r="Q13" s="69" t="n">
        <v>2017</v>
      </c>
      <c r="R13" t="n">
        <v>0</v>
      </c>
      <c r="S13" t="s">
        <v>388</v>
      </c>
      <c r="T13" t="s">
        <v>389</v>
      </c>
      <c r="U13" s="70" t="str">
        <f>IF(AND(L13&gt;=0,J13&lt;&gt;"",J13&gt;=0,J13&lt;=1,OR(I13="all",I13="prevalence",I13="incidence")),1,0)</f>
      </c>
      <c r="V13" s="21" t="s">
        <v>390</v>
      </c>
    </row>
  </sheetData>
  <autoFilter ref="A1:V1"/>
  <conditionalFormatting sqref="R2:R13">
    <cfRule type="expression" dxfId="1" priority="1">
      <formula>R2=0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11.71" hidden="0" customWidth="1"/>
    <col min="4" max="4" width="11.71" hidden="0" customWidth="1"/>
    <col min="5" max="5" width="11.71" hidden="0" customWidth="1"/>
    <col min="6" max="6" width="14.71" hidden="0" customWidth="1"/>
    <col min="7" max="7" width="12.71" hidden="0" customWidth="1"/>
    <col min="8" max="8" width="13.71" hidden="0" customWidth="1"/>
    <col min="9" max="9" width="16.71" hidden="0" customWidth="1"/>
    <col min="10" max="10" width="15.71" hidden="0" customWidth="1"/>
  </cols>
  <sheetData>
    <row r="1" ht="28" customHeight="1">
      <c r="A1" s="1" t="s">
        <v>415</v>
      </c>
      <c r="B1" s="1" t="s">
        <v>416</v>
      </c>
      <c r="C1" s="1" t="s">
        <v>28</v>
      </c>
      <c r="D1" s="1" t="s">
        <v>417</v>
      </c>
      <c r="E1" s="1" t="s">
        <v>418</v>
      </c>
      <c r="F1" s="1" t="s">
        <v>419</v>
      </c>
      <c r="G1" s="1" t="s">
        <v>420</v>
      </c>
      <c r="H1" s="1" t="s">
        <v>421</v>
      </c>
      <c r="I1" s="1" t="s">
        <v>422</v>
      </c>
      <c r="J1" s="1" t="s">
        <v>423</v>
      </c>
    </row>
    <row r="2">
      <c r="A2" t="s">
        <v>171</v>
      </c>
      <c r="B2" t="s">
        <v>173</v>
      </c>
      <c r="C2" s="72" t="n">
        <v>2025</v>
      </c>
      <c r="D2" t="s">
        <v>176</v>
      </c>
      <c r="E2" s="73" t="n">
        <v>12347.3896757033</v>
      </c>
      <c r="F2" s="74" t="n">
        <v>8975.30849722876</v>
      </c>
      <c r="G2" s="75" t="n">
        <v>12347.3896757033</v>
      </c>
      <c r="H2" s="76" t="n">
        <v>8975.30849722876</v>
      </c>
      <c r="I2" s="77" t="str">
        <f>H2-F2</f>
      </c>
      <c r="J2" s="78" t="str">
        <f>G2-E2</f>
      </c>
    </row>
    <row r="3">
      <c r="A3" t="s">
        <v>171</v>
      </c>
      <c r="B3" t="s">
        <v>173</v>
      </c>
      <c r="C3" s="72" t="n">
        <v>2025</v>
      </c>
      <c r="D3" t="s">
        <v>238</v>
      </c>
      <c r="E3" s="73" t="n">
        <v>1026043.97207164</v>
      </c>
      <c r="F3" s="74" t="n">
        <v>129403.022830672</v>
      </c>
      <c r="G3" s="75" t="n">
        <v>1026043.97207164</v>
      </c>
      <c r="H3" s="76" t="n">
        <v>129403.022830672</v>
      </c>
      <c r="I3" s="77" t="str">
        <f>H3-F3</f>
      </c>
      <c r="J3" s="78" t="str">
        <f>G3-E3</f>
      </c>
    </row>
    <row r="4">
      <c r="A4" t="s">
        <v>171</v>
      </c>
      <c r="B4" t="s">
        <v>173</v>
      </c>
      <c r="C4" s="72" t="n">
        <v>2025</v>
      </c>
      <c r="D4" t="s">
        <v>184</v>
      </c>
      <c r="E4" s="73" t="n">
        <v>91684.5090142746</v>
      </c>
      <c r="F4" s="74" t="n">
        <v>63318.7518252021</v>
      </c>
      <c r="G4" s="75" t="n">
        <v>91684.5090142746</v>
      </c>
      <c r="H4" s="76" t="n">
        <v>63318.7518252021</v>
      </c>
      <c r="I4" s="77" t="str">
        <f>H4-F4</f>
      </c>
      <c r="J4" s="78" t="str">
        <f>G4-E4</f>
      </c>
    </row>
    <row r="5">
      <c r="A5" t="s">
        <v>171</v>
      </c>
      <c r="B5" t="s">
        <v>173</v>
      </c>
      <c r="C5" s="72" t="n">
        <v>2025</v>
      </c>
      <c r="D5" t="s">
        <v>187</v>
      </c>
      <c r="E5" s="73" t="n">
        <v>327817.992111529</v>
      </c>
      <c r="F5" s="74" t="n">
        <v>300216.82861998</v>
      </c>
      <c r="G5" s="75" t="n">
        <v>327817.992111529</v>
      </c>
      <c r="H5" s="76" t="n">
        <v>300216.82861998</v>
      </c>
      <c r="I5" s="77" t="str">
        <f>H5-F5</f>
      </c>
      <c r="J5" s="78" t="str">
        <f>G5-E5</f>
      </c>
    </row>
    <row r="6">
      <c r="A6" t="s">
        <v>171</v>
      </c>
      <c r="B6" t="s">
        <v>173</v>
      </c>
      <c r="C6" s="72" t="n">
        <v>2025</v>
      </c>
      <c r="D6" t="s">
        <v>190</v>
      </c>
      <c r="E6" s="73" t="n">
        <v>563964.128928848</v>
      </c>
      <c r="F6" s="74" t="n">
        <v>321188.162987932</v>
      </c>
      <c r="G6" s="75" t="n">
        <v>563964.128928848</v>
      </c>
      <c r="H6" s="76" t="n">
        <v>321188.162987932</v>
      </c>
      <c r="I6" s="77" t="str">
        <f>H6-F6</f>
      </c>
      <c r="J6" s="78" t="str">
        <f>G6-E6</f>
      </c>
    </row>
    <row r="7">
      <c r="A7" t="s">
        <v>171</v>
      </c>
      <c r="B7" t="s">
        <v>173</v>
      </c>
      <c r="C7" s="72" t="n">
        <v>2025</v>
      </c>
      <c r="D7" t="s">
        <v>193</v>
      </c>
      <c r="E7" s="73" t="n">
        <v>396205.912797568</v>
      </c>
      <c r="F7" s="74" t="n">
        <v>191954.713579597</v>
      </c>
      <c r="G7" s="75" t="n">
        <v>396205.912797568</v>
      </c>
      <c r="H7" s="76" t="n">
        <v>191954.713579597</v>
      </c>
      <c r="I7" s="77" t="str">
        <f>H7-F7</f>
      </c>
      <c r="J7" s="78" t="str">
        <f>G7-E7</f>
      </c>
    </row>
    <row r="8">
      <c r="A8" t="s">
        <v>171</v>
      </c>
      <c r="B8" t="s">
        <v>173</v>
      </c>
      <c r="C8" s="72" t="n">
        <v>2025</v>
      </c>
      <c r="D8" t="s">
        <v>424</v>
      </c>
      <c r="E8" s="73" t="n">
        <v>44024.8557845561</v>
      </c>
      <c r="F8" s="74" t="n">
        <v>6961.02866951274</v>
      </c>
      <c r="G8" s="75" t="n">
        <v>44024.8557845561</v>
      </c>
      <c r="H8" s="76" t="n">
        <v>6961.02866951274</v>
      </c>
      <c r="I8" s="77" t="str">
        <f>H8-F8</f>
      </c>
      <c r="J8" s="78" t="str">
        <f>G8-E8</f>
      </c>
    </row>
    <row r="9">
      <c r="A9" t="s">
        <v>171</v>
      </c>
      <c r="B9" t="s">
        <v>173</v>
      </c>
      <c r="C9" s="72" t="n">
        <v>2026</v>
      </c>
      <c r="D9" t="s">
        <v>176</v>
      </c>
      <c r="E9" s="73" t="n">
        <v>12812.0835679281</v>
      </c>
      <c r="F9" s="74" t="n">
        <v>9308.26420910955</v>
      </c>
      <c r="G9" s="75" t="n">
        <v>12812.507871628</v>
      </c>
      <c r="H9" s="76" t="n">
        <v>9308.26420910955</v>
      </c>
      <c r="I9" s="77" t="str">
        <f>H9-F9</f>
      </c>
      <c r="J9" s="78" t="str">
        <f>G9-E9</f>
      </c>
    </row>
    <row r="10">
      <c r="A10" t="s">
        <v>171</v>
      </c>
      <c r="B10" t="s">
        <v>173</v>
      </c>
      <c r="C10" s="72" t="n">
        <v>2026</v>
      </c>
      <c r="D10" t="s">
        <v>238</v>
      </c>
      <c r="E10" s="73" t="n">
        <v>1040956.74283153</v>
      </c>
      <c r="F10" s="74" t="n">
        <v>137191.896136923</v>
      </c>
      <c r="G10" s="75" t="n">
        <v>1040956.74283153</v>
      </c>
      <c r="H10" s="76" t="n">
        <v>137191.896136923</v>
      </c>
      <c r="I10" s="77" t="str">
        <f>H10-F10</f>
      </c>
      <c r="J10" s="78" t="str">
        <f>G10-E10</f>
      </c>
    </row>
    <row r="11">
      <c r="A11" t="s">
        <v>171</v>
      </c>
      <c r="B11" t="s">
        <v>173</v>
      </c>
      <c r="C11" s="72" t="n">
        <v>2026</v>
      </c>
      <c r="D11" t="s">
        <v>184</v>
      </c>
      <c r="E11" s="73" t="n">
        <v>95068.8559350494</v>
      </c>
      <c r="F11" s="74" t="n">
        <v>65164.4704134017</v>
      </c>
      <c r="G11" s="75" t="n">
        <v>95077.1833035265</v>
      </c>
      <c r="H11" s="76" t="n">
        <v>65164.4704134017</v>
      </c>
      <c r="I11" s="77" t="str">
        <f>H11-F11</f>
      </c>
      <c r="J11" s="78" t="str">
        <f>G11-E11</f>
      </c>
    </row>
    <row r="12">
      <c r="A12" t="s">
        <v>171</v>
      </c>
      <c r="B12" t="s">
        <v>173</v>
      </c>
      <c r="C12" s="72" t="n">
        <v>2026</v>
      </c>
      <c r="D12" t="s">
        <v>187</v>
      </c>
      <c r="E12" s="73" t="n">
        <v>336857.715210295</v>
      </c>
      <c r="F12" s="74" t="n">
        <v>308606.943045308</v>
      </c>
      <c r="G12" s="75" t="n">
        <v>336875.423495605</v>
      </c>
      <c r="H12" s="76" t="n">
        <v>308606.943045308</v>
      </c>
      <c r="I12" s="77" t="str">
        <f>H12-F12</f>
      </c>
      <c r="J12" s="78" t="str">
        <f>G12-E12</f>
      </c>
    </row>
    <row r="13">
      <c r="A13" t="s">
        <v>171</v>
      </c>
      <c r="B13" t="s">
        <v>173</v>
      </c>
      <c r="C13" s="72" t="n">
        <v>2026</v>
      </c>
      <c r="D13" t="s">
        <v>190</v>
      </c>
      <c r="E13" s="73" t="n">
        <v>580097.942420946</v>
      </c>
      <c r="F13" s="74" t="n">
        <v>332896.185768311</v>
      </c>
      <c r="G13" s="75" t="n">
        <v>580111.541957649</v>
      </c>
      <c r="H13" s="76" t="n">
        <v>332896.185768311</v>
      </c>
      <c r="I13" s="77" t="str">
        <f>H13-F13</f>
      </c>
      <c r="J13" s="78" t="str">
        <f>G13-E13</f>
      </c>
    </row>
    <row r="14">
      <c r="A14" t="s">
        <v>171</v>
      </c>
      <c r="B14" t="s">
        <v>173</v>
      </c>
      <c r="C14" s="72" t="n">
        <v>2026</v>
      </c>
      <c r="D14" t="s">
        <v>193</v>
      </c>
      <c r="E14" s="73" t="n">
        <v>409808.347310331</v>
      </c>
      <c r="F14" s="74" t="n">
        <v>202008.199783237</v>
      </c>
      <c r="G14" s="75" t="n">
        <v>409829.87281699</v>
      </c>
      <c r="H14" s="76" t="n">
        <v>202008.199783237</v>
      </c>
      <c r="I14" s="77" t="str">
        <f>H14-F14</f>
      </c>
      <c r="J14" s="78" t="str">
        <f>G14-E14</f>
      </c>
    </row>
    <row r="15">
      <c r="A15" t="s">
        <v>171</v>
      </c>
      <c r="B15" t="s">
        <v>173</v>
      </c>
      <c r="C15" s="72" t="n">
        <v>2026</v>
      </c>
      <c r="D15" t="s">
        <v>424</v>
      </c>
      <c r="E15" s="73" t="n">
        <v>44219.1707517653</v>
      </c>
      <c r="F15" s="74" t="n">
        <v>7023.77126872287</v>
      </c>
      <c r="G15" s="75" t="n">
        <v>44219.1707517653</v>
      </c>
      <c r="H15" s="76" t="n">
        <v>7023.77126872287</v>
      </c>
      <c r="I15" s="77" t="str">
        <f>H15-F15</f>
      </c>
      <c r="J15" s="78" t="str">
        <f>G15-E15</f>
      </c>
    </row>
    <row r="16">
      <c r="A16" t="s">
        <v>171</v>
      </c>
      <c r="B16" t="s">
        <v>173</v>
      </c>
      <c r="C16" s="72" t="n">
        <v>2027</v>
      </c>
      <c r="D16" t="s">
        <v>176</v>
      </c>
      <c r="E16" s="73" t="n">
        <v>13272.6007039166</v>
      </c>
      <c r="F16" s="74" t="n">
        <v>9640.64548994248</v>
      </c>
      <c r="G16" s="75" t="n">
        <v>13273.481772584</v>
      </c>
      <c r="H16" s="76" t="n">
        <v>9640.71530777017</v>
      </c>
      <c r="I16" s="77" t="str">
        <f>H16-F16</f>
      </c>
      <c r="J16" s="78" t="str">
        <f>G16-E16</f>
      </c>
    </row>
    <row r="17">
      <c r="A17" t="s">
        <v>171</v>
      </c>
      <c r="B17" t="s">
        <v>173</v>
      </c>
      <c r="C17" s="72" t="n">
        <v>2027</v>
      </c>
      <c r="D17" t="s">
        <v>238</v>
      </c>
      <c r="E17" s="73" t="n">
        <v>1055255.40879996</v>
      </c>
      <c r="F17" s="74" t="n">
        <v>145087.130776418</v>
      </c>
      <c r="G17" s="75" t="n">
        <v>1055255.40879996</v>
      </c>
      <c r="H17" s="76" t="n">
        <v>145087.130776418</v>
      </c>
      <c r="I17" s="77" t="str">
        <f>H17-F17</f>
      </c>
      <c r="J17" s="78" t="str">
        <f>G17-E17</f>
      </c>
    </row>
    <row r="18">
      <c r="A18" t="s">
        <v>171</v>
      </c>
      <c r="B18" t="s">
        <v>173</v>
      </c>
      <c r="C18" s="72" t="n">
        <v>2027</v>
      </c>
      <c r="D18" t="s">
        <v>184</v>
      </c>
      <c r="E18" s="73" t="n">
        <v>98431.5974545195</v>
      </c>
      <c r="F18" s="74" t="n">
        <v>67066.6043387289</v>
      </c>
      <c r="G18" s="75" t="n">
        <v>98448.8278839669</v>
      </c>
      <c r="H18" s="76" t="n">
        <v>67068.0169086102</v>
      </c>
      <c r="I18" s="77" t="str">
        <f>H18-F18</f>
      </c>
      <c r="J18" s="78" t="str">
        <f>G18-E18</f>
      </c>
    </row>
    <row r="19">
      <c r="A19" t="s">
        <v>171</v>
      </c>
      <c r="B19" t="s">
        <v>173</v>
      </c>
      <c r="C19" s="72" t="n">
        <v>2027</v>
      </c>
      <c r="D19" t="s">
        <v>187</v>
      </c>
      <c r="E19" s="73" t="n">
        <v>345900.389751571</v>
      </c>
      <c r="F19" s="74" t="n">
        <v>317111.752410309</v>
      </c>
      <c r="G19" s="75" t="n">
        <v>345936.706716403</v>
      </c>
      <c r="H19" s="76" t="n">
        <v>317119.553552555</v>
      </c>
      <c r="I19" s="77" t="str">
        <f>H19-F19</f>
      </c>
      <c r="J19" s="78" t="str">
        <f>G19-E19</f>
      </c>
    </row>
    <row r="20">
      <c r="A20" t="s">
        <v>171</v>
      </c>
      <c r="B20" t="s">
        <v>173</v>
      </c>
      <c r="C20" s="72" t="n">
        <v>2027</v>
      </c>
      <c r="D20" t="s">
        <v>190</v>
      </c>
      <c r="E20" s="73" t="n">
        <v>596120.974777363</v>
      </c>
      <c r="F20" s="74" t="n">
        <v>344516.396675057</v>
      </c>
      <c r="G20" s="75" t="n">
        <v>596148.832334676</v>
      </c>
      <c r="H20" s="76" t="n">
        <v>344517.274659827</v>
      </c>
      <c r="I20" s="77" t="str">
        <f>H20-F20</f>
      </c>
      <c r="J20" s="78" t="str">
        <f>G20-E20</f>
      </c>
    </row>
    <row r="21">
      <c r="A21" t="s">
        <v>171</v>
      </c>
      <c r="B21" t="s">
        <v>173</v>
      </c>
      <c r="C21" s="72" t="n">
        <v>2027</v>
      </c>
      <c r="D21" t="s">
        <v>193</v>
      </c>
      <c r="E21" s="73" t="n">
        <v>423440.766228762</v>
      </c>
      <c r="F21" s="74" t="n">
        <v>211993.827357961</v>
      </c>
      <c r="G21" s="75" t="n">
        <v>423485.101321999</v>
      </c>
      <c r="H21" s="76" t="n">
        <v>211995.488024171</v>
      </c>
      <c r="I21" s="77" t="str">
        <f>H21-F21</f>
      </c>
      <c r="J21" s="78" t="str">
        <f>G21-E21</f>
      </c>
    </row>
    <row r="22">
      <c r="A22" t="s">
        <v>171</v>
      </c>
      <c r="B22" t="s">
        <v>173</v>
      </c>
      <c r="C22" s="72" t="n">
        <v>2027</v>
      </c>
      <c r="D22" t="s">
        <v>424</v>
      </c>
      <c r="E22" s="73" t="n">
        <v>44384.2018393689</v>
      </c>
      <c r="F22" s="74" t="n">
        <v>7080.05700568168</v>
      </c>
      <c r="G22" s="75" t="n">
        <v>44384.2018393689</v>
      </c>
      <c r="H22" s="76" t="n">
        <v>7080.05700568168</v>
      </c>
      <c r="I22" s="77" t="str">
        <f>H22-F22</f>
      </c>
      <c r="J22" s="78" t="str">
        <f>G22-E22</f>
      </c>
    </row>
    <row r="23">
      <c r="A23" t="s">
        <v>171</v>
      </c>
      <c r="B23" t="s">
        <v>173</v>
      </c>
      <c r="C23" s="72" t="n">
        <v>2028</v>
      </c>
      <c r="D23" t="s">
        <v>176</v>
      </c>
      <c r="E23" s="73" t="n">
        <v>13728.134587314</v>
      </c>
      <c r="F23" s="74" t="n">
        <v>9971.25632019306</v>
      </c>
      <c r="G23" s="75" t="n">
        <v>13729.5005000864</v>
      </c>
      <c r="H23" s="76" t="n">
        <v>9971.45472163389</v>
      </c>
      <c r="I23" s="77" t="str">
        <f>H23-F23</f>
      </c>
      <c r="J23" s="78" t="str">
        <f>G23-E23</f>
      </c>
    </row>
    <row r="24">
      <c r="A24" t="s">
        <v>171</v>
      </c>
      <c r="B24" t="s">
        <v>173</v>
      </c>
      <c r="C24" s="72" t="n">
        <v>2028</v>
      </c>
      <c r="D24" t="s">
        <v>238</v>
      </c>
      <c r="E24" s="73" t="n">
        <v>1069005.16800191</v>
      </c>
      <c r="F24" s="74" t="n">
        <v>153077.867387244</v>
      </c>
      <c r="G24" s="75" t="n">
        <v>1069005.07088018</v>
      </c>
      <c r="H24" s="76" t="n">
        <v>153077.867387244</v>
      </c>
      <c r="I24" s="77" t="str">
        <f>H24-F24</f>
      </c>
      <c r="J24" s="78" t="str">
        <f>G24-E24</f>
      </c>
    </row>
    <row r="25">
      <c r="A25" t="s">
        <v>171</v>
      </c>
      <c r="B25" t="s">
        <v>173</v>
      </c>
      <c r="C25" s="72" t="n">
        <v>2028</v>
      </c>
      <c r="D25" t="s">
        <v>184</v>
      </c>
      <c r="E25" s="73" t="n">
        <v>101771.287462719</v>
      </c>
      <c r="F25" s="74" t="n">
        <v>69015.9522928741</v>
      </c>
      <c r="G25" s="75" t="n">
        <v>101797.96761407</v>
      </c>
      <c r="H25" s="76" t="n">
        <v>69019.933123165</v>
      </c>
      <c r="I25" s="77" t="str">
        <f>H25-F25</f>
      </c>
      <c r="J25" s="78" t="str">
        <f>G25-E25</f>
      </c>
    </row>
    <row r="26">
      <c r="A26" t="s">
        <v>171</v>
      </c>
      <c r="B26" t="s">
        <v>173</v>
      </c>
      <c r="C26" s="72" t="n">
        <v>2028</v>
      </c>
      <c r="D26" t="s">
        <v>187</v>
      </c>
      <c r="E26" s="73" t="n">
        <v>354909.740794682</v>
      </c>
      <c r="F26" s="74" t="n">
        <v>325671.395751692</v>
      </c>
      <c r="G26" s="75" t="n">
        <v>354965.535819133</v>
      </c>
      <c r="H26" s="76" t="n">
        <v>325690.683016893</v>
      </c>
      <c r="I26" s="77" t="str">
        <f>H26-F26</f>
      </c>
      <c r="J26" s="78" t="str">
        <f>G26-E26</f>
      </c>
    </row>
    <row r="27">
      <c r="A27" t="s">
        <v>171</v>
      </c>
      <c r="B27" t="s">
        <v>173</v>
      </c>
      <c r="C27" s="72" t="n">
        <v>2028</v>
      </c>
      <c r="D27" t="s">
        <v>190</v>
      </c>
      <c r="E27" s="73" t="n">
        <v>611989.009070266</v>
      </c>
      <c r="F27" s="74" t="n">
        <v>356070.956178769</v>
      </c>
      <c r="G27" s="75" t="n">
        <v>612031.659444751</v>
      </c>
      <c r="H27" s="76" t="n">
        <v>356073.571438059</v>
      </c>
      <c r="I27" s="77" t="str">
        <f>H27-F27</f>
      </c>
      <c r="J27" s="78" t="str">
        <f>G27-E27</f>
      </c>
    </row>
    <row r="28">
      <c r="A28" t="s">
        <v>171</v>
      </c>
      <c r="B28" t="s">
        <v>173</v>
      </c>
      <c r="C28" s="72" t="n">
        <v>2028</v>
      </c>
      <c r="D28" t="s">
        <v>193</v>
      </c>
      <c r="E28" s="73" t="n">
        <v>437091.420383524</v>
      </c>
      <c r="F28" s="74" t="n">
        <v>221904.157472675</v>
      </c>
      <c r="G28" s="75" t="n">
        <v>437159.755191958</v>
      </c>
      <c r="H28" s="76" t="n">
        <v>221908.958563303</v>
      </c>
      <c r="I28" s="77" t="str">
        <f>H28-F28</f>
      </c>
      <c r="J28" s="78" t="str">
        <f>G28-E28</f>
      </c>
    </row>
    <row r="29">
      <c r="A29" t="s">
        <v>171</v>
      </c>
      <c r="B29" t="s">
        <v>173</v>
      </c>
      <c r="C29" s="72" t="n">
        <v>2028</v>
      </c>
      <c r="D29" t="s">
        <v>424</v>
      </c>
      <c r="E29" s="73" t="n">
        <v>44510.0654630594</v>
      </c>
      <c r="F29" s="74" t="n">
        <v>7131.07016356498</v>
      </c>
      <c r="G29" s="75" t="n">
        <v>44510.0649629929</v>
      </c>
      <c r="H29" s="76" t="n">
        <v>7131.07016356498</v>
      </c>
      <c r="I29" s="77" t="str">
        <f>H29-F29</f>
      </c>
      <c r="J29" s="78" t="str">
        <f>G29-E29</f>
      </c>
    </row>
    <row r="30">
      <c r="A30" t="s">
        <v>171</v>
      </c>
      <c r="B30" t="s">
        <v>173</v>
      </c>
      <c r="C30" s="72" t="n">
        <v>2029</v>
      </c>
      <c r="D30" t="s">
        <v>176</v>
      </c>
      <c r="E30" s="73" t="n">
        <v>14179.54758019</v>
      </c>
      <c r="F30" s="74" t="n">
        <v>10300.8523556936</v>
      </c>
      <c r="G30" s="75" t="n">
        <v>14181.4236375467</v>
      </c>
      <c r="H30" s="76" t="n">
        <v>10301.2295792609</v>
      </c>
      <c r="I30" s="77" t="str">
        <f>H30-F30</f>
      </c>
      <c r="J30" s="78" t="str">
        <f>G30-E30</f>
      </c>
    </row>
    <row r="31">
      <c r="A31" t="s">
        <v>171</v>
      </c>
      <c r="B31" t="s">
        <v>173</v>
      </c>
      <c r="C31" s="72" t="n">
        <v>2029</v>
      </c>
      <c r="D31" t="s">
        <v>238</v>
      </c>
      <c r="E31" s="73" t="n">
        <v>1082252.74151433</v>
      </c>
      <c r="F31" s="74" t="n">
        <v>161161.064070559</v>
      </c>
      <c r="G31" s="75" t="n">
        <v>1082252.39423074</v>
      </c>
      <c r="H31" s="76" t="n">
        <v>161161.062132093</v>
      </c>
      <c r="I31" s="77" t="str">
        <f>H31-F31</f>
      </c>
      <c r="J31" s="78" t="str">
        <f>G31-E31</f>
      </c>
    </row>
    <row r="32">
      <c r="A32" t="s">
        <v>171</v>
      </c>
      <c r="B32" t="s">
        <v>173</v>
      </c>
      <c r="C32" s="72" t="n">
        <v>2029</v>
      </c>
      <c r="D32" t="s">
        <v>184</v>
      </c>
      <c r="E32" s="73" t="n">
        <v>105078.040624139</v>
      </c>
      <c r="F32" s="74" t="n">
        <v>71034.5355592863</v>
      </c>
      <c r="G32" s="75" t="n">
        <v>105114.693344183</v>
      </c>
      <c r="H32" s="76" t="n">
        <v>71042.0544294395</v>
      </c>
      <c r="I32" s="77" t="str">
        <f>H32-F32</f>
      </c>
      <c r="J32" s="78" t="str">
        <f>G32-E32</f>
      </c>
    </row>
    <row r="33">
      <c r="A33" t="s">
        <v>171</v>
      </c>
      <c r="B33" t="s">
        <v>173</v>
      </c>
      <c r="C33" s="72" t="n">
        <v>2029</v>
      </c>
      <c r="D33" t="s">
        <v>187</v>
      </c>
      <c r="E33" s="73" t="n">
        <v>363820.104348903</v>
      </c>
      <c r="F33" s="74" t="n">
        <v>334259.454618481</v>
      </c>
      <c r="G33" s="75" t="n">
        <v>363896.204247168</v>
      </c>
      <c r="H33" s="76" t="n">
        <v>334292.677138926</v>
      </c>
      <c r="I33" s="77" t="str">
        <f>H33-F33</f>
      </c>
      <c r="J33" s="78" t="str">
        <f>G33-E33</f>
      </c>
    </row>
    <row r="34">
      <c r="A34" t="s">
        <v>171</v>
      </c>
      <c r="B34" t="s">
        <v>173</v>
      </c>
      <c r="C34" s="72" t="n">
        <v>2029</v>
      </c>
      <c r="D34" t="s">
        <v>190</v>
      </c>
      <c r="E34" s="73" t="n">
        <v>627668.440679063</v>
      </c>
      <c r="F34" s="74" t="n">
        <v>367570.041508062</v>
      </c>
      <c r="G34" s="75" t="n">
        <v>627726.336898794</v>
      </c>
      <c r="H34" s="76" t="n">
        <v>367575.22274735</v>
      </c>
      <c r="I34" s="77" t="str">
        <f>H34-F34</f>
      </c>
      <c r="J34" s="78" t="str">
        <f>G34-E34</f>
      </c>
    </row>
    <row r="35">
      <c r="A35" t="s">
        <v>171</v>
      </c>
      <c r="B35" t="s">
        <v>173</v>
      </c>
      <c r="C35" s="72" t="n">
        <v>2029</v>
      </c>
      <c r="D35" t="s">
        <v>193</v>
      </c>
      <c r="E35" s="73" t="n">
        <v>450692.675420449</v>
      </c>
      <c r="F35" s="74" t="n">
        <v>231698.702890969</v>
      </c>
      <c r="G35" s="75" t="n">
        <v>450786.134013569</v>
      </c>
      <c r="H35" s="76" t="n">
        <v>231708.01887569</v>
      </c>
      <c r="I35" s="77" t="str">
        <f>H35-F35</f>
      </c>
      <c r="J35" s="78" t="str">
        <f>G35-E35</f>
      </c>
    </row>
    <row r="36">
      <c r="A36" t="s">
        <v>171</v>
      </c>
      <c r="B36" t="s">
        <v>173</v>
      </c>
      <c r="C36" s="72" t="n">
        <v>2029</v>
      </c>
      <c r="D36" t="s">
        <v>424</v>
      </c>
      <c r="E36" s="73" t="n">
        <v>44600.2632443477</v>
      </c>
      <c r="F36" s="74" t="n">
        <v>7178.21932316582</v>
      </c>
      <c r="G36" s="75" t="n">
        <v>44600.2614435955</v>
      </c>
      <c r="H36" s="76" t="n">
        <v>7178.21931597252</v>
      </c>
      <c r="I36" s="77" t="str">
        <f>H36-F36</f>
      </c>
      <c r="J36" s="78" t="str">
        <f>G36-E36</f>
      </c>
    </row>
    <row r="37">
      <c r="A37" t="s">
        <v>171</v>
      </c>
      <c r="B37" t="s">
        <v>173</v>
      </c>
      <c r="C37" s="72" t="n">
        <v>2030</v>
      </c>
      <c r="D37" t="s">
        <v>176</v>
      </c>
      <c r="E37" s="73" t="n">
        <v>14628.5170783283</v>
      </c>
      <c r="F37" s="74" t="n">
        <v>10629.670637062</v>
      </c>
      <c r="G37" s="75" t="n">
        <v>14630.9263575645</v>
      </c>
      <c r="H37" s="76" t="n">
        <v>10630.2702680602</v>
      </c>
      <c r="I37" s="77" t="str">
        <f>H37-F37</f>
      </c>
      <c r="J37" s="78" t="str">
        <f>G37-E37</f>
      </c>
    </row>
    <row r="38">
      <c r="A38" t="s">
        <v>171</v>
      </c>
      <c r="B38" t="s">
        <v>173</v>
      </c>
      <c r="C38" s="72" t="n">
        <v>2030</v>
      </c>
      <c r="D38" t="s">
        <v>238</v>
      </c>
      <c r="E38" s="73" t="n">
        <v>1094957.63574544</v>
      </c>
      <c r="F38" s="74" t="n">
        <v>169314.842841806</v>
      </c>
      <c r="G38" s="75" t="n">
        <v>1094956.84444967</v>
      </c>
      <c r="H38" s="76" t="n">
        <v>169314.834038038</v>
      </c>
      <c r="I38" s="77" t="str">
        <f>H38-F38</f>
      </c>
      <c r="J38" s="78" t="str">
        <f>G38-E38</f>
      </c>
    </row>
    <row r="39">
      <c r="A39" t="s">
        <v>171</v>
      </c>
      <c r="B39" t="s">
        <v>173</v>
      </c>
      <c r="C39" s="72" t="n">
        <v>2030</v>
      </c>
      <c r="D39" t="s">
        <v>184</v>
      </c>
      <c r="E39" s="73" t="n">
        <v>108346.648270835</v>
      </c>
      <c r="F39" s="74" t="n">
        <v>73108.9120472257</v>
      </c>
      <c r="G39" s="75" t="n">
        <v>108393.77376612</v>
      </c>
      <c r="H39" s="76" t="n">
        <v>73120.8011068864</v>
      </c>
      <c r="I39" s="77" t="str">
        <f>H39-F39</f>
      </c>
      <c r="J39" s="78" t="str">
        <f>G39-E39</f>
      </c>
    </row>
    <row r="40">
      <c r="A40" t="s">
        <v>171</v>
      </c>
      <c r="B40" t="s">
        <v>173</v>
      </c>
      <c r="C40" s="72" t="n">
        <v>2030</v>
      </c>
      <c r="D40" t="s">
        <v>187</v>
      </c>
      <c r="E40" s="73" t="n">
        <v>372644.597568695</v>
      </c>
      <c r="F40" s="74" t="n">
        <v>342840.647655432</v>
      </c>
      <c r="G40" s="75" t="n">
        <v>372741.795461264</v>
      </c>
      <c r="H40" s="76" t="n">
        <v>342889.635366394</v>
      </c>
      <c r="I40" s="77" t="str">
        <f>H40-F40</f>
      </c>
      <c r="J40" s="78" t="str">
        <f>G40-E40</f>
      </c>
    </row>
    <row r="41">
      <c r="A41" t="s">
        <v>171</v>
      </c>
      <c r="B41" t="s">
        <v>173</v>
      </c>
      <c r="C41" s="72" t="n">
        <v>2030</v>
      </c>
      <c r="D41" t="s">
        <v>190</v>
      </c>
      <c r="E41" s="73" t="n">
        <v>643080.691442787</v>
      </c>
      <c r="F41" s="74" t="n">
        <v>378931.693598727</v>
      </c>
      <c r="G41" s="75" t="n">
        <v>643154.211305628</v>
      </c>
      <c r="H41" s="76" t="n">
        <v>378940.231267445</v>
      </c>
      <c r="I41" s="77" t="str">
        <f>H41-F41</f>
      </c>
      <c r="J41" s="78" t="str">
        <f>G41-E41</f>
      </c>
    </row>
    <row r="42">
      <c r="A42" t="s">
        <v>171</v>
      </c>
      <c r="B42" t="s">
        <v>173</v>
      </c>
      <c r="C42" s="72" t="n">
        <v>2030</v>
      </c>
      <c r="D42" t="s">
        <v>193</v>
      </c>
      <c r="E42" s="73" t="n">
        <v>464240.865368436</v>
      </c>
      <c r="F42" s="74" t="n">
        <v>241295.190107878</v>
      </c>
      <c r="G42" s="75" t="n">
        <v>464360.518103772</v>
      </c>
      <c r="H42" s="76" t="n">
        <v>241310.309903655</v>
      </c>
      <c r="I42" s="77" t="str">
        <f>H42-F42</f>
      </c>
      <c r="J42" s="78" t="str">
        <f>G42-E42</f>
      </c>
    </row>
    <row r="43">
      <c r="A43" t="s">
        <v>171</v>
      </c>
      <c r="B43" t="s">
        <v>173</v>
      </c>
      <c r="C43" s="72" t="n">
        <v>2030</v>
      </c>
      <c r="D43" t="s">
        <v>424</v>
      </c>
      <c r="E43" s="73" t="n">
        <v>44647.273050199</v>
      </c>
      <c r="F43" s="74" t="n">
        <v>7223.11034682119</v>
      </c>
      <c r="G43" s="75" t="n">
        <v>44647.268915283</v>
      </c>
      <c r="H43" s="76" t="n">
        <v>7223.11031474236</v>
      </c>
      <c r="I43" s="77" t="str">
        <f>H43-F43</f>
      </c>
      <c r="J43" s="78" t="str">
        <f>G43-E43</f>
      </c>
    </row>
    <row r="44">
      <c r="A44" t="s">
        <v>171</v>
      </c>
      <c r="B44" t="s">
        <v>173</v>
      </c>
      <c r="C44" s="72" t="n">
        <v>2031</v>
      </c>
      <c r="D44" t="s">
        <v>176</v>
      </c>
      <c r="E44" s="73" t="n">
        <v>15077.9235320648</v>
      </c>
      <c r="F44" s="74" t="n">
        <v>10954.5655128705</v>
      </c>
      <c r="G44" s="75" t="n">
        <v>15080.3825495532</v>
      </c>
      <c r="H44" s="76" t="n">
        <v>10955.4255331558</v>
      </c>
      <c r="I44" s="77" t="str">
        <f>H44-F44</f>
      </c>
      <c r="J44" s="78" t="str">
        <f>G44-E44</f>
      </c>
    </row>
    <row r="45">
      <c r="A45" t="s">
        <v>171</v>
      </c>
      <c r="B45" t="s">
        <v>173</v>
      </c>
      <c r="C45" s="72" t="n">
        <v>2031</v>
      </c>
      <c r="D45" t="s">
        <v>238</v>
      </c>
      <c r="E45" s="73" t="n">
        <v>1107029.15270678</v>
      </c>
      <c r="F45" s="74" t="n">
        <v>177510.930512791</v>
      </c>
      <c r="G45" s="75" t="n">
        <v>1107027.69162894</v>
      </c>
      <c r="H45" s="76" t="n">
        <v>177510.906196669</v>
      </c>
      <c r="I45" s="77" t="str">
        <f>H45-F45</f>
      </c>
      <c r="J45" s="78" t="str">
        <f>G45-E45</f>
      </c>
    </row>
    <row r="46">
      <c r="A46" t="s">
        <v>171</v>
      </c>
      <c r="B46" t="s">
        <v>173</v>
      </c>
      <c r="C46" s="72" t="n">
        <v>2031</v>
      </c>
      <c r="D46" t="s">
        <v>184</v>
      </c>
      <c r="E46" s="73" t="n">
        <v>111584.646089902</v>
      </c>
      <c r="F46" s="74" t="n">
        <v>75213.2328898429</v>
      </c>
      <c r="G46" s="75" t="n">
        <v>111632.947554352</v>
      </c>
      <c r="H46" s="76" t="n">
        <v>75230.219664338</v>
      </c>
      <c r="I46" s="77" t="str">
        <f>H46-F46</f>
      </c>
      <c r="J46" s="78" t="str">
        <f>G46-E46</f>
      </c>
    </row>
    <row r="47">
      <c r="A47" t="s">
        <v>171</v>
      </c>
      <c r="B47" t="s">
        <v>173</v>
      </c>
      <c r="C47" s="72" t="n">
        <v>2031</v>
      </c>
      <c r="D47" t="s">
        <v>187</v>
      </c>
      <c r="E47" s="73" t="n">
        <v>381371.312252065</v>
      </c>
      <c r="F47" s="74" t="n">
        <v>351366.294021756</v>
      </c>
      <c r="G47" s="75" t="n">
        <v>381470.266781021</v>
      </c>
      <c r="H47" s="76" t="n">
        <v>351432.518672951</v>
      </c>
      <c r="I47" s="77" t="str">
        <f>H47-F47</f>
      </c>
      <c r="J47" s="78" t="str">
        <f>G47-E47</f>
      </c>
    </row>
    <row r="48">
      <c r="A48" t="s">
        <v>171</v>
      </c>
      <c r="B48" t="s">
        <v>173</v>
      </c>
      <c r="C48" s="72" t="n">
        <v>2031</v>
      </c>
      <c r="D48" t="s">
        <v>190</v>
      </c>
      <c r="E48" s="73" t="n">
        <v>658208.141328429</v>
      </c>
      <c r="F48" s="74" t="n">
        <v>390168.361022679</v>
      </c>
      <c r="G48" s="75" t="n">
        <v>658282.149268814</v>
      </c>
      <c r="H48" s="76" t="n">
        <v>390181.003020302</v>
      </c>
      <c r="I48" s="77" t="str">
        <f>H48-F48</f>
      </c>
      <c r="J48" s="78" t="str">
        <f>G48-E48</f>
      </c>
    </row>
    <row r="49">
      <c r="A49" t="s">
        <v>171</v>
      </c>
      <c r="B49" t="s">
        <v>173</v>
      </c>
      <c r="C49" s="72" t="n">
        <v>2031</v>
      </c>
      <c r="D49" t="s">
        <v>193</v>
      </c>
      <c r="E49" s="73" t="n">
        <v>477656.462428735</v>
      </c>
      <c r="F49" s="74" t="n">
        <v>250793.640028639</v>
      </c>
      <c r="G49" s="75" t="n">
        <v>477778.146047482</v>
      </c>
      <c r="H49" s="76" t="n">
        <v>250815.782662592</v>
      </c>
      <c r="I49" s="77" t="str">
        <f>H49-F49</f>
      </c>
      <c r="J49" s="78" t="str">
        <f>G49-E49</f>
      </c>
    </row>
    <row r="50">
      <c r="A50" t="s">
        <v>171</v>
      </c>
      <c r="B50" t="s">
        <v>173</v>
      </c>
      <c r="C50" s="72" t="n">
        <v>2031</v>
      </c>
      <c r="D50" t="s">
        <v>424</v>
      </c>
      <c r="E50" s="73" t="n">
        <v>44640.3549896816</v>
      </c>
      <c r="F50" s="74" t="n">
        <v>7266.76608717307</v>
      </c>
      <c r="G50" s="75" t="n">
        <v>44640.3472954778</v>
      </c>
      <c r="H50" s="76" t="n">
        <v>7266.76600020754</v>
      </c>
      <c r="I50" s="77" t="str">
        <f>H50-F50</f>
      </c>
      <c r="J50" s="78" t="str">
        <f>G50-E50</f>
      </c>
    </row>
    <row r="51">
      <c r="A51" t="s">
        <v>171</v>
      </c>
      <c r="B51" t="s">
        <v>173</v>
      </c>
      <c r="C51" s="72" t="n">
        <v>2032</v>
      </c>
      <c r="D51" t="s">
        <v>176</v>
      </c>
      <c r="E51" s="73" t="n">
        <v>15528.7632415802</v>
      </c>
      <c r="F51" s="74" t="n">
        <v>11273.4266381508</v>
      </c>
      <c r="G51" s="75" t="n">
        <v>15531.2601955666</v>
      </c>
      <c r="H51" s="76" t="n">
        <v>11274.4954497352</v>
      </c>
      <c r="I51" s="77" t="str">
        <f>H51-F51</f>
      </c>
      <c r="J51" s="78" t="str">
        <f>G51-E51</f>
      </c>
    </row>
    <row r="52">
      <c r="A52" t="s">
        <v>171</v>
      </c>
      <c r="B52" t="s">
        <v>173</v>
      </c>
      <c r="C52" s="72" t="n">
        <v>2032</v>
      </c>
      <c r="D52" t="s">
        <v>238</v>
      </c>
      <c r="E52" s="73" t="n">
        <v>1118479.71035385</v>
      </c>
      <c r="F52" s="74" t="n">
        <v>185726.051699144</v>
      </c>
      <c r="G52" s="75" t="n">
        <v>1118477.32749824</v>
      </c>
      <c r="H52" s="76" t="n">
        <v>185725.999058801</v>
      </c>
      <c r="I52" s="77" t="str">
        <f>H52-F52</f>
      </c>
      <c r="J52" s="78" t="str">
        <f>G52-E52</f>
      </c>
    </row>
    <row r="53">
      <c r="A53" t="s">
        <v>171</v>
      </c>
      <c r="B53" t="s">
        <v>173</v>
      </c>
      <c r="C53" s="72" t="n">
        <v>2032</v>
      </c>
      <c r="D53" t="s">
        <v>184</v>
      </c>
      <c r="E53" s="73" t="n">
        <v>114785.8239702</v>
      </c>
      <c r="F53" s="74" t="n">
        <v>77331.9696172109</v>
      </c>
      <c r="G53" s="75" t="n">
        <v>114835.221802653</v>
      </c>
      <c r="H53" s="76" t="n">
        <v>77353.0610239329</v>
      </c>
      <c r="I53" s="77" t="str">
        <f>H53-F53</f>
      </c>
      <c r="J53" s="78" t="str">
        <f>G53-E53</f>
      </c>
    </row>
    <row r="54">
      <c r="A54" t="s">
        <v>171</v>
      </c>
      <c r="B54" t="s">
        <v>173</v>
      </c>
      <c r="C54" s="72" t="n">
        <v>2032</v>
      </c>
      <c r="D54" t="s">
        <v>187</v>
      </c>
      <c r="E54" s="73" t="n">
        <v>389897.811944204</v>
      </c>
      <c r="F54" s="74" t="n">
        <v>359759.014379131</v>
      </c>
      <c r="G54" s="75" t="n">
        <v>389998.376688754</v>
      </c>
      <c r="H54" s="76" t="n">
        <v>359834.546852866</v>
      </c>
      <c r="I54" s="77" t="str">
        <f>H54-F54</f>
      </c>
      <c r="J54" s="78" t="str">
        <f>G54-E54</f>
      </c>
    </row>
    <row r="55">
      <c r="A55" t="s">
        <v>171</v>
      </c>
      <c r="B55" t="s">
        <v>173</v>
      </c>
      <c r="C55" s="72" t="n">
        <v>2032</v>
      </c>
      <c r="D55" t="s">
        <v>190</v>
      </c>
      <c r="E55" s="73" t="n">
        <v>673059.706046059</v>
      </c>
      <c r="F55" s="74" t="n">
        <v>401301.887537015</v>
      </c>
      <c r="G55" s="75" t="n">
        <v>673133.888273266</v>
      </c>
      <c r="H55" s="76" t="n">
        <v>401318.286193472</v>
      </c>
      <c r="I55" s="77" t="str">
        <f>H55-F55</f>
      </c>
      <c r="J55" s="78" t="str">
        <f>G55-E55</f>
      </c>
    </row>
    <row r="56">
      <c r="A56" t="s">
        <v>171</v>
      </c>
      <c r="B56" t="s">
        <v>173</v>
      </c>
      <c r="C56" s="72" t="n">
        <v>2032</v>
      </c>
      <c r="D56" t="s">
        <v>193</v>
      </c>
      <c r="E56" s="73" t="n">
        <v>490781.288337087</v>
      </c>
      <c r="F56" s="74" t="n">
        <v>260318.779663165</v>
      </c>
      <c r="G56" s="75" t="n">
        <v>490904.70344578</v>
      </c>
      <c r="H56" s="76" t="n">
        <v>260346.937343717</v>
      </c>
      <c r="I56" s="77" t="str">
        <f>H56-F56</f>
      </c>
      <c r="J56" s="78" t="str">
        <f>G56-E56</f>
      </c>
    </row>
    <row r="57">
      <c r="A57" t="s">
        <v>171</v>
      </c>
      <c r="B57" t="s">
        <v>173</v>
      </c>
      <c r="C57" s="72" t="n">
        <v>2032</v>
      </c>
      <c r="D57" t="s">
        <v>424</v>
      </c>
      <c r="E57" s="73" t="n">
        <v>44583.2581398102</v>
      </c>
      <c r="F57" s="74" t="n">
        <v>7308.68975318268</v>
      </c>
      <c r="G57" s="75" t="n">
        <v>44583.2455015959</v>
      </c>
      <c r="H57" s="76" t="n">
        <v>7308.68956833998</v>
      </c>
      <c r="I57" s="77" t="str">
        <f>H57-F57</f>
      </c>
      <c r="J57" s="78" t="str">
        <f>G57-E57</f>
      </c>
    </row>
    <row r="58">
      <c r="A58" t="s">
        <v>171</v>
      </c>
      <c r="B58" t="s">
        <v>173</v>
      </c>
      <c r="C58" s="72" t="n">
        <v>2033</v>
      </c>
      <c r="D58" t="s">
        <v>176</v>
      </c>
      <c r="E58" s="73" t="n">
        <v>15981.1906342676</v>
      </c>
      <c r="F58" s="74" t="n">
        <v>11585.6962216951</v>
      </c>
      <c r="G58" s="75" t="n">
        <v>15983.7175379286</v>
      </c>
      <c r="H58" s="76" t="n">
        <v>11586.9335708044</v>
      </c>
      <c r="I58" s="77" t="str">
        <f>H58-F58</f>
      </c>
      <c r="J58" s="78" t="str">
        <f>G58-E58</f>
      </c>
    </row>
    <row r="59">
      <c r="A59" t="s">
        <v>171</v>
      </c>
      <c r="B59" t="s">
        <v>173</v>
      </c>
      <c r="C59" s="72" t="n">
        <v>2033</v>
      </c>
      <c r="D59" t="s">
        <v>238</v>
      </c>
      <c r="E59" s="73" t="n">
        <v>1129236.93980122</v>
      </c>
      <c r="F59" s="74" t="n">
        <v>193953.322516663</v>
      </c>
      <c r="G59" s="75" t="n">
        <v>1129233.47845058</v>
      </c>
      <c r="H59" s="76" t="n">
        <v>193953.224223645</v>
      </c>
      <c r="I59" s="77" t="str">
        <f>H59-F59</f>
      </c>
      <c r="J59" s="78" t="str">
        <f>G59-E59</f>
      </c>
    </row>
    <row r="60">
      <c r="A60" t="s">
        <v>171</v>
      </c>
      <c r="B60" t="s">
        <v>173</v>
      </c>
      <c r="C60" s="72" t="n">
        <v>2033</v>
      </c>
      <c r="D60" t="s">
        <v>184</v>
      </c>
      <c r="E60" s="73" t="n">
        <v>117948.302990343</v>
      </c>
      <c r="F60" s="74" t="n">
        <v>79456.0251537261</v>
      </c>
      <c r="G60" s="75" t="n">
        <v>117998.738437442</v>
      </c>
      <c r="H60" s="76" t="n">
        <v>79480.4761690429</v>
      </c>
      <c r="I60" s="77" t="str">
        <f>H60-F60</f>
      </c>
      <c r="J60" s="78" t="str">
        <f>G60-E60</f>
      </c>
    </row>
    <row r="61">
      <c r="A61" t="s">
        <v>171</v>
      </c>
      <c r="B61" t="s">
        <v>173</v>
      </c>
      <c r="C61" s="72" t="n">
        <v>2033</v>
      </c>
      <c r="D61" t="s">
        <v>187</v>
      </c>
      <c r="E61" s="73" t="n">
        <v>398252.292915655</v>
      </c>
      <c r="F61" s="74" t="n">
        <v>367969.855018144</v>
      </c>
      <c r="G61" s="75" t="n">
        <v>398354.344992358</v>
      </c>
      <c r="H61" s="76" t="n">
        <v>368051.624575443</v>
      </c>
      <c r="I61" s="77" t="str">
        <f>H61-F61</f>
      </c>
      <c r="J61" s="78" t="str">
        <f>G61-E61</f>
      </c>
    </row>
    <row r="62">
      <c r="A62" t="s">
        <v>171</v>
      </c>
      <c r="B62" t="s">
        <v>173</v>
      </c>
      <c r="C62" s="72" t="n">
        <v>2033</v>
      </c>
      <c r="D62" t="s">
        <v>190</v>
      </c>
      <c r="E62" s="73" t="n">
        <v>687560.552179372</v>
      </c>
      <c r="F62" s="74" t="n">
        <v>412328.252199824</v>
      </c>
      <c r="G62" s="75" t="n">
        <v>687634.699546926</v>
      </c>
      <c r="H62" s="76" t="n">
        <v>412348.075678578</v>
      </c>
      <c r="I62" s="77" t="str">
        <f>H62-F62</f>
      </c>
      <c r="J62" s="78" t="str">
        <f>G62-E62</f>
      </c>
    </row>
    <row r="63">
      <c r="A63" t="s">
        <v>171</v>
      </c>
      <c r="B63" t="s">
        <v>173</v>
      </c>
      <c r="C63" s="72" t="n">
        <v>2033</v>
      </c>
      <c r="D63" t="s">
        <v>193</v>
      </c>
      <c r="E63" s="73" t="n">
        <v>503626.175068776</v>
      </c>
      <c r="F63" s="74" t="n">
        <v>269849.891797773</v>
      </c>
      <c r="G63" s="75" t="n">
        <v>503751.109420694</v>
      </c>
      <c r="H63" s="76" t="n">
        <v>269883.407599987</v>
      </c>
      <c r="I63" s="77" t="str">
        <f>H63-F63</f>
      </c>
      <c r="J63" s="78" t="str">
        <f>G63-E63</f>
      </c>
    </row>
    <row r="64">
      <c r="A64" t="s">
        <v>171</v>
      </c>
      <c r="B64" t="s">
        <v>173</v>
      </c>
      <c r="C64" s="72" t="n">
        <v>2033</v>
      </c>
      <c r="D64" t="s">
        <v>424</v>
      </c>
      <c r="E64" s="73" t="n">
        <v>44483.7020695836</v>
      </c>
      <c r="F64" s="74" t="n">
        <v>7348.07448603128</v>
      </c>
      <c r="G64" s="75" t="n">
        <v>44483.6835898413</v>
      </c>
      <c r="H64" s="76" t="n">
        <v>7348.07414732206</v>
      </c>
      <c r="I64" s="77" t="str">
        <f>H64-F64</f>
      </c>
      <c r="J64" s="78" t="str">
        <f>G64-E64</f>
      </c>
    </row>
    <row r="65">
      <c r="A65" t="s">
        <v>171</v>
      </c>
      <c r="B65" t="s">
        <v>173</v>
      </c>
      <c r="C65" s="72" t="n">
        <v>2034</v>
      </c>
      <c r="D65" t="s">
        <v>176</v>
      </c>
      <c r="E65" s="73" t="n">
        <v>16434.3810831434</v>
      </c>
      <c r="F65" s="74" t="n">
        <v>11895.0080496122</v>
      </c>
      <c r="G65" s="75" t="n">
        <v>16436.9312806497</v>
      </c>
      <c r="H65" s="76" t="n">
        <v>11896.3823187386</v>
      </c>
      <c r="I65" s="77" t="str">
        <f>H65-F65</f>
      </c>
      <c r="J65" s="78" t="str">
        <f>G65-E65</f>
      </c>
    </row>
    <row r="66">
      <c r="A66" t="s">
        <v>171</v>
      </c>
      <c r="B66" t="s">
        <v>173</v>
      </c>
      <c r="C66" s="72" t="n">
        <v>2034</v>
      </c>
      <c r="D66" t="s">
        <v>238</v>
      </c>
      <c r="E66" s="73" t="n">
        <v>1139361.6695969</v>
      </c>
      <c r="F66" s="74" t="n">
        <v>202147.43385381</v>
      </c>
      <c r="G66" s="75" t="n">
        <v>1139357.01951607</v>
      </c>
      <c r="H66" s="76" t="n">
        <v>202147.27044605</v>
      </c>
      <c r="I66" s="77" t="str">
        <f>H66-F66</f>
      </c>
      <c r="J66" s="78" t="str">
        <f>G66-E66</f>
      </c>
    </row>
    <row r="67">
      <c r="A67" t="s">
        <v>171</v>
      </c>
      <c r="B67" t="s">
        <v>173</v>
      </c>
      <c r="C67" s="72" t="n">
        <v>2034</v>
      </c>
      <c r="D67" t="s">
        <v>184</v>
      </c>
      <c r="E67" s="73" t="n">
        <v>121054.055854835</v>
      </c>
      <c r="F67" s="74" t="n">
        <v>81567.7075660753</v>
      </c>
      <c r="G67" s="75" t="n">
        <v>121105.471839437</v>
      </c>
      <c r="H67" s="76" t="n">
        <v>81594.9482339212</v>
      </c>
      <c r="I67" s="77" t="str">
        <f>H67-F67</f>
      </c>
      <c r="J67" s="78" t="str">
        <f>G67-E67</f>
      </c>
    </row>
    <row r="68">
      <c r="A68" t="s">
        <v>171</v>
      </c>
      <c r="B68" t="s">
        <v>173</v>
      </c>
      <c r="C68" s="72" t="n">
        <v>2034</v>
      </c>
      <c r="D68" t="s">
        <v>187</v>
      </c>
      <c r="E68" s="73" t="n">
        <v>406456.436181783</v>
      </c>
      <c r="F68" s="74" t="n">
        <v>375941.817177992</v>
      </c>
      <c r="G68" s="75" t="n">
        <v>406559.867353788</v>
      </c>
      <c r="H68" s="76" t="n">
        <v>376028.132278335</v>
      </c>
      <c r="I68" s="77" t="str">
        <f>H68-F68</f>
      </c>
      <c r="J68" s="78" t="str">
        <f>G68-E68</f>
      </c>
    </row>
    <row r="69">
      <c r="A69" t="s">
        <v>171</v>
      </c>
      <c r="B69" t="s">
        <v>173</v>
      </c>
      <c r="C69" s="72" t="n">
        <v>2034</v>
      </c>
      <c r="D69" t="s">
        <v>190</v>
      </c>
      <c r="E69" s="73" t="n">
        <v>701617.737646741</v>
      </c>
      <c r="F69" s="74" t="n">
        <v>423236.159195674</v>
      </c>
      <c r="G69" s="75" t="n">
        <v>701691.677358768</v>
      </c>
      <c r="H69" s="76" t="n">
        <v>423259.100590806</v>
      </c>
      <c r="I69" s="77" t="str">
        <f>H69-F69</f>
      </c>
      <c r="J69" s="78" t="str">
        <f>G69-E69</f>
      </c>
    </row>
    <row r="70">
      <c r="A70" t="s">
        <v>171</v>
      </c>
      <c r="B70" t="s">
        <v>173</v>
      </c>
      <c r="C70" s="72" t="n">
        <v>2034</v>
      </c>
      <c r="D70" t="s">
        <v>193</v>
      </c>
      <c r="E70" s="73" t="n">
        <v>516280.251470915</v>
      </c>
      <c r="F70" s="74" t="n">
        <v>279446.602872242</v>
      </c>
      <c r="G70" s="75" t="n">
        <v>516406.53850878</v>
      </c>
      <c r="H70" s="76" t="n">
        <v>279484.980285229</v>
      </c>
      <c r="I70" s="77" t="str">
        <f>H70-F70</f>
      </c>
      <c r="J70" s="78" t="str">
        <f>G70-E70</f>
      </c>
    </row>
    <row r="71">
      <c r="A71" t="s">
        <v>171</v>
      </c>
      <c r="B71" t="s">
        <v>173</v>
      </c>
      <c r="C71" s="72" t="n">
        <v>2034</v>
      </c>
      <c r="D71" t="s">
        <v>424</v>
      </c>
      <c r="E71" s="73" t="n">
        <v>44355.2094340899</v>
      </c>
      <c r="F71" s="74" t="n">
        <v>7385.04149831393</v>
      </c>
      <c r="G71" s="75" t="n">
        <v>44355.184450179</v>
      </c>
      <c r="H71" s="76" t="n">
        <v>7385.04094675217</v>
      </c>
      <c r="I71" s="77" t="str">
        <f>H71-F71</f>
      </c>
      <c r="J71" s="78" t="str">
        <f>G71-E71</f>
      </c>
    </row>
    <row r="72">
      <c r="A72" t="s">
        <v>171</v>
      </c>
      <c r="B72" t="s">
        <v>173</v>
      </c>
      <c r="C72" s="72" t="n">
        <v>2035</v>
      </c>
      <c r="D72" t="s">
        <v>176</v>
      </c>
      <c r="E72" s="73" t="n">
        <v>16889.6461636565</v>
      </c>
      <c r="F72" s="74" t="n">
        <v>12201.5719292005</v>
      </c>
      <c r="G72" s="75" t="n">
        <v>16892.2141390053</v>
      </c>
      <c r="H72" s="76" t="n">
        <v>12203.0577178634</v>
      </c>
      <c r="I72" s="77" t="str">
        <f>H72-F72</f>
      </c>
      <c r="J72" s="78" t="str">
        <f>G72-E72</f>
      </c>
    </row>
    <row r="73">
      <c r="A73" t="s">
        <v>171</v>
      </c>
      <c r="B73" t="s">
        <v>173</v>
      </c>
      <c r="C73" s="72" t="n">
        <v>2035</v>
      </c>
      <c r="D73" t="s">
        <v>238</v>
      </c>
      <c r="E73" s="73" t="n">
        <v>1148978.08436399</v>
      </c>
      <c r="F73" s="74" t="n">
        <v>210291.229530303</v>
      </c>
      <c r="G73" s="75" t="n">
        <v>1148972.16574985</v>
      </c>
      <c r="H73" s="76" t="n">
        <v>210290.980527925</v>
      </c>
      <c r="I73" s="77" t="str">
        <f>H73-F73</f>
      </c>
      <c r="J73" s="78" t="str">
        <f>G73-E73</f>
      </c>
    </row>
    <row r="74">
      <c r="A74" t="s">
        <v>171</v>
      </c>
      <c r="B74" t="s">
        <v>173</v>
      </c>
      <c r="C74" s="72" t="n">
        <v>2035</v>
      </c>
      <c r="D74" t="s">
        <v>184</v>
      </c>
      <c r="E74" s="73" t="n">
        <v>124095.864377348</v>
      </c>
      <c r="F74" s="74" t="n">
        <v>83665.5309674531</v>
      </c>
      <c r="G74" s="75" t="n">
        <v>124148.207195844</v>
      </c>
      <c r="H74" s="76" t="n">
        <v>83695.1178728798</v>
      </c>
      <c r="I74" s="77" t="str">
        <f>H74-F74</f>
      </c>
      <c r="J74" s="78" t="str">
        <f>G74-E74</f>
      </c>
    </row>
    <row r="75">
      <c r="A75" t="s">
        <v>171</v>
      </c>
      <c r="B75" t="s">
        <v>173</v>
      </c>
      <c r="C75" s="72" t="n">
        <v>2035</v>
      </c>
      <c r="D75" t="s">
        <v>187</v>
      </c>
      <c r="E75" s="73" t="n">
        <v>414428.471947267</v>
      </c>
      <c r="F75" s="74" t="n">
        <v>383698.938562643</v>
      </c>
      <c r="G75" s="75" t="n">
        <v>414533.160603145</v>
      </c>
      <c r="H75" s="76" t="n">
        <v>383788.762526672</v>
      </c>
      <c r="I75" s="77" t="str">
        <f>H75-F75</f>
      </c>
      <c r="J75" s="78" t="str">
        <f>G75-E75</f>
      </c>
    </row>
    <row r="76">
      <c r="A76" t="s">
        <v>171</v>
      </c>
      <c r="B76" t="s">
        <v>173</v>
      </c>
      <c r="C76" s="72" t="n">
        <v>2035</v>
      </c>
      <c r="D76" t="s">
        <v>190</v>
      </c>
      <c r="E76" s="73" t="n">
        <v>715258.193973397</v>
      </c>
      <c r="F76" s="74" t="n">
        <v>434056.250512843</v>
      </c>
      <c r="G76" s="75" t="n">
        <v>715331.788822102</v>
      </c>
      <c r="H76" s="76" t="n">
        <v>434082.031551195</v>
      </c>
      <c r="I76" s="77" t="str">
        <f>H76-F76</f>
      </c>
      <c r="J76" s="78" t="str">
        <f>G76-E76</f>
      </c>
    </row>
    <row r="77">
      <c r="A77" t="s">
        <v>171</v>
      </c>
      <c r="B77" t="s">
        <v>173</v>
      </c>
      <c r="C77" s="72" t="n">
        <v>2035</v>
      </c>
      <c r="D77" t="s">
        <v>193</v>
      </c>
      <c r="E77" s="73" t="n">
        <v>528690.894754386</v>
      </c>
      <c r="F77" s="74" t="n">
        <v>289107.971470001</v>
      </c>
      <c r="G77" s="75" t="n">
        <v>528818.371883953</v>
      </c>
      <c r="H77" s="76" t="n">
        <v>289150.802435983</v>
      </c>
      <c r="I77" s="77" t="str">
        <f>H77-F77</f>
      </c>
      <c r="J77" s="78" t="str">
        <f>G77-E77</f>
      </c>
    </row>
    <row r="78">
      <c r="A78" t="s">
        <v>171</v>
      </c>
      <c r="B78" t="s">
        <v>173</v>
      </c>
      <c r="C78" s="72" t="n">
        <v>2035</v>
      </c>
      <c r="D78" t="s">
        <v>424</v>
      </c>
      <c r="E78" s="73" t="n">
        <v>44206.739303996</v>
      </c>
      <c r="F78" s="74" t="n">
        <v>7419.97967735362</v>
      </c>
      <c r="G78" s="75" t="n">
        <v>44206.7073067121</v>
      </c>
      <c r="H78" s="76" t="n">
        <v>7419.97885519321</v>
      </c>
      <c r="I78" s="77" t="str">
        <f>H78-F78</f>
      </c>
      <c r="J78" s="78" t="str">
        <f>G78-E78</f>
      </c>
    </row>
    <row r="79">
      <c r="A79" t="s">
        <v>171</v>
      </c>
      <c r="B79" t="s">
        <v>173</v>
      </c>
      <c r="C79" s="72" t="n">
        <v>2036</v>
      </c>
      <c r="D79" t="s">
        <v>176</v>
      </c>
      <c r="E79" s="73" t="n">
        <v>17348.0734928802</v>
      </c>
      <c r="F79" s="74" t="n">
        <v>12505.3256192978</v>
      </c>
      <c r="G79" s="75" t="n">
        <v>17350.6546269342</v>
      </c>
      <c r="H79" s="76" t="n">
        <v>12506.9021026876</v>
      </c>
      <c r="I79" s="77" t="str">
        <f>H79-F79</f>
      </c>
      <c r="J79" s="78" t="str">
        <f>G79-E79</f>
      </c>
    </row>
    <row r="80">
      <c r="A80" t="s">
        <v>171</v>
      </c>
      <c r="B80" t="s">
        <v>173</v>
      </c>
      <c r="C80" s="72" t="n">
        <v>2036</v>
      </c>
      <c r="D80" t="s">
        <v>238</v>
      </c>
      <c r="E80" s="73" t="n">
        <v>1158273.38308179</v>
      </c>
      <c r="F80" s="74" t="n">
        <v>218371.042950409</v>
      </c>
      <c r="G80" s="75" t="n">
        <v>1158266.13775829</v>
      </c>
      <c r="H80" s="76" t="n">
        <v>218370.687575925</v>
      </c>
      <c r="I80" s="77" t="str">
        <f>H80-F80</f>
      </c>
      <c r="J80" s="78" t="str">
        <f>G80-E80</f>
      </c>
    </row>
    <row r="81">
      <c r="A81" t="s">
        <v>171</v>
      </c>
      <c r="B81" t="s">
        <v>173</v>
      </c>
      <c r="C81" s="72" t="n">
        <v>2036</v>
      </c>
      <c r="D81" t="s">
        <v>184</v>
      </c>
      <c r="E81" s="73" t="n">
        <v>127085.22544998</v>
      </c>
      <c r="F81" s="74" t="n">
        <v>85733.9881428268</v>
      </c>
      <c r="G81" s="75" t="n">
        <v>127138.451085333</v>
      </c>
      <c r="H81" s="76" t="n">
        <v>85765.5647353171</v>
      </c>
      <c r="I81" s="77" t="str">
        <f>H81-F81</f>
      </c>
      <c r="J81" s="78" t="str">
        <f>G81-E81</f>
      </c>
    </row>
    <row r="82">
      <c r="A82" t="s">
        <v>171</v>
      </c>
      <c r="B82" t="s">
        <v>173</v>
      </c>
      <c r="C82" s="72" t="n">
        <v>2036</v>
      </c>
      <c r="D82" t="s">
        <v>187</v>
      </c>
      <c r="E82" s="73" t="n">
        <v>422126.837908742</v>
      </c>
      <c r="F82" s="74" t="n">
        <v>391193.328095544</v>
      </c>
      <c r="G82" s="75" t="n">
        <v>422232.659922133</v>
      </c>
      <c r="H82" s="76" t="n">
        <v>391285.955739587</v>
      </c>
      <c r="I82" s="77" t="str">
        <f>H82-F82</f>
      </c>
      <c r="J82" s="78" t="str">
        <f>G82-E82</f>
      </c>
    </row>
    <row r="83">
      <c r="A83" t="s">
        <v>171</v>
      </c>
      <c r="B83" t="s">
        <v>173</v>
      </c>
      <c r="C83" s="72" t="n">
        <v>2036</v>
      </c>
      <c r="D83" t="s">
        <v>190</v>
      </c>
      <c r="E83" s="73" t="n">
        <v>728458.474924437</v>
      </c>
      <c r="F83" s="74" t="n">
        <v>444719.541773541</v>
      </c>
      <c r="G83" s="75" t="n">
        <v>728531.610160843</v>
      </c>
      <c r="H83" s="76" t="n">
        <v>444747.907566169</v>
      </c>
      <c r="I83" s="77" t="str">
        <f>H83-F83</f>
      </c>
      <c r="J83" s="78" t="str">
        <f>G83-E83</f>
      </c>
    </row>
    <row r="84">
      <c r="A84" t="s">
        <v>171</v>
      </c>
      <c r="B84" t="s">
        <v>173</v>
      </c>
      <c r="C84" s="72" t="n">
        <v>2036</v>
      </c>
      <c r="D84" t="s">
        <v>193</v>
      </c>
      <c r="E84" s="73" t="n">
        <v>540923.746566839</v>
      </c>
      <c r="F84" s="74" t="n">
        <v>298832.676759075</v>
      </c>
      <c r="G84" s="75" t="n">
        <v>541052.28077363</v>
      </c>
      <c r="H84" s="76" t="n">
        <v>298879.611309733</v>
      </c>
      <c r="I84" s="77" t="str">
        <f>H84-F84</f>
      </c>
      <c r="J84" s="78" t="str">
        <f>G84-E84</f>
      </c>
    </row>
    <row r="85">
      <c r="A85" t="s">
        <v>171</v>
      </c>
      <c r="B85" t="s">
        <v>173</v>
      </c>
      <c r="C85" s="72" t="n">
        <v>2036</v>
      </c>
      <c r="D85" t="s">
        <v>424</v>
      </c>
      <c r="E85" s="73" t="n">
        <v>44050.0377839476</v>
      </c>
      <c r="F85" s="74" t="n">
        <v>7453.33627416918</v>
      </c>
      <c r="G85" s="75" t="n">
        <v>44049.9983782722</v>
      </c>
      <c r="H85" s="76" t="n">
        <v>7453.3351271514</v>
      </c>
      <c r="I85" s="77" t="str">
        <f>H85-F85</f>
      </c>
      <c r="J85" s="78" t="str">
        <f>G85-E85</f>
      </c>
    </row>
    <row r="86">
      <c r="A86" t="s">
        <v>171</v>
      </c>
      <c r="B86" t="s">
        <v>173</v>
      </c>
      <c r="C86" s="72" t="n">
        <v>2037</v>
      </c>
      <c r="D86" t="s">
        <v>176</v>
      </c>
      <c r="E86" s="73" t="n">
        <v>17809.9132009993</v>
      </c>
      <c r="F86" s="74" t="n">
        <v>12805.8512335421</v>
      </c>
      <c r="G86" s="75" t="n">
        <v>17812.5035281772</v>
      </c>
      <c r="H86" s="76" t="n">
        <v>12807.5012683992</v>
      </c>
      <c r="I86" s="77" t="str">
        <f>H86-F86</f>
      </c>
      <c r="J86" s="78" t="str">
        <f>G86-E86</f>
      </c>
    </row>
    <row r="87">
      <c r="A87" t="s">
        <v>171</v>
      </c>
      <c r="B87" t="s">
        <v>173</v>
      </c>
      <c r="C87" s="72" t="n">
        <v>2037</v>
      </c>
      <c r="D87" t="s">
        <v>238</v>
      </c>
      <c r="E87" s="73" t="n">
        <v>1167373.2775071</v>
      </c>
      <c r="F87" s="74" t="n">
        <v>226373.848112718</v>
      </c>
      <c r="G87" s="75" t="n">
        <v>1167364.66541375</v>
      </c>
      <c r="H87" s="76" t="n">
        <v>226373.365626062</v>
      </c>
      <c r="I87" s="77" t="str">
        <f>H87-F87</f>
      </c>
      <c r="J87" s="78" t="str">
        <f>G87-E87</f>
      </c>
    </row>
    <row r="88">
      <c r="A88" t="s">
        <v>171</v>
      </c>
      <c r="B88" t="s">
        <v>173</v>
      </c>
      <c r="C88" s="72" t="n">
        <v>2037</v>
      </c>
      <c r="D88" t="s">
        <v>184</v>
      </c>
      <c r="E88" s="73" t="n">
        <v>130038.03820709</v>
      </c>
      <c r="F88" s="74" t="n">
        <v>87752.598381449</v>
      </c>
      <c r="G88" s="75" t="n">
        <v>130092.112965313</v>
      </c>
      <c r="H88" s="76" t="n">
        <v>87785.8739142287</v>
      </c>
      <c r="I88" s="77" t="str">
        <f>H88-F88</f>
      </c>
      <c r="J88" s="78" t="str">
        <f>G88-E88</f>
      </c>
    </row>
    <row r="89">
      <c r="A89" t="s">
        <v>171</v>
      </c>
      <c r="B89" t="s">
        <v>173</v>
      </c>
      <c r="C89" s="72" t="n">
        <v>2037</v>
      </c>
      <c r="D89" t="s">
        <v>187</v>
      </c>
      <c r="E89" s="73" t="n">
        <v>429567.834998022</v>
      </c>
      <c r="F89" s="74" t="n">
        <v>398378.887153375</v>
      </c>
      <c r="G89" s="75" t="n">
        <v>429674.679324948</v>
      </c>
      <c r="H89" s="76" t="n">
        <v>398473.813386608</v>
      </c>
      <c r="I89" s="77" t="str">
        <f>H89-F89</f>
      </c>
      <c r="J89" s="78" t="str">
        <f>G89-E89</f>
      </c>
    </row>
    <row r="90">
      <c r="A90" t="s">
        <v>171</v>
      </c>
      <c r="B90" t="s">
        <v>173</v>
      </c>
      <c r="C90" s="72" t="n">
        <v>2037</v>
      </c>
      <c r="D90" t="s">
        <v>190</v>
      </c>
      <c r="E90" s="73" t="n">
        <v>741188.854511322</v>
      </c>
      <c r="F90" s="74" t="n">
        <v>455137.479871387</v>
      </c>
      <c r="G90" s="75" t="n">
        <v>741261.427234993</v>
      </c>
      <c r="H90" s="76" t="n">
        <v>455168.184528758</v>
      </c>
      <c r="I90" s="77" t="str">
        <f>H90-F90</f>
      </c>
      <c r="J90" s="78" t="str">
        <f>G90-E90</f>
      </c>
    </row>
    <row r="91">
      <c r="A91" t="s">
        <v>171</v>
      </c>
      <c r="B91" t="s">
        <v>173</v>
      </c>
      <c r="C91" s="72" t="n">
        <v>2037</v>
      </c>
      <c r="D91" t="s">
        <v>193</v>
      </c>
      <c r="E91" s="73" t="n">
        <v>553129.010084605</v>
      </c>
      <c r="F91" s="74" t="n">
        <v>308615.308475064</v>
      </c>
      <c r="G91" s="75" t="n">
        <v>553258.517761357</v>
      </c>
      <c r="H91" s="76" t="n">
        <v>308666.043562302</v>
      </c>
      <c r="I91" s="77" t="str">
        <f>H91-F91</f>
      </c>
      <c r="J91" s="78" t="str">
        <f>G91-E91</f>
      </c>
    </row>
    <row r="92">
      <c r="A92" t="s">
        <v>171</v>
      </c>
      <c r="B92" t="s">
        <v>173</v>
      </c>
      <c r="C92" s="72" t="n">
        <v>2037</v>
      </c>
      <c r="D92" t="s">
        <v>424</v>
      </c>
      <c r="E92" s="73" t="n">
        <v>43886.5437595005</v>
      </c>
      <c r="F92" s="74" t="n">
        <v>7485.64098107253</v>
      </c>
      <c r="G92" s="75" t="n">
        <v>43886.4966397613</v>
      </c>
      <c r="H92" s="76" t="n">
        <v>7485.63945861012</v>
      </c>
      <c r="I92" s="77" t="str">
        <f>H92-F92</f>
      </c>
      <c r="J92" s="78" t="str">
        <f>G92-E92</f>
      </c>
    </row>
    <row r="93">
      <c r="A93" t="s">
        <v>171</v>
      </c>
      <c r="B93" t="s">
        <v>173</v>
      </c>
      <c r="C93" s="72" t="n">
        <v>2038</v>
      </c>
      <c r="D93" t="s">
        <v>176</v>
      </c>
      <c r="E93" s="73" t="n">
        <v>18276.0236110937</v>
      </c>
      <c r="F93" s="74" t="n">
        <v>13106.5492925494</v>
      </c>
      <c r="G93" s="75" t="n">
        <v>18278.6195315823</v>
      </c>
      <c r="H93" s="76" t="n">
        <v>13108.2586821674</v>
      </c>
      <c r="I93" s="77" t="str">
        <f>H93-F93</f>
      </c>
      <c r="J93" s="78" t="str">
        <f>G93-E93</f>
      </c>
    </row>
    <row r="94">
      <c r="A94" t="s">
        <v>171</v>
      </c>
      <c r="B94" t="s">
        <v>173</v>
      </c>
      <c r="C94" s="72" t="n">
        <v>2038</v>
      </c>
      <c r="D94" t="s">
        <v>238</v>
      </c>
      <c r="E94" s="73" t="n">
        <v>1176296.23350463</v>
      </c>
      <c r="F94" s="74" t="n">
        <v>234286.932429118</v>
      </c>
      <c r="G94" s="75" t="n">
        <v>1176286.23006217</v>
      </c>
      <c r="H94" s="76" t="n">
        <v>234286.302403295</v>
      </c>
      <c r="I94" s="77" t="str">
        <f>H94-F94</f>
      </c>
      <c r="J94" s="78" t="str">
        <f>G94-E94</f>
      </c>
    </row>
    <row r="95">
      <c r="A95" t="s">
        <v>171</v>
      </c>
      <c r="B95" t="s">
        <v>173</v>
      </c>
      <c r="C95" s="72" t="n">
        <v>2038</v>
      </c>
      <c r="D95" t="s">
        <v>184</v>
      </c>
      <c r="E95" s="73" t="n">
        <v>132949.880917851</v>
      </c>
      <c r="F95" s="74" t="n">
        <v>89728.1658835291</v>
      </c>
      <c r="G95" s="75" t="n">
        <v>133004.77137127</v>
      </c>
      <c r="H95" s="76" t="n">
        <v>89762.9085046272</v>
      </c>
      <c r="I95" s="77" t="str">
        <f>H95-F95</f>
      </c>
      <c r="J95" s="78" t="str">
        <f>G95-E95</f>
      </c>
    </row>
    <row r="96">
      <c r="A96" t="s">
        <v>171</v>
      </c>
      <c r="B96" t="s">
        <v>173</v>
      </c>
      <c r="C96" s="72" t="n">
        <v>2038</v>
      </c>
      <c r="D96" t="s">
        <v>187</v>
      </c>
      <c r="E96" s="73" t="n">
        <v>436770.595460411</v>
      </c>
      <c r="F96" s="74" t="n">
        <v>405288.102147027</v>
      </c>
      <c r="G96" s="75" t="n">
        <v>436878.359538317</v>
      </c>
      <c r="H96" s="76" t="n">
        <v>405384.957772321</v>
      </c>
      <c r="I96" s="77" t="str">
        <f>H96-F96</f>
      </c>
      <c r="J96" s="78" t="str">
        <f>G96-E96</f>
      </c>
    </row>
    <row r="97">
      <c r="A97" t="s">
        <v>171</v>
      </c>
      <c r="B97" t="s">
        <v>173</v>
      </c>
      <c r="C97" s="72" t="n">
        <v>2038</v>
      </c>
      <c r="D97" t="s">
        <v>190</v>
      </c>
      <c r="E97" s="73" t="n">
        <v>753488.908448713</v>
      </c>
      <c r="F97" s="74" t="n">
        <v>465310.109777701</v>
      </c>
      <c r="G97" s="75" t="n">
        <v>753560.822146793</v>
      </c>
      <c r="H97" s="76" t="n">
        <v>465342.91786371</v>
      </c>
      <c r="I97" s="77" t="str">
        <f>H97-F97</f>
      </c>
      <c r="J97" s="78" t="str">
        <f>G97-E97</f>
      </c>
    </row>
    <row r="98">
      <c r="A98" t="s">
        <v>171</v>
      </c>
      <c r="B98" t="s">
        <v>173</v>
      </c>
      <c r="C98" s="72" t="n">
        <v>2038</v>
      </c>
      <c r="D98" t="s">
        <v>193</v>
      </c>
      <c r="E98" s="73" t="n">
        <v>565273.368194606</v>
      </c>
      <c r="F98" s="74" t="n">
        <v>318406.76012445</v>
      </c>
      <c r="G98" s="75" t="n">
        <v>565403.758799385</v>
      </c>
      <c r="H98" s="76" t="n">
        <v>318461.022248122</v>
      </c>
      <c r="I98" s="77" t="str">
        <f>H98-F98</f>
      </c>
      <c r="J98" s="78" t="str">
        <f>G98-E98</f>
      </c>
    </row>
    <row r="99">
      <c r="A99" t="s">
        <v>171</v>
      </c>
      <c r="B99" t="s">
        <v>173</v>
      </c>
      <c r="C99" s="72" t="n">
        <v>2038</v>
      </c>
      <c r="D99" t="s">
        <v>424</v>
      </c>
      <c r="E99" s="73" t="n">
        <v>43730.7999267571</v>
      </c>
      <c r="F99" s="74" t="n">
        <v>7517.77229770345</v>
      </c>
      <c r="G99" s="75" t="n">
        <v>43730.7448506382</v>
      </c>
      <c r="H99" s="76" t="n">
        <v>7517.77035327065</v>
      </c>
      <c r="I99" s="77" t="str">
        <f>H99-F99</f>
      </c>
      <c r="J99" s="78" t="str">
        <f>G99-E99</f>
      </c>
    </row>
    <row r="100">
      <c r="A100" t="s">
        <v>171</v>
      </c>
      <c r="B100" t="s">
        <v>173</v>
      </c>
      <c r="C100" s="72" t="n">
        <v>2039</v>
      </c>
      <c r="D100" t="s">
        <v>176</v>
      </c>
      <c r="E100" s="73" t="n">
        <v>18749.4916948488</v>
      </c>
      <c r="F100" s="74" t="n">
        <v>13402.9127348195</v>
      </c>
      <c r="G100" s="75" t="n">
        <v>18752.090499403</v>
      </c>
      <c r="H100" s="76" t="n">
        <v>13404.6696202756</v>
      </c>
      <c r="I100" s="77" t="str">
        <f>H100-F100</f>
      </c>
      <c r="J100" s="78" t="str">
        <f>G100-E100</f>
      </c>
    </row>
    <row r="101">
      <c r="A101" t="s">
        <v>171</v>
      </c>
      <c r="B101" t="s">
        <v>173</v>
      </c>
      <c r="C101" s="72" t="n">
        <v>2039</v>
      </c>
      <c r="D101" t="s">
        <v>238</v>
      </c>
      <c r="E101" s="73" t="n">
        <v>1184749.79838152</v>
      </c>
      <c r="F101" s="74" t="n">
        <v>242132.988560025</v>
      </c>
      <c r="G101" s="75" t="n">
        <v>1184738.39184491</v>
      </c>
      <c r="H101" s="76" t="n">
        <v>242132.191153164</v>
      </c>
      <c r="I101" s="77" t="str">
        <f>H101-F101</f>
      </c>
      <c r="J101" s="78" t="str">
        <f>G101-E101</f>
      </c>
    </row>
    <row r="102">
      <c r="A102" t="s">
        <v>171</v>
      </c>
      <c r="B102" t="s">
        <v>173</v>
      </c>
      <c r="C102" s="72" t="n">
        <v>2039</v>
      </c>
      <c r="D102" t="s">
        <v>184</v>
      </c>
      <c r="E102" s="73" t="n">
        <v>135816.457351859</v>
      </c>
      <c r="F102" s="74" t="n">
        <v>91680.3381888288</v>
      </c>
      <c r="G102" s="75" t="n">
        <v>135872.13136763</v>
      </c>
      <c r="H102" s="76" t="n">
        <v>91716.3663536023</v>
      </c>
      <c r="I102" s="77" t="str">
        <f>H102-F102</f>
      </c>
      <c r="J102" s="78" t="str">
        <f>G102-E102</f>
      </c>
    </row>
    <row r="103">
      <c r="A103" t="s">
        <v>171</v>
      </c>
      <c r="B103" t="s">
        <v>173</v>
      </c>
      <c r="C103" s="72" t="n">
        <v>2039</v>
      </c>
      <c r="D103" t="s">
        <v>187</v>
      </c>
      <c r="E103" s="73" t="n">
        <v>443797.372976012</v>
      </c>
      <c r="F103" s="74" t="n">
        <v>412021.69761203</v>
      </c>
      <c r="G103" s="75" t="n">
        <v>443905.980748337</v>
      </c>
      <c r="H103" s="76" t="n">
        <v>412120.21350488</v>
      </c>
      <c r="I103" s="77" t="str">
        <f>H103-F103</f>
      </c>
      <c r="J103" s="78" t="str">
        <f>G103-E103</f>
      </c>
    </row>
    <row r="104">
      <c r="A104" t="s">
        <v>171</v>
      </c>
      <c r="B104" t="s">
        <v>173</v>
      </c>
      <c r="C104" s="72" t="n">
        <v>2039</v>
      </c>
      <c r="D104" t="s">
        <v>190</v>
      </c>
      <c r="E104" s="73" t="n">
        <v>765457.281565539</v>
      </c>
      <c r="F104" s="74" t="n">
        <v>475235.103292865</v>
      </c>
      <c r="G104" s="75" t="n">
        <v>765528.467838857</v>
      </c>
      <c r="H104" s="76" t="n">
        <v>475269.787528918</v>
      </c>
      <c r="I104" s="77" t="str">
        <f>H104-F104</f>
      </c>
      <c r="J104" s="78" t="str">
        <f>G104-E104</f>
      </c>
    </row>
    <row r="105">
      <c r="A105" t="s">
        <v>171</v>
      </c>
      <c r="B105" t="s">
        <v>173</v>
      </c>
      <c r="C105" s="72" t="n">
        <v>2039</v>
      </c>
      <c r="D105" t="s">
        <v>193</v>
      </c>
      <c r="E105" s="73" t="n">
        <v>577283.333664945</v>
      </c>
      <c r="F105" s="74" t="n">
        <v>328188.861507313</v>
      </c>
      <c r="G105" s="75" t="n">
        <v>577414.514396235</v>
      </c>
      <c r="H105" s="76" t="n">
        <v>328246.401276368</v>
      </c>
      <c r="I105" s="77" t="str">
        <f>H105-F105</f>
      </c>
      <c r="J105" s="78" t="str">
        <f>G105-E105</f>
      </c>
    </row>
    <row r="106">
      <c r="A106" t="s">
        <v>171</v>
      </c>
      <c r="B106" t="s">
        <v>173</v>
      </c>
      <c r="C106" s="72" t="n">
        <v>2039</v>
      </c>
      <c r="D106" t="s">
        <v>424</v>
      </c>
      <c r="E106" s="73" t="n">
        <v>43588.9086909995</v>
      </c>
      <c r="F106" s="74" t="n">
        <v>7547.56226997084</v>
      </c>
      <c r="G106" s="75" t="n">
        <v>43588.845456637</v>
      </c>
      <c r="H106" s="76" t="n">
        <v>7547.5598608641</v>
      </c>
      <c r="I106" s="77" t="str">
        <f>H106-F106</f>
      </c>
      <c r="J106" s="78" t="str">
        <f>G106-E106</f>
      </c>
    </row>
    <row r="107">
      <c r="A107" t="s">
        <v>171</v>
      </c>
      <c r="B107" t="s">
        <v>173</v>
      </c>
      <c r="C107" s="72" t="n">
        <v>2040</v>
      </c>
      <c r="D107" t="s">
        <v>176</v>
      </c>
      <c r="E107" s="73" t="n">
        <v>19233.137016218</v>
      </c>
      <c r="F107" s="74" t="n">
        <v>13697.1773586744</v>
      </c>
      <c r="G107" s="75" t="n">
        <v>19235.7365429273</v>
      </c>
      <c r="H107" s="76" t="n">
        <v>13698.9721681132</v>
      </c>
      <c r="I107" s="77" t="str">
        <f>H107-F107</f>
      </c>
      <c r="J107" s="78" t="str">
        <f>G107-E107</f>
      </c>
    </row>
    <row r="108">
      <c r="A108" t="s">
        <v>171</v>
      </c>
      <c r="B108" t="s">
        <v>173</v>
      </c>
      <c r="C108" s="72" t="n">
        <v>2040</v>
      </c>
      <c r="D108" t="s">
        <v>238</v>
      </c>
      <c r="E108" s="73" t="n">
        <v>1192647.24227889</v>
      </c>
      <c r="F108" s="74" t="n">
        <v>249895.462759109</v>
      </c>
      <c r="G108" s="75" t="n">
        <v>1192634.43006365</v>
      </c>
      <c r="H108" s="76" t="n">
        <v>249894.478827588</v>
      </c>
      <c r="I108" s="77" t="str">
        <f>H108-F108</f>
      </c>
      <c r="J108" s="78" t="str">
        <f>G108-E108</f>
      </c>
    </row>
    <row r="109">
      <c r="A109" t="s">
        <v>171</v>
      </c>
      <c r="B109" t="s">
        <v>173</v>
      </c>
      <c r="C109" s="72" t="n">
        <v>2040</v>
      </c>
      <c r="D109" t="s">
        <v>184</v>
      </c>
      <c r="E109" s="73" t="n">
        <v>138633.371023763</v>
      </c>
      <c r="F109" s="74" t="n">
        <v>93599.7334283519</v>
      </c>
      <c r="G109" s="75" t="n">
        <v>138689.796610277</v>
      </c>
      <c r="H109" s="76" t="n">
        <v>93636.8967600593</v>
      </c>
      <c r="I109" s="77" t="str">
        <f>H109-F109</f>
      </c>
      <c r="J109" s="78" t="str">
        <f>G109-E109</f>
      </c>
    </row>
    <row r="110">
      <c r="A110" t="s">
        <v>171</v>
      </c>
      <c r="B110" t="s">
        <v>173</v>
      </c>
      <c r="C110" s="72" t="n">
        <v>2040</v>
      </c>
      <c r="D110" t="s">
        <v>187</v>
      </c>
      <c r="E110" s="73" t="n">
        <v>450732.36155971</v>
      </c>
      <c r="F110" s="74" t="n">
        <v>418520.958683731</v>
      </c>
      <c r="G110" s="75" t="n">
        <v>450841.764596063</v>
      </c>
      <c r="H110" s="76" t="n">
        <v>418620.908948174</v>
      </c>
      <c r="I110" s="77" t="str">
        <f>H110-F110</f>
      </c>
      <c r="J110" s="78" t="str">
        <f>G110-E110</f>
      </c>
    </row>
    <row r="111">
      <c r="A111" t="s">
        <v>171</v>
      </c>
      <c r="B111" t="s">
        <v>173</v>
      </c>
      <c r="C111" s="72" t="n">
        <v>2040</v>
      </c>
      <c r="D111" t="s">
        <v>190</v>
      </c>
      <c r="E111" s="73" t="n">
        <v>777018.105173262</v>
      </c>
      <c r="F111" s="74" t="n">
        <v>484910.759871028</v>
      </c>
      <c r="G111" s="75" t="n">
        <v>777088.496702091</v>
      </c>
      <c r="H111" s="76" t="n">
        <v>484947.105425179</v>
      </c>
      <c r="I111" s="77" t="str">
        <f>H111-F111</f>
      </c>
      <c r="J111" s="78" t="str">
        <f>G111-E111</f>
      </c>
    </row>
    <row r="112">
      <c r="A112" t="s">
        <v>171</v>
      </c>
      <c r="B112" t="s">
        <v>173</v>
      </c>
      <c r="C112" s="72" t="n">
        <v>2040</v>
      </c>
      <c r="D112" t="s">
        <v>193</v>
      </c>
      <c r="E112" s="73" t="n">
        <v>589227.832125024</v>
      </c>
      <c r="F112" s="74" t="n">
        <v>337978.421586068</v>
      </c>
      <c r="G112" s="75" t="n">
        <v>589359.733832842</v>
      </c>
      <c r="H112" s="76" t="n">
        <v>338039.010430446</v>
      </c>
      <c r="I112" s="77" t="str">
        <f>H112-F112</f>
      </c>
      <c r="J112" s="78" t="str">
        <f>G112-E112</f>
      </c>
    </row>
    <row r="113">
      <c r="A113" t="s">
        <v>171</v>
      </c>
      <c r="B113" t="s">
        <v>173</v>
      </c>
      <c r="C113" s="72" t="n">
        <v>2040</v>
      </c>
      <c r="D113" t="s">
        <v>424</v>
      </c>
      <c r="E113" s="73" t="n">
        <v>43464.9312481396</v>
      </c>
      <c r="F113" s="74" t="n">
        <v>7573.72847381051</v>
      </c>
      <c r="G113" s="75" t="n">
        <v>43464.8596818836</v>
      </c>
      <c r="H113" s="76" t="n">
        <v>7573.72556082699</v>
      </c>
      <c r="I113" s="77" t="str">
        <f>H113-F113</f>
      </c>
      <c r="J113" s="78" t="str">
        <f>G113-E113</f>
      </c>
    </row>
    <row r="114">
      <c r="A114" t="s">
        <v>171</v>
      </c>
      <c r="B114" t="s">
        <v>173</v>
      </c>
      <c r="C114" s="72" t="n">
        <v>2041</v>
      </c>
      <c r="D114" t="s">
        <v>176</v>
      </c>
      <c r="E114" s="73" t="n">
        <v>19724.6855644495</v>
      </c>
      <c r="F114" s="74" t="n">
        <v>13989.7817356535</v>
      </c>
      <c r="G114" s="75" t="n">
        <v>19727.283486384</v>
      </c>
      <c r="H114" s="76" t="n">
        <v>13991.6066902828</v>
      </c>
      <c r="I114" s="77" t="str">
        <f>H114-F114</f>
      </c>
      <c r="J114" s="78" t="str">
        <f>G114-E114</f>
      </c>
    </row>
    <row r="115">
      <c r="A115" t="s">
        <v>171</v>
      </c>
      <c r="B115" t="s">
        <v>173</v>
      </c>
      <c r="C115" s="72" t="n">
        <v>2041</v>
      </c>
      <c r="D115" t="s">
        <v>238</v>
      </c>
      <c r="E115" s="73" t="n">
        <v>1200002.38891914</v>
      </c>
      <c r="F115" s="74" t="n">
        <v>257600.233042739</v>
      </c>
      <c r="G115" s="75" t="n">
        <v>1199988.17586749</v>
      </c>
      <c r="H115" s="76" t="n">
        <v>257599.044002988</v>
      </c>
      <c r="I115" s="77" t="str">
        <f>H115-F115</f>
      </c>
      <c r="J115" s="78" t="str">
        <f>G115-E115</f>
      </c>
    </row>
    <row r="116">
      <c r="A116" t="s">
        <v>171</v>
      </c>
      <c r="B116" t="s">
        <v>173</v>
      </c>
      <c r="C116" s="72" t="n">
        <v>2041</v>
      </c>
      <c r="D116" t="s">
        <v>184</v>
      </c>
      <c r="E116" s="73" t="n">
        <v>141418.417396166</v>
      </c>
      <c r="F116" s="74" t="n">
        <v>95488.8299034527</v>
      </c>
      <c r="G116" s="75" t="n">
        <v>141475.570851386</v>
      </c>
      <c r="H116" s="76" t="n">
        <v>95527.0063786807</v>
      </c>
      <c r="I116" s="77" t="str">
        <f>H116-F116</f>
      </c>
      <c r="J116" s="78" t="str">
        <f>G116-E116</f>
      </c>
    </row>
    <row r="117">
      <c r="A117" t="s">
        <v>171</v>
      </c>
      <c r="B117" t="s">
        <v>173</v>
      </c>
      <c r="C117" s="72" t="n">
        <v>2041</v>
      </c>
      <c r="D117" t="s">
        <v>187</v>
      </c>
      <c r="E117" s="73" t="n">
        <v>457587.970772867</v>
      </c>
      <c r="F117" s="74" t="n">
        <v>424904.549808332</v>
      </c>
      <c r="G117" s="75" t="n">
        <v>457698.128134802</v>
      </c>
      <c r="H117" s="76" t="n">
        <v>425005.77720965</v>
      </c>
      <c r="I117" s="77" t="str">
        <f>H117-F117</f>
      </c>
      <c r="J117" s="78" t="str">
        <f>G117-E117</f>
      </c>
    </row>
    <row r="118">
      <c r="A118" t="s">
        <v>171</v>
      </c>
      <c r="B118" t="s">
        <v>173</v>
      </c>
      <c r="C118" s="72" t="n">
        <v>2041</v>
      </c>
      <c r="D118" t="s">
        <v>190</v>
      </c>
      <c r="E118" s="73" t="n">
        <v>788223.707498812</v>
      </c>
      <c r="F118" s="74" t="n">
        <v>494353.068474532</v>
      </c>
      <c r="G118" s="75" t="n">
        <v>788293.242756689</v>
      </c>
      <c r="H118" s="76" t="n">
        <v>494390.873248259</v>
      </c>
      <c r="I118" s="77" t="str">
        <f>H118-F118</f>
      </c>
      <c r="J118" s="78" t="str">
        <f>G118-E118</f>
      </c>
    </row>
    <row r="119">
      <c r="A119" t="s">
        <v>171</v>
      </c>
      <c r="B119" t="s">
        <v>173</v>
      </c>
      <c r="C119" s="72" t="n">
        <v>2041</v>
      </c>
      <c r="D119" t="s">
        <v>193</v>
      </c>
      <c r="E119" s="73" t="n">
        <v>601022.798755229</v>
      </c>
      <c r="F119" s="74" t="n">
        <v>347861.322887315</v>
      </c>
      <c r="G119" s="75" t="n">
        <v>601155.340946961</v>
      </c>
      <c r="H119" s="76" t="n">
        <v>347924.766327078</v>
      </c>
      <c r="I119" s="77" t="str">
        <f>H119-F119</f>
      </c>
      <c r="J119" s="78" t="str">
        <f>G119-E119</f>
      </c>
    </row>
    <row r="120">
      <c r="A120" t="s">
        <v>171</v>
      </c>
      <c r="B120" t="s">
        <v>173</v>
      </c>
      <c r="C120" s="72" t="n">
        <v>2041</v>
      </c>
      <c r="D120" t="s">
        <v>424</v>
      </c>
      <c r="E120" s="73" t="n">
        <v>43361.0157221002</v>
      </c>
      <c r="F120" s="74" t="n">
        <v>7595.99878891728</v>
      </c>
      <c r="G120" s="75" t="n">
        <v>43360.9356755525</v>
      </c>
      <c r="H120" s="76" t="n">
        <v>7595.99533386821</v>
      </c>
      <c r="I120" s="77" t="str">
        <f>H120-F120</f>
      </c>
      <c r="J120" s="78" t="str">
        <f>G120-E120</f>
      </c>
    </row>
    <row r="121">
      <c r="A121" t="s">
        <v>171</v>
      </c>
      <c r="B121" t="s">
        <v>173</v>
      </c>
      <c r="C121" s="72" t="n">
        <v>2042</v>
      </c>
      <c r="D121" t="s">
        <v>176</v>
      </c>
      <c r="E121" s="73" t="n">
        <v>20219.6751129064</v>
      </c>
      <c r="F121" s="74" t="n">
        <v>14282.7681815688</v>
      </c>
      <c r="G121" s="75" t="n">
        <v>20222.2683991647</v>
      </c>
      <c r="H121" s="76" t="n">
        <v>14284.6169088399</v>
      </c>
      <c r="I121" s="77" t="str">
        <f>H121-F121</f>
      </c>
      <c r="J121" s="78" t="str">
        <f>G121-E121</f>
      </c>
    </row>
    <row r="122">
      <c r="A122" t="s">
        <v>171</v>
      </c>
      <c r="B122" t="s">
        <v>173</v>
      </c>
      <c r="C122" s="72" t="n">
        <v>2042</v>
      </c>
      <c r="D122" t="s">
        <v>238</v>
      </c>
      <c r="E122" s="73" t="n">
        <v>1206815.19460476</v>
      </c>
      <c r="F122" s="74" t="n">
        <v>265290.821373671</v>
      </c>
      <c r="G122" s="75" t="n">
        <v>1206799.58929471</v>
      </c>
      <c r="H122" s="76" t="n">
        <v>265289.409116733</v>
      </c>
      <c r="I122" s="77" t="str">
        <f>H122-F122</f>
      </c>
      <c r="J122" s="78" t="str">
        <f>G122-E122</f>
      </c>
    </row>
    <row r="123">
      <c r="A123" t="s">
        <v>171</v>
      </c>
      <c r="B123" t="s">
        <v>173</v>
      </c>
      <c r="C123" s="72" t="n">
        <v>2042</v>
      </c>
      <c r="D123" t="s">
        <v>184</v>
      </c>
      <c r="E123" s="73" t="n">
        <v>144190.202691542</v>
      </c>
      <c r="F123" s="74" t="n">
        <v>97367.0613787119</v>
      </c>
      <c r="G123" s="75" t="n">
        <v>144248.066926011</v>
      </c>
      <c r="H123" s="76" t="n">
        <v>97406.1569770963</v>
      </c>
      <c r="I123" s="77" t="str">
        <f>H123-F123</f>
      </c>
      <c r="J123" s="78" t="str">
        <f>G123-E123</f>
      </c>
    </row>
    <row r="124">
      <c r="A124" t="s">
        <v>171</v>
      </c>
      <c r="B124" t="s">
        <v>173</v>
      </c>
      <c r="C124" s="72" t="n">
        <v>2042</v>
      </c>
      <c r="D124" t="s">
        <v>187</v>
      </c>
      <c r="E124" s="73" t="n">
        <v>464376.164567932</v>
      </c>
      <c r="F124" s="74" t="n">
        <v>431294.641511768</v>
      </c>
      <c r="G124" s="75" t="n">
        <v>464487.038990191</v>
      </c>
      <c r="H124" s="76" t="n">
        <v>431397.042999706</v>
      </c>
      <c r="I124" s="77" t="str">
        <f>H124-F124</f>
      </c>
      <c r="J124" s="78" t="str">
        <f>G124-E124</f>
      </c>
    </row>
    <row r="125">
      <c r="A125" t="s">
        <v>171</v>
      </c>
      <c r="B125" t="s">
        <v>173</v>
      </c>
      <c r="C125" s="72" t="n">
        <v>2042</v>
      </c>
      <c r="D125" t="s">
        <v>190</v>
      </c>
      <c r="E125" s="73" t="n">
        <v>799156.882627125</v>
      </c>
      <c r="F125" s="74" t="n">
        <v>503564.7300172</v>
      </c>
      <c r="G125" s="75" t="n">
        <v>799225.499121645</v>
      </c>
      <c r="H125" s="76" t="n">
        <v>503603.803809569</v>
      </c>
      <c r="I125" s="77" t="str">
        <f>H125-F125</f>
      </c>
      <c r="J125" s="78" t="str">
        <f>G125-E125</f>
      </c>
    </row>
    <row r="126">
      <c r="A126" t="s">
        <v>171</v>
      </c>
      <c r="B126" t="s">
        <v>173</v>
      </c>
      <c r="C126" s="72" t="n">
        <v>2042</v>
      </c>
      <c r="D126" t="s">
        <v>193</v>
      </c>
      <c r="E126" s="73" t="n">
        <v>612531.100022407</v>
      </c>
      <c r="F126" s="74" t="n">
        <v>357864.811864224</v>
      </c>
      <c r="G126" s="75" t="n">
        <v>612664.177038008</v>
      </c>
      <c r="H126" s="76" t="n">
        <v>357930.939504437</v>
      </c>
      <c r="I126" s="77" t="str">
        <f>H126-F126</f>
      </c>
      <c r="J126" s="78" t="str">
        <f>G126-E126</f>
      </c>
    </row>
    <row r="127">
      <c r="A127" t="s">
        <v>171</v>
      </c>
      <c r="B127" t="s">
        <v>173</v>
      </c>
      <c r="C127" s="72" t="n">
        <v>2042</v>
      </c>
      <c r="D127" t="s">
        <v>424</v>
      </c>
      <c r="E127" s="73" t="n">
        <v>43278.8171390954</v>
      </c>
      <c r="F127" s="74" t="n">
        <v>7616.59683898372</v>
      </c>
      <c r="G127" s="75" t="n">
        <v>43278.7284816073</v>
      </c>
      <c r="H127" s="76" t="n">
        <v>7616.59280355029</v>
      </c>
      <c r="I127" s="77" t="str">
        <f>H127-F127</f>
      </c>
      <c r="J127" s="78" t="str">
        <f>G127-E127</f>
      </c>
    </row>
    <row r="128">
      <c r="A128" t="s">
        <v>171</v>
      </c>
      <c r="B128" t="s">
        <v>173</v>
      </c>
      <c r="C128" s="72" t="n">
        <v>2043</v>
      </c>
      <c r="D128" t="s">
        <v>176</v>
      </c>
      <c r="E128" s="73" t="n">
        <v>20717.9628246826</v>
      </c>
      <c r="F128" s="74" t="n">
        <v>14571.0161366056</v>
      </c>
      <c r="G128" s="75" t="n">
        <v>20720.5482054553</v>
      </c>
      <c r="H128" s="76" t="n">
        <v>14572.8831532714</v>
      </c>
      <c r="I128" s="77" t="str">
        <f>H128-F128</f>
      </c>
      <c r="J128" s="78" t="str">
        <f>G128-E128</f>
      </c>
    </row>
    <row r="129">
      <c r="A129" t="s">
        <v>171</v>
      </c>
      <c r="B129" t="s">
        <v>173</v>
      </c>
      <c r="C129" s="72" t="n">
        <v>2043</v>
      </c>
      <c r="D129" t="s">
        <v>238</v>
      </c>
      <c r="E129" s="73" t="n">
        <v>1213066.24815852</v>
      </c>
      <c r="F129" s="74" t="n">
        <v>272952.088276483</v>
      </c>
      <c r="G129" s="75" t="n">
        <v>1213049.26096591</v>
      </c>
      <c r="H129" s="76" t="n">
        <v>272950.435419178</v>
      </c>
      <c r="I129" s="77" t="str">
        <f>H129-F129</f>
      </c>
      <c r="J129" s="78" t="str">
        <f>G129-E129</f>
      </c>
    </row>
    <row r="130">
      <c r="A130" t="s">
        <v>171</v>
      </c>
      <c r="B130" t="s">
        <v>173</v>
      </c>
      <c r="C130" s="72" t="n">
        <v>2043</v>
      </c>
      <c r="D130" t="s">
        <v>184</v>
      </c>
      <c r="E130" s="73" t="n">
        <v>146935.262431098</v>
      </c>
      <c r="F130" s="74" t="n">
        <v>99231.456697996</v>
      </c>
      <c r="G130" s="75" t="n">
        <v>146993.814208207</v>
      </c>
      <c r="H130" s="76" t="n">
        <v>99271.3911680729</v>
      </c>
      <c r="I130" s="77" t="str">
        <f>H130-F130</f>
      </c>
      <c r="J130" s="78" t="str">
        <f>G130-E130</f>
      </c>
    </row>
    <row r="131">
      <c r="A131" t="s">
        <v>171</v>
      </c>
      <c r="B131" t="s">
        <v>173</v>
      </c>
      <c r="C131" s="72" t="n">
        <v>2043</v>
      </c>
      <c r="D131" t="s">
        <v>187</v>
      </c>
      <c r="E131" s="73" t="n">
        <v>471043.298063618</v>
      </c>
      <c r="F131" s="74" t="n">
        <v>437576.525854633</v>
      </c>
      <c r="G131" s="75" t="n">
        <v>471154.839580669</v>
      </c>
      <c r="H131" s="76" t="n">
        <v>437679.988471842</v>
      </c>
      <c r="I131" s="77" t="str">
        <f>H131-F131</f>
      </c>
      <c r="J131" s="78" t="str">
        <f>G131-E131</f>
      </c>
    </row>
    <row r="132">
      <c r="A132" t="s">
        <v>171</v>
      </c>
      <c r="B132" t="s">
        <v>173</v>
      </c>
      <c r="C132" s="72" t="n">
        <v>2043</v>
      </c>
      <c r="D132" t="s">
        <v>190</v>
      </c>
      <c r="E132" s="73" t="n">
        <v>809947.126676237</v>
      </c>
      <c r="F132" s="74" t="n">
        <v>512570.282761036</v>
      </c>
      <c r="G132" s="75" t="n">
        <v>810014.772834319</v>
      </c>
      <c r="H132" s="76" t="n">
        <v>512610.449179313</v>
      </c>
      <c r="I132" s="77" t="str">
        <f>H132-F132</f>
      </c>
      <c r="J132" s="78" t="str">
        <f>G132-E132</f>
      </c>
    </row>
    <row r="133">
      <c r="A133" t="s">
        <v>171</v>
      </c>
      <c r="B133" t="s">
        <v>173</v>
      </c>
      <c r="C133" s="72" t="n">
        <v>2043</v>
      </c>
      <c r="D133" t="s">
        <v>193</v>
      </c>
      <c r="E133" s="73" t="n">
        <v>623819.829204701</v>
      </c>
      <c r="F133" s="74" t="n">
        <v>367890.423949901</v>
      </c>
      <c r="G133" s="75" t="n">
        <v>623953.356494139</v>
      </c>
      <c r="H133" s="76" t="n">
        <v>367959.059248153</v>
      </c>
      <c r="I133" s="77" t="str">
        <f>H133-F133</f>
      </c>
      <c r="J133" s="78" t="str">
        <f>G133-E133</f>
      </c>
    </row>
    <row r="134">
      <c r="A134" t="s">
        <v>171</v>
      </c>
      <c r="B134" t="s">
        <v>173</v>
      </c>
      <c r="C134" s="72" t="n">
        <v>2043</v>
      </c>
      <c r="D134" t="s">
        <v>424</v>
      </c>
      <c r="E134" s="73" t="n">
        <v>43232.2359348885</v>
      </c>
      <c r="F134" s="74" t="n">
        <v>7634.6427519838</v>
      </c>
      <c r="G134" s="75" t="n">
        <v>43232.1385441846</v>
      </c>
      <c r="H134" s="76" t="n">
        <v>7634.63809790975</v>
      </c>
      <c r="I134" s="77" t="str">
        <f>H134-F134</f>
      </c>
      <c r="J134" s="78" t="str">
        <f>G134-E134</f>
      </c>
    </row>
    <row r="135">
      <c r="A135" t="s">
        <v>171</v>
      </c>
      <c r="B135" t="s">
        <v>173</v>
      </c>
      <c r="C135" s="72" t="n">
        <v>2044</v>
      </c>
      <c r="D135" t="s">
        <v>176</v>
      </c>
      <c r="E135" s="73" t="n">
        <v>21217.6736174212</v>
      </c>
      <c r="F135" s="74" t="n">
        <v>14859.5513772184</v>
      </c>
      <c r="G135" s="75" t="n">
        <v>21220.2473713984</v>
      </c>
      <c r="H135" s="76" t="n">
        <v>14861.4315691186</v>
      </c>
      <c r="I135" s="77" t="str">
        <f>H135-F135</f>
      </c>
      <c r="J135" s="78" t="str">
        <f>G135-E135</f>
      </c>
    </row>
    <row r="136">
      <c r="A136" t="s">
        <v>171</v>
      </c>
      <c r="B136" t="s">
        <v>173</v>
      </c>
      <c r="C136" s="72" t="n">
        <v>2044</v>
      </c>
      <c r="D136" t="s">
        <v>238</v>
      </c>
      <c r="E136" s="73" t="n">
        <v>1219006.82449819</v>
      </c>
      <c r="F136" s="74" t="n">
        <v>280508.351511298</v>
      </c>
      <c r="G136" s="75" t="n">
        <v>1218988.4670045</v>
      </c>
      <c r="H136" s="76" t="n">
        <v>280506.441535508</v>
      </c>
      <c r="I136" s="77" t="str">
        <f>H136-F136</f>
      </c>
      <c r="J136" s="78" t="str">
        <f>G136-E136</f>
      </c>
    </row>
    <row r="137">
      <c r="A137" t="s">
        <v>171</v>
      </c>
      <c r="B137" t="s">
        <v>173</v>
      </c>
      <c r="C137" s="72" t="n">
        <v>2044</v>
      </c>
      <c r="D137" t="s">
        <v>184</v>
      </c>
      <c r="E137" s="73" t="n">
        <v>149637.005099565</v>
      </c>
      <c r="F137" s="74" t="n">
        <v>101071.588547268</v>
      </c>
      <c r="G137" s="75" t="n">
        <v>149696.213967301</v>
      </c>
      <c r="H137" s="76" t="n">
        <v>101112.290089553</v>
      </c>
      <c r="I137" s="77" t="str">
        <f>H137-F137</f>
      </c>
      <c r="J137" s="78" t="str">
        <f>G137-E137</f>
      </c>
    </row>
    <row r="138">
      <c r="A138" t="s">
        <v>171</v>
      </c>
      <c r="B138" t="s">
        <v>173</v>
      </c>
      <c r="C138" s="72" t="n">
        <v>2044</v>
      </c>
      <c r="D138" t="s">
        <v>187</v>
      </c>
      <c r="E138" s="73" t="n">
        <v>477469.183743224</v>
      </c>
      <c r="F138" s="74" t="n">
        <v>443696.226275306</v>
      </c>
      <c r="G138" s="75" t="n">
        <v>477581.314836645</v>
      </c>
      <c r="H138" s="76" t="n">
        <v>443800.637197395</v>
      </c>
      <c r="I138" s="77" t="str">
        <f>H138-F138</f>
      </c>
      <c r="J138" s="78" t="str">
        <f>G138-E138</f>
      </c>
    </row>
    <row r="139">
      <c r="A139" t="s">
        <v>171</v>
      </c>
      <c r="B139" t="s">
        <v>173</v>
      </c>
      <c r="C139" s="72" t="n">
        <v>2044</v>
      </c>
      <c r="D139" t="s">
        <v>190</v>
      </c>
      <c r="E139" s="73" t="n">
        <v>820675.739552593</v>
      </c>
      <c r="F139" s="74" t="n">
        <v>521379.073337682</v>
      </c>
      <c r="G139" s="75" t="n">
        <v>820742.370121934</v>
      </c>
      <c r="H139" s="76" t="n">
        <v>521420.170330997</v>
      </c>
      <c r="I139" s="77" t="str">
        <f>H139-F139</f>
      </c>
      <c r="J139" s="78" t="str">
        <f>G139-E139</f>
      </c>
    </row>
    <row r="140">
      <c r="A140" t="s">
        <v>171</v>
      </c>
      <c r="B140" t="s">
        <v>173</v>
      </c>
      <c r="C140" s="72" t="n">
        <v>2044</v>
      </c>
      <c r="D140" t="s">
        <v>193</v>
      </c>
      <c r="E140" s="73" t="n">
        <v>634890.6468486</v>
      </c>
      <c r="F140" s="74" t="n">
        <v>377847.625421537</v>
      </c>
      <c r="G140" s="75" t="n">
        <v>635024.546467649</v>
      </c>
      <c r="H140" s="76" t="n">
        <v>377918.589898958</v>
      </c>
      <c r="I140" s="77" t="str">
        <f>H140-F140</f>
      </c>
      <c r="J140" s="78" t="str">
        <f>G140-E140</f>
      </c>
    </row>
    <row r="141">
      <c r="A141" t="s">
        <v>171</v>
      </c>
      <c r="B141" t="s">
        <v>173</v>
      </c>
      <c r="C141" s="72" t="n">
        <v>2044</v>
      </c>
      <c r="D141" t="s">
        <v>424</v>
      </c>
      <c r="E141" s="73" t="n">
        <v>43202.7362685444</v>
      </c>
      <c r="F141" s="74" t="n">
        <v>7652.72713651874</v>
      </c>
      <c r="G141" s="75" t="n">
        <v>43202.6300388595</v>
      </c>
      <c r="H141" s="76" t="n">
        <v>7652.72182573668</v>
      </c>
      <c r="I141" s="77" t="str">
        <f>H141-F141</f>
      </c>
      <c r="J141" s="78" t="str">
        <f>G141-E141</f>
      </c>
    </row>
    <row r="142">
      <c r="A142" t="s">
        <v>171</v>
      </c>
      <c r="B142" t="s">
        <v>173</v>
      </c>
      <c r="C142" s="72" t="n">
        <v>2045</v>
      </c>
      <c r="D142" t="s">
        <v>176</v>
      </c>
      <c r="E142" s="73" t="n">
        <v>21715.0585486237</v>
      </c>
      <c r="F142" s="74" t="n">
        <v>15146.4095126366</v>
      </c>
      <c r="G142" s="75" t="n">
        <v>21717.6165215297</v>
      </c>
      <c r="H142" s="76" t="n">
        <v>15148.2979562423</v>
      </c>
      <c r="I142" s="77" t="str">
        <f>H142-F142</f>
      </c>
      <c r="J142" s="78" t="str">
        <f>G142-E142</f>
      </c>
    </row>
    <row r="143">
      <c r="A143" t="s">
        <v>171</v>
      </c>
      <c r="B143" t="s">
        <v>173</v>
      </c>
      <c r="C143" s="72" t="n">
        <v>2045</v>
      </c>
      <c r="D143" t="s">
        <v>238</v>
      </c>
      <c r="E143" s="73" t="n">
        <v>1224688.67868987</v>
      </c>
      <c r="F143" s="74" t="n">
        <v>287927.225961676</v>
      </c>
      <c r="G143" s="75" t="n">
        <v>1224668.96644768</v>
      </c>
      <c r="H143" s="76" t="n">
        <v>287925.043222784</v>
      </c>
      <c r="I143" s="77" t="str">
        <f>H143-F143</f>
      </c>
      <c r="J143" s="78" t="str">
        <f>G143-E143</f>
      </c>
    </row>
    <row r="144">
      <c r="A144" t="s">
        <v>171</v>
      </c>
      <c r="B144" t="s">
        <v>173</v>
      </c>
      <c r="C144" s="72" t="n">
        <v>2045</v>
      </c>
      <c r="D144" t="s">
        <v>184</v>
      </c>
      <c r="E144" s="73" t="n">
        <v>152278.223881972</v>
      </c>
      <c r="F144" s="74" t="n">
        <v>102893.905632549</v>
      </c>
      <c r="G144" s="75" t="n">
        <v>152338.052815886</v>
      </c>
      <c r="H144" s="76" t="n">
        <v>102935.314985138</v>
      </c>
      <c r="I144" s="77" t="str">
        <f>H144-F144</f>
      </c>
      <c r="J144" s="78" t="str">
        <f>G144-E144</f>
      </c>
    </row>
    <row r="145">
      <c r="A145" t="s">
        <v>171</v>
      </c>
      <c r="B145" t="s">
        <v>173</v>
      </c>
      <c r="C145" s="72" t="n">
        <v>2045</v>
      </c>
      <c r="D145" t="s">
        <v>187</v>
      </c>
      <c r="E145" s="73" t="n">
        <v>483610.879661574</v>
      </c>
      <c r="F145" s="74" t="n">
        <v>449612.311537273</v>
      </c>
      <c r="G145" s="75" t="n">
        <v>483723.516122198</v>
      </c>
      <c r="H145" s="76" t="n">
        <v>449717.558047709</v>
      </c>
      <c r="I145" s="77" t="str">
        <f>H145-F145</f>
      </c>
      <c r="J145" s="78" t="str">
        <f>G145-E145</f>
      </c>
    </row>
    <row r="146">
      <c r="A146" t="s">
        <v>171</v>
      </c>
      <c r="B146" t="s">
        <v>173</v>
      </c>
      <c r="C146" s="72" t="n">
        <v>2045</v>
      </c>
      <c r="D146" t="s">
        <v>190</v>
      </c>
      <c r="E146" s="73" t="n">
        <v>831404.637716277</v>
      </c>
      <c r="F146" s="74" t="n">
        <v>529952.355310816</v>
      </c>
      <c r="G146" s="75" t="n">
        <v>831470.210098177</v>
      </c>
      <c r="H146" s="76" t="n">
        <v>529994.226959208</v>
      </c>
      <c r="I146" s="77" t="str">
        <f>H146-F146</f>
      </c>
      <c r="J146" s="78" t="str">
        <f>G146-E146</f>
      </c>
    </row>
    <row r="147">
      <c r="A147" t="s">
        <v>171</v>
      </c>
      <c r="B147" t="s">
        <v>173</v>
      </c>
      <c r="C147" s="72" t="n">
        <v>2045</v>
      </c>
      <c r="D147" t="s">
        <v>193</v>
      </c>
      <c r="E147" s="73" t="n">
        <v>645596.279875484</v>
      </c>
      <c r="F147" s="74" t="n">
        <v>387677.563482232</v>
      </c>
      <c r="G147" s="75" t="n">
        <v>645730.44769896</v>
      </c>
      <c r="H147" s="76" t="n">
        <v>387750.678781898</v>
      </c>
      <c r="I147" s="77" t="str">
        <f>H147-F147</f>
      </c>
      <c r="J147" s="78" t="str">
        <f>G147-E147</f>
      </c>
    </row>
    <row r="148">
      <c r="A148" t="s">
        <v>171</v>
      </c>
      <c r="B148" t="s">
        <v>173</v>
      </c>
      <c r="C148" s="72" t="n">
        <v>2045</v>
      </c>
      <c r="D148" t="s">
        <v>424</v>
      </c>
      <c r="E148" s="73" t="n">
        <v>43190.7189051874</v>
      </c>
      <c r="F148" s="74" t="n">
        <v>7672.07423156386</v>
      </c>
      <c r="G148" s="75" t="n">
        <v>43190.6037513161</v>
      </c>
      <c r="H148" s="76" t="n">
        <v>7672.06822678464</v>
      </c>
      <c r="I148" s="77" t="str">
        <f>H148-F148</f>
      </c>
      <c r="J148" s="78" t="str">
        <f>G148-E148</f>
      </c>
    </row>
    <row r="149">
      <c r="A149" t="s">
        <v>171</v>
      </c>
      <c r="B149" t="s">
        <v>173</v>
      </c>
      <c r="C149" s="72" t="n">
        <v>2046</v>
      </c>
      <c r="D149" t="s">
        <v>176</v>
      </c>
      <c r="E149" s="73" t="n">
        <v>22208.4366265397</v>
      </c>
      <c r="F149" s="74" t="n">
        <v>15434.9995522095</v>
      </c>
      <c r="G149" s="75" t="n">
        <v>22210.9745219107</v>
      </c>
      <c r="H149" s="76" t="n">
        <v>15436.8918612077</v>
      </c>
      <c r="I149" s="77" t="str">
        <f>H149-F149</f>
      </c>
      <c r="J149" s="78" t="str">
        <f>G149-E149</f>
      </c>
    </row>
    <row r="150">
      <c r="A150" t="s">
        <v>171</v>
      </c>
      <c r="B150" t="s">
        <v>173</v>
      </c>
      <c r="C150" s="72" t="n">
        <v>2046</v>
      </c>
      <c r="D150" t="s">
        <v>238</v>
      </c>
      <c r="E150" s="73" t="n">
        <v>1230146.11661619</v>
      </c>
      <c r="F150" s="74" t="n">
        <v>295168.347760375</v>
      </c>
      <c r="G150" s="75" t="n">
        <v>1230125.0687767</v>
      </c>
      <c r="H150" s="76" t="n">
        <v>295165.877208802</v>
      </c>
      <c r="I150" s="77" t="str">
        <f>H150-F150</f>
      </c>
      <c r="J150" s="78" t="str">
        <f>G150-E150</f>
      </c>
    </row>
    <row r="151">
      <c r="A151" t="s">
        <v>171</v>
      </c>
      <c r="B151" t="s">
        <v>173</v>
      </c>
      <c r="C151" s="72" t="n">
        <v>2046</v>
      </c>
      <c r="D151" t="s">
        <v>184</v>
      </c>
      <c r="E151" s="73" t="n">
        <v>154858.773173326</v>
      </c>
      <c r="F151" s="74" t="n">
        <v>104689.07241191</v>
      </c>
      <c r="G151" s="75" t="n">
        <v>154919.185199882</v>
      </c>
      <c r="H151" s="76" t="n">
        <v>104731.133984312</v>
      </c>
      <c r="I151" s="77" t="str">
        <f>H151-F151</f>
      </c>
      <c r="J151" s="78" t="str">
        <f>G151-E151</f>
      </c>
    </row>
    <row r="152">
      <c r="A152" t="s">
        <v>171</v>
      </c>
      <c r="B152" t="s">
        <v>173</v>
      </c>
      <c r="C152" s="72" t="n">
        <v>2046</v>
      </c>
      <c r="D152" t="s">
        <v>187</v>
      </c>
      <c r="E152" s="73" t="n">
        <v>489446.515747071</v>
      </c>
      <c r="F152" s="74" t="n">
        <v>455204.129536141</v>
      </c>
      <c r="G152" s="75" t="n">
        <v>489559.569488497</v>
      </c>
      <c r="H152" s="76" t="n">
        <v>455310.080020589</v>
      </c>
      <c r="I152" s="77" t="str">
        <f>H152-F152</f>
      </c>
      <c r="J152" s="78" t="str">
        <f>G152-E152</f>
      </c>
    </row>
    <row r="153">
      <c r="A153" t="s">
        <v>171</v>
      </c>
      <c r="B153" t="s">
        <v>173</v>
      </c>
      <c r="C153" s="72" t="n">
        <v>2046</v>
      </c>
      <c r="D153" t="s">
        <v>190</v>
      </c>
      <c r="E153" s="73" t="n">
        <v>841957.749538955</v>
      </c>
      <c r="F153" s="74" t="n">
        <v>538397.668816492</v>
      </c>
      <c r="G153" s="75" t="n">
        <v>842022.211146035</v>
      </c>
      <c r="H153" s="76" t="n">
        <v>538440.168228285</v>
      </c>
      <c r="I153" s="77" t="str">
        <f>H153-F153</f>
      </c>
      <c r="J153" s="78" t="str">
        <f>G153-E153</f>
      </c>
    </row>
    <row r="154">
      <c r="A154" t="s">
        <v>171</v>
      </c>
      <c r="B154" t="s">
        <v>173</v>
      </c>
      <c r="C154" s="72" t="n">
        <v>2046</v>
      </c>
      <c r="D154" t="s">
        <v>193</v>
      </c>
      <c r="E154" s="73" t="n">
        <v>655888.881721963</v>
      </c>
      <c r="F154" s="74" t="n">
        <v>397356.857405103</v>
      </c>
      <c r="G154" s="75" t="n">
        <v>656023.203848247</v>
      </c>
      <c r="H154" s="76" t="n">
        <v>397431.950602612</v>
      </c>
      <c r="I154" s="77" t="str">
        <f>H154-F154</f>
      </c>
      <c r="J154" s="78" t="str">
        <f>G154-E154</f>
      </c>
    </row>
    <row r="155">
      <c r="A155" t="s">
        <v>171</v>
      </c>
      <c r="B155" t="s">
        <v>173</v>
      </c>
      <c r="C155" s="72" t="n">
        <v>2046</v>
      </c>
      <c r="D155" t="s">
        <v>424</v>
      </c>
      <c r="E155" s="73" t="n">
        <v>43196.4344924821</v>
      </c>
      <c r="F155" s="74" t="n">
        <v>7693.563782053</v>
      </c>
      <c r="G155" s="75" t="n">
        <v>43196.3103231123</v>
      </c>
      <c r="H155" s="76" t="n">
        <v>7693.55704865625</v>
      </c>
      <c r="I155" s="77" t="str">
        <f>H155-F155</f>
      </c>
      <c r="J155" s="78" t="str">
        <f>G155-E155</f>
      </c>
    </row>
    <row r="156">
      <c r="A156" t="s">
        <v>171</v>
      </c>
      <c r="B156" t="s">
        <v>173</v>
      </c>
      <c r="C156" s="72" t="n">
        <v>2047</v>
      </c>
      <c r="D156" t="s">
        <v>176</v>
      </c>
      <c r="E156" s="73" t="n">
        <v>22697.1493341927</v>
      </c>
      <c r="F156" s="74" t="n">
        <v>15726.5933168032</v>
      </c>
      <c r="G156" s="75" t="n">
        <v>22699.6629629007</v>
      </c>
      <c r="H156" s="76" t="n">
        <v>15728.4854947303</v>
      </c>
      <c r="I156" s="77" t="str">
        <f>H156-F156</f>
      </c>
      <c r="J156" s="78" t="str">
        <f>G156-E156</f>
      </c>
    </row>
    <row r="157">
      <c r="A157" t="s">
        <v>171</v>
      </c>
      <c r="B157" t="s">
        <v>173</v>
      </c>
      <c r="C157" s="72" t="n">
        <v>2047</v>
      </c>
      <c r="D157" t="s">
        <v>238</v>
      </c>
      <c r="E157" s="73" t="n">
        <v>1235297.0246018</v>
      </c>
      <c r="F157" s="74" t="n">
        <v>302183.323451809</v>
      </c>
      <c r="G157" s="75" t="n">
        <v>1235274.66521773</v>
      </c>
      <c r="H157" s="76" t="n">
        <v>302180.550312501</v>
      </c>
      <c r="I157" s="77" t="str">
        <f>H157-F157</f>
      </c>
      <c r="J157" s="78" t="str">
        <f>G157-E157</f>
      </c>
    </row>
    <row r="158">
      <c r="A158" t="s">
        <v>171</v>
      </c>
      <c r="B158" t="s">
        <v>173</v>
      </c>
      <c r="C158" s="72" t="n">
        <v>2047</v>
      </c>
      <c r="D158" t="s">
        <v>184</v>
      </c>
      <c r="E158" s="73" t="n">
        <v>157374.980277227</v>
      </c>
      <c r="F158" s="74" t="n">
        <v>106445.01749209</v>
      </c>
      <c r="G158" s="75" t="n">
        <v>157435.937342911</v>
      </c>
      <c r="H158" s="76" t="n">
        <v>106487.677760342</v>
      </c>
      <c r="I158" s="77" t="str">
        <f>H158-F158</f>
      </c>
      <c r="J158" s="78" t="str">
        <f>G158-E158</f>
      </c>
    </row>
    <row r="159">
      <c r="A159" t="s">
        <v>171</v>
      </c>
      <c r="B159" t="s">
        <v>173</v>
      </c>
      <c r="C159" s="72" t="n">
        <v>2047</v>
      </c>
      <c r="D159" t="s">
        <v>187</v>
      </c>
      <c r="E159" s="73" t="n">
        <v>494933.956949102</v>
      </c>
      <c r="F159" s="74" t="n">
        <v>460432.904517646</v>
      </c>
      <c r="G159" s="75" t="n">
        <v>495047.331680699</v>
      </c>
      <c r="H159" s="76" t="n">
        <v>460539.427749469</v>
      </c>
      <c r="I159" s="77" t="str">
        <f>H159-F159</f>
      </c>
      <c r="J159" s="78" t="str">
        <f>G159-E159</f>
      </c>
    </row>
    <row r="160">
      <c r="A160" t="s">
        <v>171</v>
      </c>
      <c r="B160" t="s">
        <v>173</v>
      </c>
      <c r="C160" s="72" t="n">
        <v>2047</v>
      </c>
      <c r="D160" t="s">
        <v>190</v>
      </c>
      <c r="E160" s="73" t="n">
        <v>852293.727371636</v>
      </c>
      <c r="F160" s="74" t="n">
        <v>546849.890910584</v>
      </c>
      <c r="G160" s="75" t="n">
        <v>852357.036896631</v>
      </c>
      <c r="H160" s="76" t="n">
        <v>546892.884748123</v>
      </c>
      <c r="I160" s="77" t="str">
        <f>H160-F160</f>
      </c>
      <c r="J160" s="78" t="str">
        <f>G160-E160</f>
      </c>
    </row>
    <row r="161">
      <c r="A161" t="s">
        <v>171</v>
      </c>
      <c r="B161" t="s">
        <v>173</v>
      </c>
      <c r="C161" s="72" t="n">
        <v>2047</v>
      </c>
      <c r="D161" t="s">
        <v>193</v>
      </c>
      <c r="E161" s="73" t="n">
        <v>665826.156318003</v>
      </c>
      <c r="F161" s="74" t="n">
        <v>406861.414341622</v>
      </c>
      <c r="G161" s="75" t="n">
        <v>665960.530537607</v>
      </c>
      <c r="H161" s="76" t="n">
        <v>406938.309858621</v>
      </c>
      <c r="I161" s="77" t="str">
        <f>H161-F161</f>
      </c>
      <c r="J161" s="78" t="str">
        <f>G161-E161</f>
      </c>
    </row>
    <row r="162">
      <c r="A162" t="s">
        <v>171</v>
      </c>
      <c r="B162" t="s">
        <v>173</v>
      </c>
      <c r="C162" s="72" t="n">
        <v>2047</v>
      </c>
      <c r="D162" t="s">
        <v>424</v>
      </c>
      <c r="E162" s="73" t="n">
        <v>43217.7674730384</v>
      </c>
      <c r="F162" s="74" t="n">
        <v>7716.27201926759</v>
      </c>
      <c r="G162" s="75" t="n">
        <v>43217.6341923504</v>
      </c>
      <c r="H162" s="76" t="n">
        <v>7716.26452507886</v>
      </c>
      <c r="I162" s="77" t="str">
        <f>H162-F162</f>
      </c>
      <c r="J162" s="78" t="str">
        <f>G162-E162</f>
      </c>
    </row>
    <row r="163">
      <c r="A163" t="s">
        <v>171</v>
      </c>
      <c r="B163" t="s">
        <v>173</v>
      </c>
      <c r="C163" s="72" t="n">
        <v>2048</v>
      </c>
      <c r="D163" t="s">
        <v>176</v>
      </c>
      <c r="E163" s="73" t="n">
        <v>23177.2925104279</v>
      </c>
      <c r="F163" s="74" t="n">
        <v>16023.3303504137</v>
      </c>
      <c r="G163" s="75" t="n">
        <v>23179.7775298232</v>
      </c>
      <c r="H163" s="76" t="n">
        <v>16025.2187605858</v>
      </c>
      <c r="I163" s="77" t="str">
        <f>H163-F163</f>
      </c>
      <c r="J163" s="78" t="str">
        <f>G163-E163</f>
      </c>
    </row>
    <row r="164">
      <c r="A164" t="s">
        <v>171</v>
      </c>
      <c r="B164" t="s">
        <v>173</v>
      </c>
      <c r="C164" s="72" t="n">
        <v>2048</v>
      </c>
      <c r="D164" t="s">
        <v>238</v>
      </c>
      <c r="E164" s="73" t="n">
        <v>1240232.74740273</v>
      </c>
      <c r="F164" s="74" t="n">
        <v>308967.399716999</v>
      </c>
      <c r="G164" s="75" t="n">
        <v>1240209.10376068</v>
      </c>
      <c r="H164" s="76" t="n">
        <v>308964.310377282</v>
      </c>
      <c r="I164" s="77" t="str">
        <f>H164-F164</f>
      </c>
      <c r="J164" s="78" t="str">
        <f>G164-E164</f>
      </c>
    </row>
    <row r="165">
      <c r="A165" t="s">
        <v>171</v>
      </c>
      <c r="B165" t="s">
        <v>173</v>
      </c>
      <c r="C165" s="72" t="n">
        <v>2048</v>
      </c>
      <c r="D165" t="s">
        <v>184</v>
      </c>
      <c r="E165" s="73" t="n">
        <v>159815.607920721</v>
      </c>
      <c r="F165" s="74" t="n">
        <v>108162.096818995</v>
      </c>
      <c r="G165" s="75" t="n">
        <v>159877.069557409</v>
      </c>
      <c r="H165" s="76" t="n">
        <v>108205.309376064</v>
      </c>
      <c r="I165" s="77" t="str">
        <f>H165-F165</f>
      </c>
      <c r="J165" s="78" t="str">
        <f>G165-E165</f>
      </c>
    </row>
    <row r="166">
      <c r="A166" t="s">
        <v>171</v>
      </c>
      <c r="B166" t="s">
        <v>173</v>
      </c>
      <c r="C166" s="72" t="n">
        <v>2048</v>
      </c>
      <c r="D166" t="s">
        <v>187</v>
      </c>
      <c r="E166" s="73" t="n">
        <v>500138.342175577</v>
      </c>
      <c r="F166" s="74" t="n">
        <v>465451.467371342</v>
      </c>
      <c r="G166" s="75" t="n">
        <v>500251.963676638</v>
      </c>
      <c r="H166" s="76" t="n">
        <v>465558.478994868</v>
      </c>
      <c r="I166" s="77" t="str">
        <f>H166-F166</f>
      </c>
      <c r="J166" s="78" t="str">
        <f>G166-E166</f>
      </c>
    </row>
    <row r="167">
      <c r="A167" t="s">
        <v>171</v>
      </c>
      <c r="B167" t="s">
        <v>173</v>
      </c>
      <c r="C167" s="72" t="n">
        <v>2048</v>
      </c>
      <c r="D167" t="s">
        <v>190</v>
      </c>
      <c r="E167" s="73" t="n">
        <v>862359.081298826</v>
      </c>
      <c r="F167" s="74" t="n">
        <v>555175.896494733</v>
      </c>
      <c r="G167" s="75" t="n">
        <v>862421.197666068</v>
      </c>
      <c r="H167" s="76" t="n">
        <v>555219.254274076</v>
      </c>
      <c r="I167" s="77" t="str">
        <f>H167-F167</f>
      </c>
      <c r="J167" s="78" t="str">
        <f>G167-E167</f>
      </c>
    </row>
    <row r="168">
      <c r="A168" t="s">
        <v>171</v>
      </c>
      <c r="B168" t="s">
        <v>173</v>
      </c>
      <c r="C168" s="72" t="n">
        <v>2048</v>
      </c>
      <c r="D168" t="s">
        <v>193</v>
      </c>
      <c r="E168" s="73" t="n">
        <v>675403.734977578</v>
      </c>
      <c r="F168" s="74" t="n">
        <v>416142.628055871</v>
      </c>
      <c r="G168" s="75" t="n">
        <v>675538.067131439</v>
      </c>
      <c r="H168" s="76" t="n">
        <v>416221.145643516</v>
      </c>
      <c r="I168" s="77" t="str">
        <f>H168-F168</f>
      </c>
      <c r="J168" s="78" t="str">
        <f>G168-E168</f>
      </c>
    </row>
    <row r="169">
      <c r="A169" t="s">
        <v>171</v>
      </c>
      <c r="B169" t="s">
        <v>173</v>
      </c>
      <c r="C169" s="72" t="n">
        <v>2048</v>
      </c>
      <c r="D169" t="s">
        <v>424</v>
      </c>
      <c r="E169" s="73" t="n">
        <v>43247.2590150108</v>
      </c>
      <c r="F169" s="74" t="n">
        <v>7740.97651881566</v>
      </c>
      <c r="G169" s="75" t="n">
        <v>43247.1165682685</v>
      </c>
      <c r="H169" s="76" t="n">
        <v>7740.96823230914</v>
      </c>
      <c r="I169" s="77" t="str">
        <f>H169-F169</f>
      </c>
      <c r="J169" s="78" t="str">
        <f>G169-E169</f>
      </c>
    </row>
    <row r="170">
      <c r="A170" t="s">
        <v>171</v>
      </c>
      <c r="B170" t="s">
        <v>173</v>
      </c>
      <c r="C170" s="72" t="n">
        <v>2049</v>
      </c>
      <c r="D170" t="s">
        <v>176</v>
      </c>
      <c r="E170" s="73" t="n">
        <v>23647.9089009194</v>
      </c>
      <c r="F170" s="74" t="n">
        <v>16320.7298900458</v>
      </c>
      <c r="G170" s="75" t="n">
        <v>23650.3614840449</v>
      </c>
      <c r="H170" s="76" t="n">
        <v>16322.61151708</v>
      </c>
      <c r="I170" s="77" t="str">
        <f>H170-F170</f>
      </c>
      <c r="J170" s="78" t="str">
        <f>G170-E170</f>
      </c>
    </row>
    <row r="171">
      <c r="A171" t="s">
        <v>171</v>
      </c>
      <c r="B171" t="s">
        <v>173</v>
      </c>
      <c r="C171" s="72" t="n">
        <v>2049</v>
      </c>
      <c r="D171" t="s">
        <v>238</v>
      </c>
      <c r="E171" s="73" t="n">
        <v>1244983.27632385</v>
      </c>
      <c r="F171" s="74" t="n">
        <v>315532.072460364</v>
      </c>
      <c r="G171" s="75" t="n">
        <v>1244958.37630862</v>
      </c>
      <c r="H171" s="76" t="n">
        <v>315528.654574656</v>
      </c>
      <c r="I171" s="77" t="str">
        <f>H171-F171</f>
      </c>
      <c r="J171" s="78" t="str">
        <f>G171-E171</f>
      </c>
    </row>
    <row r="172">
      <c r="A172" t="s">
        <v>171</v>
      </c>
      <c r="B172" t="s">
        <v>173</v>
      </c>
      <c r="C172" s="72" t="n">
        <v>2049</v>
      </c>
      <c r="D172" t="s">
        <v>184</v>
      </c>
      <c r="E172" s="73" t="n">
        <v>162176.208401715</v>
      </c>
      <c r="F172" s="74" t="n">
        <v>109838.647625923</v>
      </c>
      <c r="G172" s="75" t="n">
        <v>162238.134685625</v>
      </c>
      <c r="H172" s="76" t="n">
        <v>109882.371148655</v>
      </c>
      <c r="I172" s="77" t="str">
        <f>H172-F172</f>
      </c>
      <c r="J172" s="78" t="str">
        <f>G172-E172</f>
      </c>
    </row>
    <row r="173">
      <c r="A173" t="s">
        <v>171</v>
      </c>
      <c r="B173" t="s">
        <v>173</v>
      </c>
      <c r="C173" s="72" t="n">
        <v>2049</v>
      </c>
      <c r="D173" t="s">
        <v>187</v>
      </c>
      <c r="E173" s="73" t="n">
        <v>505102.091026706</v>
      </c>
      <c r="F173" s="74" t="n">
        <v>470276.449499119</v>
      </c>
      <c r="G173" s="75" t="n">
        <v>505215.900508139</v>
      </c>
      <c r="H173" s="76" t="n">
        <v>470383.880162835</v>
      </c>
      <c r="I173" s="77" t="str">
        <f>H173-F173</f>
      </c>
      <c r="J173" s="78" t="str">
        <f>G173-E173</f>
      </c>
    </row>
    <row r="174">
      <c r="A174" t="s">
        <v>171</v>
      </c>
      <c r="B174" t="s">
        <v>173</v>
      </c>
      <c r="C174" s="72" t="n">
        <v>2049</v>
      </c>
      <c r="D174" t="s">
        <v>190</v>
      </c>
      <c r="E174" s="73" t="n">
        <v>871978.541748471</v>
      </c>
      <c r="F174" s="74" t="n">
        <v>563294.170232177</v>
      </c>
      <c r="G174" s="75" t="n">
        <v>872039.412561908</v>
      </c>
      <c r="H174" s="76" t="n">
        <v>563337.765593671</v>
      </c>
      <c r="I174" s="77" t="str">
        <f>H174-F174</f>
      </c>
      <c r="J174" s="78" t="str">
        <f>G174-E174</f>
      </c>
    </row>
    <row r="175">
      <c r="A175" t="s">
        <v>171</v>
      </c>
      <c r="B175" t="s">
        <v>173</v>
      </c>
      <c r="C175" s="72" t="n">
        <v>2049</v>
      </c>
      <c r="D175" t="s">
        <v>193</v>
      </c>
      <c r="E175" s="73" t="n">
        <v>684665.304925358</v>
      </c>
      <c r="F175" s="74" t="n">
        <v>425131.340415198</v>
      </c>
      <c r="G175" s="75" t="n">
        <v>684799.519243418</v>
      </c>
      <c r="H175" s="76" t="n">
        <v>425211.294806661</v>
      </c>
      <c r="I175" s="77" t="str">
        <f>H175-F175</f>
      </c>
      <c r="J175" s="78" t="str">
        <f>G175-E175</f>
      </c>
    </row>
    <row r="176">
      <c r="A176" t="s">
        <v>171</v>
      </c>
      <c r="B176" t="s">
        <v>173</v>
      </c>
      <c r="C176" s="72" t="n">
        <v>2049</v>
      </c>
      <c r="D176" t="s">
        <v>424</v>
      </c>
      <c r="E176" s="73" t="n">
        <v>43287.8457286077</v>
      </c>
      <c r="F176" s="74" t="n">
        <v>7764.43416674243</v>
      </c>
      <c r="G176" s="75" t="n">
        <v>43287.6941181752</v>
      </c>
      <c r="H176" s="76" t="n">
        <v>7764.42505773382</v>
      </c>
      <c r="I176" s="77" t="str">
        <f>H176-F176</f>
      </c>
      <c r="J176" s="78" t="str">
        <f>G176-E176</f>
      </c>
    </row>
    <row r="177">
      <c r="A177" t="s">
        <v>171</v>
      </c>
      <c r="B177" t="s">
        <v>173</v>
      </c>
      <c r="C177" s="72" t="n">
        <v>2050</v>
      </c>
      <c r="D177" t="s">
        <v>176</v>
      </c>
      <c r="E177" s="73" t="n">
        <v>24108.0139273014</v>
      </c>
      <c r="F177" s="74" t="n">
        <v>16617.0516796114</v>
      </c>
      <c r="G177" s="75" t="n">
        <v>24110.4306261692</v>
      </c>
      <c r="H177" s="76" t="n">
        <v>16618.9237091261</v>
      </c>
      <c r="I177" s="77" t="str">
        <f>H177-F177</f>
      </c>
      <c r="J177" s="78" t="str">
        <f>G177-E177</f>
      </c>
    </row>
    <row r="178">
      <c r="A178" t="s">
        <v>171</v>
      </c>
      <c r="B178" t="s">
        <v>173</v>
      </c>
      <c r="C178" s="72" t="n">
        <v>2050</v>
      </c>
      <c r="D178" t="s">
        <v>238</v>
      </c>
      <c r="E178" s="73" t="n">
        <v>1249601.10914692</v>
      </c>
      <c r="F178" s="74" t="n">
        <v>321869.902976782</v>
      </c>
      <c r="G178" s="75" t="n">
        <v>1249574.98129843</v>
      </c>
      <c r="H178" s="76" t="n">
        <v>321866.145423905</v>
      </c>
      <c r="I178" s="77" t="str">
        <f>H178-F178</f>
      </c>
      <c r="J178" s="78" t="str">
        <f>G178-E178</f>
      </c>
    </row>
    <row r="179">
      <c r="A179" t="s">
        <v>171</v>
      </c>
      <c r="B179" t="s">
        <v>173</v>
      </c>
      <c r="C179" s="72" t="n">
        <v>2050</v>
      </c>
      <c r="D179" t="s">
        <v>184</v>
      </c>
      <c r="E179" s="73" t="n">
        <v>164464.593583029</v>
      </c>
      <c r="F179" s="74" t="n">
        <v>111452.071194188</v>
      </c>
      <c r="G179" s="75" t="n">
        <v>164526.94959842</v>
      </c>
      <c r="H179" s="76" t="n">
        <v>111496.260054028</v>
      </c>
      <c r="I179" s="77" t="str">
        <f>H179-F179</f>
      </c>
      <c r="J179" s="78" t="str">
        <f>G179-E179</f>
      </c>
    </row>
    <row r="180">
      <c r="A180" t="s">
        <v>171</v>
      </c>
      <c r="B180" t="s">
        <v>173</v>
      </c>
      <c r="C180" s="72" t="n">
        <v>2050</v>
      </c>
      <c r="D180" t="s">
        <v>187</v>
      </c>
      <c r="E180" s="73" t="n">
        <v>509809.856479059</v>
      </c>
      <c r="F180" s="74" t="n">
        <v>474785.496398918</v>
      </c>
      <c r="G180" s="75" t="n">
        <v>509923.794653266</v>
      </c>
      <c r="H180" s="76" t="n">
        <v>474893.254554943</v>
      </c>
      <c r="I180" s="77" t="str">
        <f>H180-F180</f>
      </c>
      <c r="J180" s="78" t="str">
        <f>G180-E180</f>
      </c>
    </row>
    <row r="181">
      <c r="A181" t="s">
        <v>171</v>
      </c>
      <c r="B181" t="s">
        <v>173</v>
      </c>
      <c r="C181" s="72" t="n">
        <v>2050</v>
      </c>
      <c r="D181" t="s">
        <v>190</v>
      </c>
      <c r="E181" s="73" t="n">
        <v>881160.626526091</v>
      </c>
      <c r="F181" s="74" t="n">
        <v>571261.407072753</v>
      </c>
      <c r="G181" s="75" t="n">
        <v>881220.210178615</v>
      </c>
      <c r="H181" s="76" t="n">
        <v>571305.130665456</v>
      </c>
      <c r="I181" s="77" t="str">
        <f>H181-F181</f>
      </c>
      <c r="J181" s="78" t="str">
        <f>G181-E181</f>
      </c>
    </row>
    <row r="182">
      <c r="A182" t="s">
        <v>171</v>
      </c>
      <c r="B182" t="s">
        <v>173</v>
      </c>
      <c r="C182" s="72" t="n">
        <v>2050</v>
      </c>
      <c r="D182" t="s">
        <v>193</v>
      </c>
      <c r="E182" s="73" t="n">
        <v>693699.328473084</v>
      </c>
      <c r="F182" s="74" t="n">
        <v>433846.898117812</v>
      </c>
      <c r="G182" s="75" t="n">
        <v>693833.375810026</v>
      </c>
      <c r="H182" s="76" t="n">
        <v>433928.116842437</v>
      </c>
      <c r="I182" s="77" t="str">
        <f>H182-F182</f>
      </c>
      <c r="J182" s="78" t="str">
        <f>G182-E182</f>
      </c>
    </row>
    <row r="183">
      <c r="A183" t="s">
        <v>171</v>
      </c>
      <c r="B183" t="s">
        <v>173</v>
      </c>
      <c r="C183" s="72" t="n">
        <v>2050</v>
      </c>
      <c r="D183" t="s">
        <v>424</v>
      </c>
      <c r="E183" s="73" t="n">
        <v>43337.4948043855</v>
      </c>
      <c r="F183" s="74" t="n">
        <v>7785.60247527959</v>
      </c>
      <c r="G183" s="75" t="n">
        <v>43337.3340718481</v>
      </c>
      <c r="H183" s="76" t="n">
        <v>7785.59251624651</v>
      </c>
      <c r="I183" s="77" t="str">
        <f>H183-F183</f>
      </c>
      <c r="J183" s="78" t="str">
        <f>G183-E183</f>
      </c>
    </row>
    <row r="184">
      <c r="A184" t="s">
        <v>194</v>
      </c>
      <c r="B184" t="s">
        <v>196</v>
      </c>
      <c r="C184" s="72" t="n">
        <v>2025</v>
      </c>
      <c r="D184" t="s">
        <v>176</v>
      </c>
      <c r="E184" s="73" t="n">
        <v>12347.3896757033</v>
      </c>
      <c r="F184" s="74" t="n">
        <v>8975.30849722876</v>
      </c>
      <c r="G184" s="75" t="n">
        <v>12347.3896757033</v>
      </c>
      <c r="H184" s="76" t="n">
        <v>8975.30849722876</v>
      </c>
      <c r="I184" s="77" t="str">
        <f>H184-F184</f>
      </c>
      <c r="J184" s="78" t="str">
        <f>G184-E184</f>
      </c>
    </row>
    <row r="185">
      <c r="A185" t="s">
        <v>194</v>
      </c>
      <c r="B185" t="s">
        <v>196</v>
      </c>
      <c r="C185" s="72" t="n">
        <v>2025</v>
      </c>
      <c r="D185" t="s">
        <v>238</v>
      </c>
      <c r="E185" s="73" t="n">
        <v>1026043.97207164</v>
      </c>
      <c r="F185" s="74" t="n">
        <v>129403.022830672</v>
      </c>
      <c r="G185" s="75" t="n">
        <v>1026043.97207164</v>
      </c>
      <c r="H185" s="76" t="n">
        <v>129403.022830672</v>
      </c>
      <c r="I185" s="77" t="str">
        <f>H185-F185</f>
      </c>
      <c r="J185" s="78" t="str">
        <f>G185-E185</f>
      </c>
    </row>
    <row r="186">
      <c r="A186" t="s">
        <v>194</v>
      </c>
      <c r="B186" t="s">
        <v>196</v>
      </c>
      <c r="C186" s="72" t="n">
        <v>2025</v>
      </c>
      <c r="D186" t="s">
        <v>184</v>
      </c>
      <c r="E186" s="73" t="n">
        <v>91684.5090142746</v>
      </c>
      <c r="F186" s="74" t="n">
        <v>63318.7518252021</v>
      </c>
      <c r="G186" s="75" t="n">
        <v>91684.5090142746</v>
      </c>
      <c r="H186" s="76" t="n">
        <v>63318.7518252021</v>
      </c>
      <c r="I186" s="77" t="str">
        <f>H186-F186</f>
      </c>
      <c r="J186" s="78" t="str">
        <f>G186-E186</f>
      </c>
    </row>
    <row r="187">
      <c r="A187" t="s">
        <v>194</v>
      </c>
      <c r="B187" t="s">
        <v>196</v>
      </c>
      <c r="C187" s="72" t="n">
        <v>2025</v>
      </c>
      <c r="D187" t="s">
        <v>187</v>
      </c>
      <c r="E187" s="73" t="n">
        <v>327817.992111529</v>
      </c>
      <c r="F187" s="74" t="n">
        <v>300216.82861998</v>
      </c>
      <c r="G187" s="75" t="n">
        <v>327817.992111529</v>
      </c>
      <c r="H187" s="76" t="n">
        <v>300216.82861998</v>
      </c>
      <c r="I187" s="77" t="str">
        <f>H187-F187</f>
      </c>
      <c r="J187" s="78" t="str">
        <f>G187-E187</f>
      </c>
    </row>
    <row r="188">
      <c r="A188" t="s">
        <v>194</v>
      </c>
      <c r="B188" t="s">
        <v>196</v>
      </c>
      <c r="C188" s="72" t="n">
        <v>2025</v>
      </c>
      <c r="D188" t="s">
        <v>190</v>
      </c>
      <c r="E188" s="73" t="n">
        <v>563964.128928848</v>
      </c>
      <c r="F188" s="74" t="n">
        <v>321188.162987932</v>
      </c>
      <c r="G188" s="75" t="n">
        <v>563964.128928848</v>
      </c>
      <c r="H188" s="76" t="n">
        <v>321188.162987932</v>
      </c>
      <c r="I188" s="77" t="str">
        <f>H188-F188</f>
      </c>
      <c r="J188" s="78" t="str">
        <f>G188-E188</f>
      </c>
    </row>
    <row r="189">
      <c r="A189" t="s">
        <v>194</v>
      </c>
      <c r="B189" t="s">
        <v>196</v>
      </c>
      <c r="C189" s="72" t="n">
        <v>2025</v>
      </c>
      <c r="D189" t="s">
        <v>193</v>
      </c>
      <c r="E189" s="73" t="n">
        <v>396205.912797568</v>
      </c>
      <c r="F189" s="74" t="n">
        <v>191954.713579597</v>
      </c>
      <c r="G189" s="75" t="n">
        <v>396205.912797568</v>
      </c>
      <c r="H189" s="76" t="n">
        <v>191954.713579597</v>
      </c>
      <c r="I189" s="77" t="str">
        <f>H189-F189</f>
      </c>
      <c r="J189" s="78" t="str">
        <f>G189-E189</f>
      </c>
    </row>
    <row r="190">
      <c r="A190" t="s">
        <v>194</v>
      </c>
      <c r="B190" t="s">
        <v>196</v>
      </c>
      <c r="C190" s="72" t="n">
        <v>2025</v>
      </c>
      <c r="D190" t="s">
        <v>424</v>
      </c>
      <c r="E190" s="73" t="n">
        <v>44024.8557845561</v>
      </c>
      <c r="F190" s="74" t="n">
        <v>6961.02866951274</v>
      </c>
      <c r="G190" s="75" t="n">
        <v>44024.8557845561</v>
      </c>
      <c r="H190" s="76" t="n">
        <v>6961.02866951274</v>
      </c>
      <c r="I190" s="77" t="str">
        <f>H190-F190</f>
      </c>
      <c r="J190" s="78" t="str">
        <f>G190-E190</f>
      </c>
    </row>
    <row r="191">
      <c r="A191" t="s">
        <v>194</v>
      </c>
      <c r="B191" t="s">
        <v>196</v>
      </c>
      <c r="C191" s="72" t="n">
        <v>2026</v>
      </c>
      <c r="D191" t="s">
        <v>176</v>
      </c>
      <c r="E191" s="73" t="n">
        <v>12812.121423414</v>
      </c>
      <c r="F191" s="74" t="n">
        <v>9308.26420910955</v>
      </c>
      <c r="G191" s="75" t="n">
        <v>12812.507871628</v>
      </c>
      <c r="H191" s="76" t="n">
        <v>9308.26420910955</v>
      </c>
      <c r="I191" s="77" t="str">
        <f>H191-F191</f>
      </c>
      <c r="J191" s="78" t="str">
        <f>G191-E191</f>
      </c>
    </row>
    <row r="192">
      <c r="A192" t="s">
        <v>194</v>
      </c>
      <c r="B192" t="s">
        <v>196</v>
      </c>
      <c r="C192" s="72" t="n">
        <v>2026</v>
      </c>
      <c r="D192" t="s">
        <v>238</v>
      </c>
      <c r="E192" s="73" t="n">
        <v>1040956.74283153</v>
      </c>
      <c r="F192" s="74" t="n">
        <v>137191.896136923</v>
      </c>
      <c r="G192" s="75" t="n">
        <v>1040956.74283153</v>
      </c>
      <c r="H192" s="76" t="n">
        <v>137191.896136923</v>
      </c>
      <c r="I192" s="77" t="str">
        <f>H192-F192</f>
      </c>
      <c r="J192" s="78" t="str">
        <f>G192-E192</f>
      </c>
    </row>
    <row r="193">
      <c r="A193" t="s">
        <v>194</v>
      </c>
      <c r="B193" t="s">
        <v>196</v>
      </c>
      <c r="C193" s="72" t="n">
        <v>2026</v>
      </c>
      <c r="D193" t="s">
        <v>184</v>
      </c>
      <c r="E193" s="73" t="n">
        <v>95069.5988675873</v>
      </c>
      <c r="F193" s="74" t="n">
        <v>65164.4704134017</v>
      </c>
      <c r="G193" s="75" t="n">
        <v>95077.1833035265</v>
      </c>
      <c r="H193" s="76" t="n">
        <v>65164.4704134017</v>
      </c>
      <c r="I193" s="77" t="str">
        <f>H193-F193</f>
      </c>
      <c r="J193" s="78" t="str">
        <f>G193-E193</f>
      </c>
    </row>
    <row r="194">
      <c r="A194" t="s">
        <v>194</v>
      </c>
      <c r="B194" t="s">
        <v>196</v>
      </c>
      <c r="C194" s="72" t="n">
        <v>2026</v>
      </c>
      <c r="D194" t="s">
        <v>187</v>
      </c>
      <c r="E194" s="73" t="n">
        <v>336859.295093184</v>
      </c>
      <c r="F194" s="74" t="n">
        <v>308606.943045308</v>
      </c>
      <c r="G194" s="75" t="n">
        <v>336875.423495605</v>
      </c>
      <c r="H194" s="76" t="n">
        <v>308606.943045308</v>
      </c>
      <c r="I194" s="77" t="str">
        <f>H194-F194</f>
      </c>
      <c r="J194" s="78" t="str">
        <f>G194-E194</f>
      </c>
    </row>
    <row r="195">
      <c r="A195" t="s">
        <v>194</v>
      </c>
      <c r="B195" t="s">
        <v>196</v>
      </c>
      <c r="C195" s="72" t="n">
        <v>2026</v>
      </c>
      <c r="D195" t="s">
        <v>190</v>
      </c>
      <c r="E195" s="73" t="n">
        <v>580099.15574937</v>
      </c>
      <c r="F195" s="74" t="n">
        <v>332896.185768311</v>
      </c>
      <c r="G195" s="75" t="n">
        <v>580111.541957649</v>
      </c>
      <c r="H195" s="76" t="n">
        <v>332896.185768311</v>
      </c>
      <c r="I195" s="77" t="str">
        <f>H195-F195</f>
      </c>
      <c r="J195" s="78" t="str">
        <f>G195-E195</f>
      </c>
    </row>
    <row r="196">
      <c r="A196" t="s">
        <v>194</v>
      </c>
      <c r="B196" t="s">
        <v>196</v>
      </c>
      <c r="C196" s="72" t="n">
        <v>2026</v>
      </c>
      <c r="D196" t="s">
        <v>193</v>
      </c>
      <c r="E196" s="73" t="n">
        <v>409810.267754859</v>
      </c>
      <c r="F196" s="74" t="n">
        <v>202008.199783237</v>
      </c>
      <c r="G196" s="75" t="n">
        <v>409829.87281699</v>
      </c>
      <c r="H196" s="76" t="n">
        <v>202008.199783237</v>
      </c>
      <c r="I196" s="77" t="str">
        <f>H196-F196</f>
      </c>
      <c r="J196" s="78" t="str">
        <f>G196-E196</f>
      </c>
    </row>
    <row r="197">
      <c r="A197" t="s">
        <v>194</v>
      </c>
      <c r="B197" t="s">
        <v>196</v>
      </c>
      <c r="C197" s="72" t="n">
        <v>2026</v>
      </c>
      <c r="D197" t="s">
        <v>424</v>
      </c>
      <c r="E197" s="73" t="n">
        <v>44219.1707517653</v>
      </c>
      <c r="F197" s="74" t="n">
        <v>7023.77126872287</v>
      </c>
      <c r="G197" s="75" t="n">
        <v>44219.1707517653</v>
      </c>
      <c r="H197" s="76" t="n">
        <v>7023.77126872287</v>
      </c>
      <c r="I197" s="77" t="str">
        <f>H197-F197</f>
      </c>
      <c r="J197" s="78" t="str">
        <f>G197-E197</f>
      </c>
    </row>
    <row r="198">
      <c r="A198" t="s">
        <v>194</v>
      </c>
      <c r="B198" t="s">
        <v>196</v>
      </c>
      <c r="C198" s="72" t="n">
        <v>2027</v>
      </c>
      <c r="D198" t="s">
        <v>176</v>
      </c>
      <c r="E198" s="73" t="n">
        <v>13272.6793097561</v>
      </c>
      <c r="F198" s="74" t="n">
        <v>9640.65171894258</v>
      </c>
      <c r="G198" s="75" t="n">
        <v>13273.481772584</v>
      </c>
      <c r="H198" s="76" t="n">
        <v>9640.71530777017</v>
      </c>
      <c r="I198" s="77" t="str">
        <f>H198-F198</f>
      </c>
      <c r="J198" s="78" t="str">
        <f>G198-E198</f>
      </c>
    </row>
    <row r="199">
      <c r="A199" t="s">
        <v>194</v>
      </c>
      <c r="B199" t="s">
        <v>196</v>
      </c>
      <c r="C199" s="72" t="n">
        <v>2027</v>
      </c>
      <c r="D199" t="s">
        <v>238</v>
      </c>
      <c r="E199" s="73" t="n">
        <v>1055255.40879996</v>
      </c>
      <c r="F199" s="74" t="n">
        <v>145087.130776418</v>
      </c>
      <c r="G199" s="75" t="n">
        <v>1055255.40879996</v>
      </c>
      <c r="H199" s="76" t="n">
        <v>145087.130776418</v>
      </c>
      <c r="I199" s="77" t="str">
        <f>H199-F199</f>
      </c>
      <c r="J199" s="78" t="str">
        <f>G199-E199</f>
      </c>
    </row>
    <row r="200">
      <c r="A200" t="s">
        <v>194</v>
      </c>
      <c r="B200" t="s">
        <v>196</v>
      </c>
      <c r="C200" s="72" t="n">
        <v>2027</v>
      </c>
      <c r="D200" t="s">
        <v>184</v>
      </c>
      <c r="E200" s="73" t="n">
        <v>98433.134619141</v>
      </c>
      <c r="F200" s="74" t="n">
        <v>67066.7303622296</v>
      </c>
      <c r="G200" s="75" t="n">
        <v>98448.8278839669</v>
      </c>
      <c r="H200" s="76" t="n">
        <v>67068.0169086102</v>
      </c>
      <c r="I200" s="77" t="str">
        <f>H200-F200</f>
      </c>
      <c r="J200" s="78" t="str">
        <f>G200-E200</f>
      </c>
    </row>
    <row r="201">
      <c r="A201" t="s">
        <v>194</v>
      </c>
      <c r="B201" t="s">
        <v>196</v>
      </c>
      <c r="C201" s="72" t="n">
        <v>2027</v>
      </c>
      <c r="D201" t="s">
        <v>187</v>
      </c>
      <c r="E201" s="73" t="n">
        <v>345903.629769502</v>
      </c>
      <c r="F201" s="74" t="n">
        <v>317112.44840605</v>
      </c>
      <c r="G201" s="75" t="n">
        <v>345936.706716403</v>
      </c>
      <c r="H201" s="76" t="n">
        <v>317119.553552555</v>
      </c>
      <c r="I201" s="77" t="str">
        <f>H201-F201</f>
      </c>
      <c r="J201" s="78" t="str">
        <f>G201-E201</f>
      </c>
    </row>
    <row r="202">
      <c r="A202" t="s">
        <v>194</v>
      </c>
      <c r="B202" t="s">
        <v>196</v>
      </c>
      <c r="C202" s="72" t="n">
        <v>2027</v>
      </c>
      <c r="D202" t="s">
        <v>190</v>
      </c>
      <c r="E202" s="73" t="n">
        <v>596123.46015644</v>
      </c>
      <c r="F202" s="74" t="n">
        <v>344516.475007423</v>
      </c>
      <c r="G202" s="75" t="n">
        <v>596148.832334676</v>
      </c>
      <c r="H202" s="76" t="n">
        <v>344517.274659827</v>
      </c>
      <c r="I202" s="77" t="str">
        <f>H202-F202</f>
      </c>
      <c r="J202" s="78" t="str">
        <f>G202-E202</f>
      </c>
    </row>
    <row r="203">
      <c r="A203" t="s">
        <v>194</v>
      </c>
      <c r="B203" t="s">
        <v>196</v>
      </c>
      <c r="C203" s="72" t="n">
        <v>2027</v>
      </c>
      <c r="D203" t="s">
        <v>193</v>
      </c>
      <c r="E203" s="73" t="n">
        <v>423444.721584594</v>
      </c>
      <c r="F203" s="74" t="n">
        <v>211993.975517881</v>
      </c>
      <c r="G203" s="75" t="n">
        <v>423485.101321999</v>
      </c>
      <c r="H203" s="76" t="n">
        <v>211995.488024171</v>
      </c>
      <c r="I203" s="77" t="str">
        <f>H203-F203</f>
      </c>
      <c r="J203" s="78" t="str">
        <f>G203-E203</f>
      </c>
    </row>
    <row r="204">
      <c r="A204" t="s">
        <v>194</v>
      </c>
      <c r="B204" t="s">
        <v>196</v>
      </c>
      <c r="C204" s="72" t="n">
        <v>2027</v>
      </c>
      <c r="D204" t="s">
        <v>424</v>
      </c>
      <c r="E204" s="73" t="n">
        <v>44384.2018393689</v>
      </c>
      <c r="F204" s="74" t="n">
        <v>7080.05700568168</v>
      </c>
      <c r="G204" s="75" t="n">
        <v>44384.2018393689</v>
      </c>
      <c r="H204" s="76" t="n">
        <v>7080.05700568168</v>
      </c>
      <c r="I204" s="77" t="str">
        <f>H204-F204</f>
      </c>
      <c r="J204" s="78" t="str">
        <f>G204-E204</f>
      </c>
    </row>
    <row r="205">
      <c r="A205" t="s">
        <v>194</v>
      </c>
      <c r="B205" t="s">
        <v>196</v>
      </c>
      <c r="C205" s="72" t="n">
        <v>2028</v>
      </c>
      <c r="D205" t="s">
        <v>176</v>
      </c>
      <c r="E205" s="73" t="n">
        <v>13728.2564473114</v>
      </c>
      <c r="F205" s="74" t="n">
        <v>9971.27402094569</v>
      </c>
      <c r="G205" s="75" t="n">
        <v>13729.5005000864</v>
      </c>
      <c r="H205" s="76" t="n">
        <v>9971.45472163389</v>
      </c>
      <c r="I205" s="77" t="str">
        <f>H205-F205</f>
      </c>
      <c r="J205" s="78" t="str">
        <f>G205-E205</f>
      </c>
    </row>
    <row r="206">
      <c r="A206" t="s">
        <v>194</v>
      </c>
      <c r="B206" t="s">
        <v>196</v>
      </c>
      <c r="C206" s="72" t="n">
        <v>2028</v>
      </c>
      <c r="D206" t="s">
        <v>238</v>
      </c>
      <c r="E206" s="73" t="n">
        <v>1069005.159337</v>
      </c>
      <c r="F206" s="74" t="n">
        <v>153077.867387244</v>
      </c>
      <c r="G206" s="75" t="n">
        <v>1069005.07088018</v>
      </c>
      <c r="H206" s="76" t="n">
        <v>153077.867387244</v>
      </c>
      <c r="I206" s="77" t="str">
        <f>H206-F206</f>
      </c>
      <c r="J206" s="78" t="str">
        <f>G206-E206</f>
      </c>
    </row>
    <row r="207">
      <c r="A207" t="s">
        <v>194</v>
      </c>
      <c r="B207" t="s">
        <v>196</v>
      </c>
      <c r="C207" s="72" t="n">
        <v>2028</v>
      </c>
      <c r="D207" t="s">
        <v>184</v>
      </c>
      <c r="E207" s="73" t="n">
        <v>101773.667563521</v>
      </c>
      <c r="F207" s="74" t="n">
        <v>69016.3074353205</v>
      </c>
      <c r="G207" s="75" t="n">
        <v>101797.96761407</v>
      </c>
      <c r="H207" s="76" t="n">
        <v>69019.933123165</v>
      </c>
      <c r="I207" s="77" t="str">
        <f>H207-F207</f>
      </c>
      <c r="J207" s="78" t="str">
        <f>G207-E207</f>
      </c>
    </row>
    <row r="208">
      <c r="A208" t="s">
        <v>194</v>
      </c>
      <c r="B208" t="s">
        <v>196</v>
      </c>
      <c r="C208" s="72" t="n">
        <v>2028</v>
      </c>
      <c r="D208" t="s">
        <v>187</v>
      </c>
      <c r="E208" s="73" t="n">
        <v>354914.718428078</v>
      </c>
      <c r="F208" s="74" t="n">
        <v>325673.116471954</v>
      </c>
      <c r="G208" s="75" t="n">
        <v>354965.535819133</v>
      </c>
      <c r="H208" s="76" t="n">
        <v>325690.683016893</v>
      </c>
      <c r="I208" s="77" t="str">
        <f>H208-F208</f>
      </c>
      <c r="J208" s="78" t="str">
        <f>G208-E208</f>
      </c>
    </row>
    <row r="209">
      <c r="A209" t="s">
        <v>194</v>
      </c>
      <c r="B209" t="s">
        <v>196</v>
      </c>
      <c r="C209" s="72" t="n">
        <v>2028</v>
      </c>
      <c r="D209" t="s">
        <v>190</v>
      </c>
      <c r="E209" s="73" t="n">
        <v>611992.814186452</v>
      </c>
      <c r="F209" s="74" t="n">
        <v>356071.189506191</v>
      </c>
      <c r="G209" s="75" t="n">
        <v>612031.659444751</v>
      </c>
      <c r="H209" s="76" t="n">
        <v>356073.571438059</v>
      </c>
      <c r="I209" s="77" t="str">
        <f>H209-F209</f>
      </c>
      <c r="J209" s="78" t="str">
        <f>G209-E209</f>
      </c>
    </row>
    <row r="210">
      <c r="A210" t="s">
        <v>194</v>
      </c>
      <c r="B210" t="s">
        <v>196</v>
      </c>
      <c r="C210" s="72" t="n">
        <v>2028</v>
      </c>
      <c r="D210" t="s">
        <v>193</v>
      </c>
      <c r="E210" s="73" t="n">
        <v>437097.516730183</v>
      </c>
      <c r="F210" s="74" t="n">
        <v>221904.585804898</v>
      </c>
      <c r="G210" s="75" t="n">
        <v>437159.755191958</v>
      </c>
      <c r="H210" s="76" t="n">
        <v>221908.958563303</v>
      </c>
      <c r="I210" s="77" t="str">
        <f>H210-F210</f>
      </c>
      <c r="J210" s="78" t="str">
        <f>G210-E210</f>
      </c>
    </row>
    <row r="211">
      <c r="A211" t="s">
        <v>194</v>
      </c>
      <c r="B211" t="s">
        <v>196</v>
      </c>
      <c r="C211" s="72" t="n">
        <v>2028</v>
      </c>
      <c r="D211" t="s">
        <v>424</v>
      </c>
      <c r="E211" s="73" t="n">
        <v>44510.0654184449</v>
      </c>
      <c r="F211" s="74" t="n">
        <v>7131.07016356498</v>
      </c>
      <c r="G211" s="75" t="n">
        <v>44510.0649629929</v>
      </c>
      <c r="H211" s="76" t="n">
        <v>7131.07016356498</v>
      </c>
      <c r="I211" s="77" t="str">
        <f>H211-F211</f>
      </c>
      <c r="J211" s="78" t="str">
        <f>G211-E211</f>
      </c>
    </row>
    <row r="212">
      <c r="A212" t="s">
        <v>194</v>
      </c>
      <c r="B212" t="s">
        <v>196</v>
      </c>
      <c r="C212" s="72" t="n">
        <v>2029</v>
      </c>
      <c r="D212" t="s">
        <v>176</v>
      </c>
      <c r="E212" s="73" t="n">
        <v>14179.7149501914</v>
      </c>
      <c r="F212" s="74" t="n">
        <v>10300.8860099909</v>
      </c>
      <c r="G212" s="75" t="n">
        <v>14181.4236375467</v>
      </c>
      <c r="H212" s="76" t="n">
        <v>10301.2295792609</v>
      </c>
      <c r="I212" s="77" t="str">
        <f>H212-F212</f>
      </c>
      <c r="J212" s="78" t="str">
        <f>G212-E212</f>
      </c>
    </row>
    <row r="213">
      <c r="A213" t="s">
        <v>194</v>
      </c>
      <c r="B213" t="s">
        <v>196</v>
      </c>
      <c r="C213" s="72" t="n">
        <v>2029</v>
      </c>
      <c r="D213" t="s">
        <v>238</v>
      </c>
      <c r="E213" s="73" t="n">
        <v>1082252.71053115</v>
      </c>
      <c r="F213" s="74" t="n">
        <v>161161.063897614</v>
      </c>
      <c r="G213" s="75" t="n">
        <v>1082252.39423074</v>
      </c>
      <c r="H213" s="76" t="n">
        <v>161161.062132093</v>
      </c>
      <c r="I213" s="77" t="str">
        <f>H213-F213</f>
      </c>
      <c r="J213" s="78" t="str">
        <f>G213-E213</f>
      </c>
    </row>
    <row r="214">
      <c r="A214" t="s">
        <v>194</v>
      </c>
      <c r="B214" t="s">
        <v>196</v>
      </c>
      <c r="C214" s="72" t="n">
        <v>2029</v>
      </c>
      <c r="D214" t="s">
        <v>184</v>
      </c>
      <c r="E214" s="73" t="n">
        <v>105081.310235896</v>
      </c>
      <c r="F214" s="74" t="n">
        <v>71035.2063212662</v>
      </c>
      <c r="G214" s="75" t="n">
        <v>105114.693344183</v>
      </c>
      <c r="H214" s="76" t="n">
        <v>71042.0544294395</v>
      </c>
      <c r="I214" s="77" t="str">
        <f>H214-F214</f>
      </c>
      <c r="J214" s="78" t="str">
        <f>G214-E214</f>
      </c>
    </row>
    <row r="215">
      <c r="A215" t="s">
        <v>194</v>
      </c>
      <c r="B215" t="s">
        <v>196</v>
      </c>
      <c r="C215" s="72" t="n">
        <v>2029</v>
      </c>
      <c r="D215" t="s">
        <v>187</v>
      </c>
      <c r="E215" s="73" t="n">
        <v>363826.89327651</v>
      </c>
      <c r="F215" s="74" t="n">
        <v>334262.418516401</v>
      </c>
      <c r="G215" s="75" t="n">
        <v>363896.204247168</v>
      </c>
      <c r="H215" s="76" t="n">
        <v>334292.677138926</v>
      </c>
      <c r="I215" s="77" t="str">
        <f>H215-F215</f>
      </c>
      <c r="J215" s="78" t="str">
        <f>G215-E215</f>
      </c>
    </row>
    <row r="216">
      <c r="A216" t="s">
        <v>194</v>
      </c>
      <c r="B216" t="s">
        <v>196</v>
      </c>
      <c r="C216" s="72" t="n">
        <v>2029</v>
      </c>
      <c r="D216" t="s">
        <v>190</v>
      </c>
      <c r="E216" s="73" t="n">
        <v>627673.605924009</v>
      </c>
      <c r="F216" s="74" t="n">
        <v>367570.503762922</v>
      </c>
      <c r="G216" s="75" t="n">
        <v>627726.336898794</v>
      </c>
      <c r="H216" s="76" t="n">
        <v>367575.22274735</v>
      </c>
      <c r="I216" s="77" t="str">
        <f>H216-F216</f>
      </c>
      <c r="J216" s="78" t="str">
        <f>G216-E216</f>
      </c>
    </row>
    <row r="217">
      <c r="A217" t="s">
        <v>194</v>
      </c>
      <c r="B217" t="s">
        <v>196</v>
      </c>
      <c r="C217" s="72" t="n">
        <v>2029</v>
      </c>
      <c r="D217" t="s">
        <v>193</v>
      </c>
      <c r="E217" s="73" t="n">
        <v>450701.012940132</v>
      </c>
      <c r="F217" s="74" t="n">
        <v>231699.53400789</v>
      </c>
      <c r="G217" s="75" t="n">
        <v>450786.134013569</v>
      </c>
      <c r="H217" s="76" t="n">
        <v>231708.01887569</v>
      </c>
      <c r="I217" s="77" t="str">
        <f>H217-F217</f>
      </c>
      <c r="J217" s="78" t="str">
        <f>G217-E217</f>
      </c>
    </row>
    <row r="218">
      <c r="A218" t="s">
        <v>194</v>
      </c>
      <c r="B218" t="s">
        <v>196</v>
      </c>
      <c r="C218" s="72" t="n">
        <v>2029</v>
      </c>
      <c r="D218" t="s">
        <v>424</v>
      </c>
      <c r="E218" s="73" t="n">
        <v>44600.2630836921</v>
      </c>
      <c r="F218" s="74" t="n">
        <v>7178.21932252406</v>
      </c>
      <c r="G218" s="75" t="n">
        <v>44600.2614435955</v>
      </c>
      <c r="H218" s="76" t="n">
        <v>7178.21931597252</v>
      </c>
      <c r="I218" s="77" t="str">
        <f>H218-F218</f>
      </c>
      <c r="J218" s="78" t="str">
        <f>G218-E218</f>
      </c>
    </row>
    <row r="219">
      <c r="A219" t="s">
        <v>194</v>
      </c>
      <c r="B219" t="s">
        <v>196</v>
      </c>
      <c r="C219" s="72" t="n">
        <v>2030</v>
      </c>
      <c r="D219" t="s">
        <v>176</v>
      </c>
      <c r="E219" s="73" t="n">
        <v>14628.7320158141</v>
      </c>
      <c r="F219" s="74" t="n">
        <v>10629.7241329673</v>
      </c>
      <c r="G219" s="75" t="n">
        <v>14630.9263575645</v>
      </c>
      <c r="H219" s="76" t="n">
        <v>10630.2702680602</v>
      </c>
      <c r="I219" s="77" t="str">
        <f>H219-F219</f>
      </c>
      <c r="J219" s="78" t="str">
        <f>G219-E219</f>
      </c>
    </row>
    <row r="220">
      <c r="A220" t="s">
        <v>194</v>
      </c>
      <c r="B220" t="s">
        <v>196</v>
      </c>
      <c r="C220" s="72" t="n">
        <v>2030</v>
      </c>
      <c r="D220" t="s">
        <v>238</v>
      </c>
      <c r="E220" s="73" t="n">
        <v>1094957.56515039</v>
      </c>
      <c r="F220" s="74" t="n">
        <v>169314.842056368</v>
      </c>
      <c r="G220" s="75" t="n">
        <v>1094956.84444967</v>
      </c>
      <c r="H220" s="76" t="n">
        <v>169314.834038038</v>
      </c>
      <c r="I220" s="77" t="str">
        <f>H220-F220</f>
      </c>
      <c r="J220" s="78" t="str">
        <f>G220-E220</f>
      </c>
    </row>
    <row r="221">
      <c r="A221" t="s">
        <v>194</v>
      </c>
      <c r="B221" t="s">
        <v>196</v>
      </c>
      <c r="C221" s="72" t="n">
        <v>2030</v>
      </c>
      <c r="D221" t="s">
        <v>184</v>
      </c>
      <c r="E221" s="73" t="n">
        <v>108350.851944276</v>
      </c>
      <c r="F221" s="74" t="n">
        <v>73109.9726432137</v>
      </c>
      <c r="G221" s="75" t="n">
        <v>108393.77376612</v>
      </c>
      <c r="H221" s="76" t="n">
        <v>73120.8011068864</v>
      </c>
      <c r="I221" s="77" t="str">
        <f>H221-F221</f>
      </c>
      <c r="J221" s="78" t="str">
        <f>G221-E221</f>
      </c>
    </row>
    <row r="222">
      <c r="A222" t="s">
        <v>194</v>
      </c>
      <c r="B222" t="s">
        <v>196</v>
      </c>
      <c r="C222" s="72" t="n">
        <v>2030</v>
      </c>
      <c r="D222" t="s">
        <v>187</v>
      </c>
      <c r="E222" s="73" t="n">
        <v>372653.268459712</v>
      </c>
      <c r="F222" s="74" t="n">
        <v>342845.017930009</v>
      </c>
      <c r="G222" s="75" t="n">
        <v>372741.795461264</v>
      </c>
      <c r="H222" s="76" t="n">
        <v>342889.635366394</v>
      </c>
      <c r="I222" s="77" t="str">
        <f>H222-F222</f>
      </c>
      <c r="J222" s="78" t="str">
        <f>G222-E222</f>
      </c>
    </row>
    <row r="223">
      <c r="A223" t="s">
        <v>194</v>
      </c>
      <c r="B223" t="s">
        <v>196</v>
      </c>
      <c r="C223" s="72" t="n">
        <v>2030</v>
      </c>
      <c r="D223" t="s">
        <v>190</v>
      </c>
      <c r="E223" s="73" t="n">
        <v>643087.25049743</v>
      </c>
      <c r="F223" s="74" t="n">
        <v>378932.455298832</v>
      </c>
      <c r="G223" s="75" t="n">
        <v>643154.211305628</v>
      </c>
      <c r="H223" s="76" t="n">
        <v>378940.231267445</v>
      </c>
      <c r="I223" s="77" t="str">
        <f>H223-F223</f>
      </c>
      <c r="J223" s="78" t="str">
        <f>G223-E223</f>
      </c>
    </row>
    <row r="224">
      <c r="A224" t="s">
        <v>194</v>
      </c>
      <c r="B224" t="s">
        <v>196</v>
      </c>
      <c r="C224" s="72" t="n">
        <v>2030</v>
      </c>
      <c r="D224" t="s">
        <v>193</v>
      </c>
      <c r="E224" s="73" t="n">
        <v>464251.539448642</v>
      </c>
      <c r="F224" s="74" t="n">
        <v>241296.538983483</v>
      </c>
      <c r="G224" s="75" t="n">
        <v>464360.518103772</v>
      </c>
      <c r="H224" s="76" t="n">
        <v>241310.309903655</v>
      </c>
      <c r="I224" s="77" t="str">
        <f>H224-F224</f>
      </c>
      <c r="J224" s="78" t="str">
        <f>G224-E224</f>
      </c>
    </row>
    <row r="225">
      <c r="A225" t="s">
        <v>194</v>
      </c>
      <c r="B225" t="s">
        <v>196</v>
      </c>
      <c r="C225" s="72" t="n">
        <v>2030</v>
      </c>
      <c r="D225" t="s">
        <v>424</v>
      </c>
      <c r="E225" s="73" t="n">
        <v>44647.2726813042</v>
      </c>
      <c r="F225" s="74" t="n">
        <v>7223.11034395925</v>
      </c>
      <c r="G225" s="75" t="n">
        <v>44647.268915283</v>
      </c>
      <c r="H225" s="76" t="n">
        <v>7223.11031474236</v>
      </c>
      <c r="I225" s="77" t="str">
        <f>H225-F225</f>
      </c>
      <c r="J225" s="78" t="str">
        <f>G225-E225</f>
      </c>
    </row>
    <row r="226">
      <c r="A226" t="s">
        <v>194</v>
      </c>
      <c r="B226" t="s">
        <v>196</v>
      </c>
      <c r="C226" s="72" t="n">
        <v>2031</v>
      </c>
      <c r="D226" t="s">
        <v>176</v>
      </c>
      <c r="E226" s="73" t="n">
        <v>15078.1429072499</v>
      </c>
      <c r="F226" s="74" t="n">
        <v>10954.6422384051</v>
      </c>
      <c r="G226" s="75" t="n">
        <v>15080.3825495532</v>
      </c>
      <c r="H226" s="76" t="n">
        <v>10955.4255331558</v>
      </c>
      <c r="I226" s="77" t="str">
        <f>H226-F226</f>
      </c>
      <c r="J226" s="78" t="str">
        <f>G226-E226</f>
      </c>
    </row>
    <row r="227">
      <c r="A227" t="s">
        <v>194</v>
      </c>
      <c r="B227" t="s">
        <v>196</v>
      </c>
      <c r="C227" s="72" t="n">
        <v>2031</v>
      </c>
      <c r="D227" t="s">
        <v>238</v>
      </c>
      <c r="E227" s="73" t="n">
        <v>1107029.02235938</v>
      </c>
      <c r="F227" s="74" t="n">
        <v>177510.928343427</v>
      </c>
      <c r="G227" s="75" t="n">
        <v>1107027.69162894</v>
      </c>
      <c r="H227" s="76" t="n">
        <v>177510.906196669</v>
      </c>
      <c r="I227" s="77" t="str">
        <f>H227-F227</f>
      </c>
      <c r="J227" s="78" t="str">
        <f>G227-E227</f>
      </c>
    </row>
    <row r="228">
      <c r="A228" t="s">
        <v>194</v>
      </c>
      <c r="B228" t="s">
        <v>196</v>
      </c>
      <c r="C228" s="72" t="n">
        <v>2031</v>
      </c>
      <c r="D228" t="s">
        <v>184</v>
      </c>
      <c r="E228" s="73" t="n">
        <v>111588.9546686</v>
      </c>
      <c r="F228" s="74" t="n">
        <v>75214.7481938307</v>
      </c>
      <c r="G228" s="75" t="n">
        <v>111632.947554352</v>
      </c>
      <c r="H228" s="76" t="n">
        <v>75230.219664338</v>
      </c>
      <c r="I228" s="77" t="str">
        <f>H228-F228</f>
      </c>
      <c r="J228" s="78" t="str">
        <f>G228-E228</f>
      </c>
    </row>
    <row r="229">
      <c r="A229" t="s">
        <v>194</v>
      </c>
      <c r="B229" t="s">
        <v>196</v>
      </c>
      <c r="C229" s="72" t="n">
        <v>2031</v>
      </c>
      <c r="D229" t="s">
        <v>187</v>
      </c>
      <c r="E229" s="73" t="n">
        <v>381380.139861854</v>
      </c>
      <c r="F229" s="74" t="n">
        <v>351372.201907563</v>
      </c>
      <c r="G229" s="75" t="n">
        <v>381470.266781021</v>
      </c>
      <c r="H229" s="76" t="n">
        <v>351432.518672951</v>
      </c>
      <c r="I229" s="77" t="str">
        <f>H229-F229</f>
      </c>
      <c r="J229" s="78" t="str">
        <f>G229-E229</f>
      </c>
    </row>
    <row r="230">
      <c r="A230" t="s">
        <v>194</v>
      </c>
      <c r="B230" t="s">
        <v>196</v>
      </c>
      <c r="C230" s="72" t="n">
        <v>2031</v>
      </c>
      <c r="D230" t="s">
        <v>190</v>
      </c>
      <c r="E230" s="73" t="n">
        <v>658214.743941577</v>
      </c>
      <c r="F230" s="74" t="n">
        <v>390169.488888417</v>
      </c>
      <c r="G230" s="75" t="n">
        <v>658282.149268814</v>
      </c>
      <c r="H230" s="76" t="n">
        <v>390181.003020302</v>
      </c>
      <c r="I230" s="77" t="str">
        <f>H230-F230</f>
      </c>
      <c r="J230" s="78" t="str">
        <f>G230-E230</f>
      </c>
    </row>
    <row r="231">
      <c r="A231" t="s">
        <v>194</v>
      </c>
      <c r="B231" t="s">
        <v>196</v>
      </c>
      <c r="C231" s="72" t="n">
        <v>2031</v>
      </c>
      <c r="D231" t="s">
        <v>193</v>
      </c>
      <c r="E231" s="73" t="n">
        <v>477667.317712683</v>
      </c>
      <c r="F231" s="74" t="n">
        <v>250795.615396618</v>
      </c>
      <c r="G231" s="75" t="n">
        <v>477778.146047482</v>
      </c>
      <c r="H231" s="76" t="n">
        <v>250815.782662592</v>
      </c>
      <c r="I231" s="77" t="str">
        <f>H231-F231</f>
      </c>
      <c r="J231" s="78" t="str">
        <f>G231-E231</f>
      </c>
    </row>
    <row r="232">
      <c r="A232" t="s">
        <v>194</v>
      </c>
      <c r="B232" t="s">
        <v>196</v>
      </c>
      <c r="C232" s="72" t="n">
        <v>2031</v>
      </c>
      <c r="D232" t="s">
        <v>424</v>
      </c>
      <c r="E232" s="73" t="n">
        <v>44640.3543032564</v>
      </c>
      <c r="F232" s="74" t="n">
        <v>7266.76607941443</v>
      </c>
      <c r="G232" s="75" t="n">
        <v>44640.3472954778</v>
      </c>
      <c r="H232" s="76" t="n">
        <v>7266.76600020754</v>
      </c>
      <c r="I232" s="77" t="str">
        <f>H232-F232</f>
      </c>
      <c r="J232" s="78" t="str">
        <f>G232-E232</f>
      </c>
    </row>
    <row r="233">
      <c r="A233" t="s">
        <v>194</v>
      </c>
      <c r="B233" t="s">
        <v>196</v>
      </c>
      <c r="C233" s="72" t="n">
        <v>2032</v>
      </c>
      <c r="D233" t="s">
        <v>176</v>
      </c>
      <c r="E233" s="73" t="n">
        <v>15528.9860018479</v>
      </c>
      <c r="F233" s="74" t="n">
        <v>11273.5219902963</v>
      </c>
      <c r="G233" s="75" t="n">
        <v>15531.2601955666</v>
      </c>
      <c r="H233" s="76" t="n">
        <v>11274.4954497352</v>
      </c>
      <c r="I233" s="77" t="str">
        <f>H233-F233</f>
      </c>
      <c r="J233" s="78" t="str">
        <f>G233-E233</f>
      </c>
    </row>
    <row r="234">
      <c r="A234" t="s">
        <v>194</v>
      </c>
      <c r="B234" t="s">
        <v>196</v>
      </c>
      <c r="C234" s="72" t="n">
        <v>2032</v>
      </c>
      <c r="D234" t="s">
        <v>238</v>
      </c>
      <c r="E234" s="73" t="n">
        <v>1118479.49777483</v>
      </c>
      <c r="F234" s="74" t="n">
        <v>185726.047002887</v>
      </c>
      <c r="G234" s="75" t="n">
        <v>1118477.32749824</v>
      </c>
      <c r="H234" s="76" t="n">
        <v>185725.999058801</v>
      </c>
      <c r="I234" s="77" t="str">
        <f>H234-F234</f>
      </c>
      <c r="J234" s="78" t="str">
        <f>G234-E234</f>
      </c>
    </row>
    <row r="235">
      <c r="A235" t="s">
        <v>194</v>
      </c>
      <c r="B235" t="s">
        <v>196</v>
      </c>
      <c r="C235" s="72" t="n">
        <v>2032</v>
      </c>
      <c r="D235" t="s">
        <v>184</v>
      </c>
      <c r="E235" s="73" t="n">
        <v>114790.230355525</v>
      </c>
      <c r="F235" s="74" t="n">
        <v>77333.8510499766</v>
      </c>
      <c r="G235" s="75" t="n">
        <v>114835.221802653</v>
      </c>
      <c r="H235" s="76" t="n">
        <v>77353.0610239329</v>
      </c>
      <c r="I235" s="77" t="str">
        <f>H235-F235</f>
      </c>
      <c r="J235" s="78" t="str">
        <f>G235-E235</f>
      </c>
    </row>
    <row r="236">
      <c r="A236" t="s">
        <v>194</v>
      </c>
      <c r="B236" t="s">
        <v>196</v>
      </c>
      <c r="C236" s="72" t="n">
        <v>2032</v>
      </c>
      <c r="D236" t="s">
        <v>187</v>
      </c>
      <c r="E236" s="73" t="n">
        <v>389906.78321294</v>
      </c>
      <c r="F236" s="74" t="n">
        <v>359765.75258088</v>
      </c>
      <c r="G236" s="75" t="n">
        <v>389998.376688754</v>
      </c>
      <c r="H236" s="76" t="n">
        <v>359834.546852866</v>
      </c>
      <c r="I236" s="77" t="str">
        <f>H236-F236</f>
      </c>
      <c r="J236" s="78" t="str">
        <f>G236-E236</f>
      </c>
    </row>
    <row r="237">
      <c r="A237" t="s">
        <v>194</v>
      </c>
      <c r="B237" t="s">
        <v>196</v>
      </c>
      <c r="C237" s="72" t="n">
        <v>2032</v>
      </c>
      <c r="D237" t="s">
        <v>190</v>
      </c>
      <c r="E237" s="73" t="n">
        <v>673066.324228599</v>
      </c>
      <c r="F237" s="74" t="n">
        <v>401303.350552564</v>
      </c>
      <c r="G237" s="75" t="n">
        <v>673133.888273266</v>
      </c>
      <c r="H237" s="76" t="n">
        <v>401318.286193472</v>
      </c>
      <c r="I237" s="77" t="str">
        <f>H237-F237</f>
      </c>
      <c r="J237" s="78" t="str">
        <f>G237-E237</f>
      </c>
    </row>
    <row r="238">
      <c r="A238" t="s">
        <v>194</v>
      </c>
      <c r="B238" t="s">
        <v>196</v>
      </c>
      <c r="C238" s="72" t="n">
        <v>2032</v>
      </c>
      <c r="D238" t="s">
        <v>193</v>
      </c>
      <c r="E238" s="73" t="n">
        <v>490792.298121581</v>
      </c>
      <c r="F238" s="74" t="n">
        <v>260321.291626695</v>
      </c>
      <c r="G238" s="75" t="n">
        <v>490904.70344578</v>
      </c>
      <c r="H238" s="76" t="n">
        <v>260346.937343717</v>
      </c>
      <c r="I238" s="77" t="str">
        <f>H238-F238</f>
      </c>
      <c r="J238" s="78" t="str">
        <f>G238-E238</f>
      </c>
    </row>
    <row r="239">
      <c r="A239" t="s">
        <v>194</v>
      </c>
      <c r="B239" t="s">
        <v>196</v>
      </c>
      <c r="C239" s="72" t="n">
        <v>2032</v>
      </c>
      <c r="D239" t="s">
        <v>424</v>
      </c>
      <c r="E239" s="73" t="n">
        <v>44583.2570123296</v>
      </c>
      <c r="F239" s="74" t="n">
        <v>7308.68973669211</v>
      </c>
      <c r="G239" s="75" t="n">
        <v>44583.2455015959</v>
      </c>
      <c r="H239" s="76" t="n">
        <v>7308.68956833998</v>
      </c>
      <c r="I239" s="77" t="str">
        <f>H239-F239</f>
      </c>
      <c r="J239" s="78" t="str">
        <f>G239-E239</f>
      </c>
    </row>
    <row r="240">
      <c r="A240" t="s">
        <v>194</v>
      </c>
      <c r="B240" t="s">
        <v>196</v>
      </c>
      <c r="C240" s="72" t="n">
        <v>2033</v>
      </c>
      <c r="D240" t="s">
        <v>176</v>
      </c>
      <c r="E240" s="73" t="n">
        <v>15981.4160672425</v>
      </c>
      <c r="F240" s="74" t="n">
        <v>11585.806609474</v>
      </c>
      <c r="G240" s="75" t="n">
        <v>15983.7175379286</v>
      </c>
      <c r="H240" s="76" t="n">
        <v>11586.9335708044</v>
      </c>
      <c r="I240" s="77" t="str">
        <f>H240-F240</f>
      </c>
      <c r="J240" s="78" t="str">
        <f>G240-E240</f>
      </c>
    </row>
    <row r="241">
      <c r="A241" t="s">
        <v>194</v>
      </c>
      <c r="B241" t="s">
        <v>196</v>
      </c>
      <c r="C241" s="72" t="n">
        <v>2033</v>
      </c>
      <c r="D241" t="s">
        <v>238</v>
      </c>
      <c r="E241" s="73" t="n">
        <v>1129236.63101039</v>
      </c>
      <c r="F241" s="74" t="n">
        <v>193953.313747649</v>
      </c>
      <c r="G241" s="75" t="n">
        <v>1129233.47845058</v>
      </c>
      <c r="H241" s="76" t="n">
        <v>193953.224223645</v>
      </c>
      <c r="I241" s="77" t="str">
        <f>H241-F241</f>
      </c>
      <c r="J241" s="78" t="str">
        <f>G241-E241</f>
      </c>
    </row>
    <row r="242">
      <c r="A242" t="s">
        <v>194</v>
      </c>
      <c r="B242" t="s">
        <v>196</v>
      </c>
      <c r="C242" s="72" t="n">
        <v>2033</v>
      </c>
      <c r="D242" t="s">
        <v>184</v>
      </c>
      <c r="E242" s="73" t="n">
        <v>117952.801942554</v>
      </c>
      <c r="F242" s="74" t="n">
        <v>79458.2062619908</v>
      </c>
      <c r="G242" s="75" t="n">
        <v>117998.738437442</v>
      </c>
      <c r="H242" s="76" t="n">
        <v>79480.4761690429</v>
      </c>
      <c r="I242" s="77" t="str">
        <f>H242-F242</f>
      </c>
      <c r="J242" s="78" t="str">
        <f>G242-E242</f>
      </c>
    </row>
    <row r="243">
      <c r="A243" t="s">
        <v>194</v>
      </c>
      <c r="B243" t="s">
        <v>196</v>
      </c>
      <c r="C243" s="72" t="n">
        <v>2033</v>
      </c>
      <c r="D243" t="s">
        <v>187</v>
      </c>
      <c r="E243" s="73" t="n">
        <v>398261.396882752</v>
      </c>
      <c r="F243" s="74" t="n">
        <v>367977.14961599</v>
      </c>
      <c r="G243" s="75" t="n">
        <v>398354.344992358</v>
      </c>
      <c r="H243" s="76" t="n">
        <v>368051.624575443</v>
      </c>
      <c r="I243" s="77" t="str">
        <f>H243-F243</f>
      </c>
      <c r="J243" s="78" t="str">
        <f>G243-E243</f>
      </c>
    </row>
    <row r="244">
      <c r="A244" t="s">
        <v>194</v>
      </c>
      <c r="B244" t="s">
        <v>196</v>
      </c>
      <c r="C244" s="72" t="n">
        <v>2033</v>
      </c>
      <c r="D244" t="s">
        <v>190</v>
      </c>
      <c r="E244" s="73" t="n">
        <v>687567.167275408</v>
      </c>
      <c r="F244" s="74" t="n">
        <v>412330.020762274</v>
      </c>
      <c r="G244" s="75" t="n">
        <v>687634.699546926</v>
      </c>
      <c r="H244" s="76" t="n">
        <v>412348.075678578</v>
      </c>
      <c r="I244" s="77" t="str">
        <f>H244-F244</f>
      </c>
      <c r="J244" s="78" t="str">
        <f>G244-E244</f>
      </c>
    </row>
    <row r="245">
      <c r="A245" t="s">
        <v>194</v>
      </c>
      <c r="B245" t="s">
        <v>196</v>
      </c>
      <c r="C245" s="72" t="n">
        <v>2033</v>
      </c>
      <c r="D245" t="s">
        <v>193</v>
      </c>
      <c r="E245" s="73" t="n">
        <v>503637.320422426</v>
      </c>
      <c r="F245" s="74" t="n">
        <v>269852.881758122</v>
      </c>
      <c r="G245" s="75" t="n">
        <v>503751.109420694</v>
      </c>
      <c r="H245" s="76" t="n">
        <v>269883.407599987</v>
      </c>
      <c r="I245" s="77" t="str">
        <f>H245-F245</f>
      </c>
      <c r="J245" s="78" t="str">
        <f>G245-E245</f>
      </c>
    </row>
    <row r="246">
      <c r="A246" t="s">
        <v>194</v>
      </c>
      <c r="B246" t="s">
        <v>196</v>
      </c>
      <c r="C246" s="72" t="n">
        <v>2033</v>
      </c>
      <c r="D246" t="s">
        <v>424</v>
      </c>
      <c r="E246" s="73" t="n">
        <v>44483.7004209825</v>
      </c>
      <c r="F246" s="74" t="n">
        <v>7348.07445581399</v>
      </c>
      <c r="G246" s="75" t="n">
        <v>44483.6835898413</v>
      </c>
      <c r="H246" s="76" t="n">
        <v>7348.07414732206</v>
      </c>
      <c r="I246" s="77" t="str">
        <f>H246-F246</f>
      </c>
      <c r="J246" s="78" t="str">
        <f>G246-E246</f>
      </c>
    </row>
    <row r="247">
      <c r="A247" t="s">
        <v>194</v>
      </c>
      <c r="B247" t="s">
        <v>196</v>
      </c>
      <c r="C247" s="72" t="n">
        <v>2034</v>
      </c>
      <c r="D247" t="s">
        <v>176</v>
      </c>
      <c r="E247" s="73" t="n">
        <v>16434.6085951513</v>
      </c>
      <c r="F247" s="74" t="n">
        <v>11895.1306524891</v>
      </c>
      <c r="G247" s="75" t="n">
        <v>16436.9312806497</v>
      </c>
      <c r="H247" s="76" t="n">
        <v>11896.3823187386</v>
      </c>
      <c r="I247" s="77" t="str">
        <f>H247-F247</f>
      </c>
      <c r="J247" s="78" t="str">
        <f>G247-E247</f>
      </c>
    </row>
    <row r="248">
      <c r="A248" t="s">
        <v>194</v>
      </c>
      <c r="B248" t="s">
        <v>196</v>
      </c>
      <c r="C248" s="72" t="n">
        <v>2034</v>
      </c>
      <c r="D248" t="s">
        <v>238</v>
      </c>
      <c r="E248" s="73" t="n">
        <v>1139361.25476042</v>
      </c>
      <c r="F248" s="74" t="n">
        <v>202147.419275842</v>
      </c>
      <c r="G248" s="75" t="n">
        <v>1139357.01951607</v>
      </c>
      <c r="H248" s="76" t="n">
        <v>202147.27044605</v>
      </c>
      <c r="I248" s="77" t="str">
        <f>H248-F248</f>
      </c>
      <c r="J248" s="78" t="str">
        <f>G248-E248</f>
      </c>
    </row>
    <row r="249">
      <c r="A249" t="s">
        <v>194</v>
      </c>
      <c r="B249" t="s">
        <v>196</v>
      </c>
      <c r="C249" s="72" t="n">
        <v>2034</v>
      </c>
      <c r="D249" t="s">
        <v>184</v>
      </c>
      <c r="E249" s="73" t="n">
        <v>121058.642283361</v>
      </c>
      <c r="F249" s="74" t="n">
        <v>81570.1375118915</v>
      </c>
      <c r="G249" s="75" t="n">
        <v>121105.471839437</v>
      </c>
      <c r="H249" s="76" t="n">
        <v>81594.9482339212</v>
      </c>
      <c r="I249" s="77" t="str">
        <f>H249-F249</f>
      </c>
      <c r="J249" s="78" t="str">
        <f>G249-E249</f>
      </c>
    </row>
    <row r="250">
      <c r="A250" t="s">
        <v>194</v>
      </c>
      <c r="B250" t="s">
        <v>196</v>
      </c>
      <c r="C250" s="72" t="n">
        <v>2034</v>
      </c>
      <c r="D250" t="s">
        <v>187</v>
      </c>
      <c r="E250" s="73" t="n">
        <v>406465.663192913</v>
      </c>
      <c r="F250" s="74" t="n">
        <v>375949.517280549</v>
      </c>
      <c r="G250" s="75" t="n">
        <v>406559.867353788</v>
      </c>
      <c r="H250" s="76" t="n">
        <v>376028.132278335</v>
      </c>
      <c r="I250" s="77" t="str">
        <f>H250-F250</f>
      </c>
      <c r="J250" s="78" t="str">
        <f>G250-E250</f>
      </c>
    </row>
    <row r="251">
      <c r="A251" t="s">
        <v>194</v>
      </c>
      <c r="B251" t="s">
        <v>196</v>
      </c>
      <c r="C251" s="72" t="n">
        <v>2034</v>
      </c>
      <c r="D251" t="s">
        <v>190</v>
      </c>
      <c r="E251" s="73" t="n">
        <v>701624.334242198</v>
      </c>
      <c r="F251" s="74" t="n">
        <v>423238.205926259</v>
      </c>
      <c r="G251" s="75" t="n">
        <v>701691.677358768</v>
      </c>
      <c r="H251" s="76" t="n">
        <v>423259.100590806</v>
      </c>
      <c r="I251" s="77" t="str">
        <f>H251-F251</f>
      </c>
      <c r="J251" s="78" t="str">
        <f>G251-E251</f>
      </c>
    </row>
    <row r="252">
      <c r="A252" t="s">
        <v>194</v>
      </c>
      <c r="B252" t="s">
        <v>196</v>
      </c>
      <c r="C252" s="72" t="n">
        <v>2034</v>
      </c>
      <c r="D252" t="s">
        <v>193</v>
      </c>
      <c r="E252" s="73" t="n">
        <v>516291.517537346</v>
      </c>
      <c r="F252" s="74" t="n">
        <v>279450.026539877</v>
      </c>
      <c r="G252" s="75" t="n">
        <v>516406.53850878</v>
      </c>
      <c r="H252" s="76" t="n">
        <v>279484.980285229</v>
      </c>
      <c r="I252" s="77" t="str">
        <f>H252-F252</f>
      </c>
      <c r="J252" s="78" t="str">
        <f>G252-E252</f>
      </c>
    </row>
    <row r="253">
      <c r="A253" t="s">
        <v>194</v>
      </c>
      <c r="B253" t="s">
        <v>196</v>
      </c>
      <c r="C253" s="72" t="n">
        <v>2034</v>
      </c>
      <c r="D253" t="s">
        <v>424</v>
      </c>
      <c r="E253" s="73" t="n">
        <v>44355.2072052549</v>
      </c>
      <c r="F253" s="74" t="n">
        <v>7385.04144910782</v>
      </c>
      <c r="G253" s="75" t="n">
        <v>44355.184450179</v>
      </c>
      <c r="H253" s="76" t="n">
        <v>7385.04094675217</v>
      </c>
      <c r="I253" s="77" t="str">
        <f>H253-F253</f>
      </c>
      <c r="J253" s="78" t="str">
        <f>G253-E253</f>
      </c>
    </row>
    <row r="254">
      <c r="A254" t="s">
        <v>194</v>
      </c>
      <c r="B254" t="s">
        <v>196</v>
      </c>
      <c r="C254" s="72" t="n">
        <v>2035</v>
      </c>
      <c r="D254" t="s">
        <v>176</v>
      </c>
      <c r="E254" s="73" t="n">
        <v>16889.8752626855</v>
      </c>
      <c r="F254" s="74" t="n">
        <v>12201.7044812552</v>
      </c>
      <c r="G254" s="75" t="n">
        <v>16892.2141390053</v>
      </c>
      <c r="H254" s="76" t="n">
        <v>12203.0577178634</v>
      </c>
      <c r="I254" s="77" t="str">
        <f>H254-F254</f>
      </c>
      <c r="J254" s="78" t="str">
        <f>G254-E254</f>
      </c>
    </row>
    <row r="255">
      <c r="A255" t="s">
        <v>194</v>
      </c>
      <c r="B255" t="s">
        <v>196</v>
      </c>
      <c r="C255" s="72" t="n">
        <v>2035</v>
      </c>
      <c r="D255" t="s">
        <v>238</v>
      </c>
      <c r="E255" s="73" t="n">
        <v>1148977.55636266</v>
      </c>
      <c r="F255" s="74" t="n">
        <v>210291.207316387</v>
      </c>
      <c r="G255" s="75" t="n">
        <v>1148972.16574985</v>
      </c>
      <c r="H255" s="76" t="n">
        <v>210290.980527925</v>
      </c>
      <c r="I255" s="77" t="str">
        <f>H255-F255</f>
      </c>
      <c r="J255" s="78" t="str">
        <f>G255-E255</f>
      </c>
    </row>
    <row r="256">
      <c r="A256" t="s">
        <v>194</v>
      </c>
      <c r="B256" t="s">
        <v>196</v>
      </c>
      <c r="C256" s="72" t="n">
        <v>2035</v>
      </c>
      <c r="D256" t="s">
        <v>184</v>
      </c>
      <c r="E256" s="73" t="n">
        <v>124100.533492319</v>
      </c>
      <c r="F256" s="74" t="n">
        <v>83668.170199841</v>
      </c>
      <c r="G256" s="75" t="n">
        <v>124148.207195844</v>
      </c>
      <c r="H256" s="76" t="n">
        <v>83695.1178728798</v>
      </c>
      <c r="I256" s="77" t="str">
        <f>H256-F256</f>
      </c>
      <c r="J256" s="78" t="str">
        <f>G256-E256</f>
      </c>
    </row>
    <row r="257">
      <c r="A257" t="s">
        <v>194</v>
      </c>
      <c r="B257" t="s">
        <v>196</v>
      </c>
      <c r="C257" s="72" t="n">
        <v>2035</v>
      </c>
      <c r="D257" t="s">
        <v>187</v>
      </c>
      <c r="E257" s="73" t="n">
        <v>414437.811154712</v>
      </c>
      <c r="F257" s="74" t="n">
        <v>383706.951694302</v>
      </c>
      <c r="G257" s="75" t="n">
        <v>414533.160603145</v>
      </c>
      <c r="H257" s="76" t="n">
        <v>383788.762526672</v>
      </c>
      <c r="I257" s="77" t="str">
        <f>H257-F257</f>
      </c>
      <c r="J257" s="78" t="str">
        <f>G257-E257</f>
      </c>
    </row>
    <row r="258">
      <c r="A258" t="s">
        <v>194</v>
      </c>
      <c r="B258" t="s">
        <v>196</v>
      </c>
      <c r="C258" s="72" t="n">
        <v>2035</v>
      </c>
      <c r="D258" t="s">
        <v>190</v>
      </c>
      <c r="E258" s="73" t="n">
        <v>715264.7598284</v>
      </c>
      <c r="F258" s="74" t="n">
        <v>434058.550587087</v>
      </c>
      <c r="G258" s="75" t="n">
        <v>715331.788822102</v>
      </c>
      <c r="H258" s="76" t="n">
        <v>434082.031551195</v>
      </c>
      <c r="I258" s="77" t="str">
        <f>H258-F258</f>
      </c>
      <c r="J258" s="78" t="str">
        <f>G258-E258</f>
      </c>
    </row>
    <row r="259">
      <c r="A259" t="s">
        <v>194</v>
      </c>
      <c r="B259" t="s">
        <v>196</v>
      </c>
      <c r="C259" s="72" t="n">
        <v>2035</v>
      </c>
      <c r="D259" t="s">
        <v>193</v>
      </c>
      <c r="E259" s="73" t="n">
        <v>528702.267030186</v>
      </c>
      <c r="F259" s="74" t="n">
        <v>289111.792445525</v>
      </c>
      <c r="G259" s="75" t="n">
        <v>528818.371883953</v>
      </c>
      <c r="H259" s="76" t="n">
        <v>289150.802435983</v>
      </c>
      <c r="I259" s="77" t="str">
        <f>H259-F259</f>
      </c>
      <c r="J259" s="78" t="str">
        <f>G259-E259</f>
      </c>
    </row>
    <row r="260">
      <c r="A260" t="s">
        <v>194</v>
      </c>
      <c r="B260" t="s">
        <v>196</v>
      </c>
      <c r="C260" s="72" t="n">
        <v>2035</v>
      </c>
      <c r="D260" t="s">
        <v>424</v>
      </c>
      <c r="E260" s="73" t="n">
        <v>44206.7364495009</v>
      </c>
      <c r="F260" s="74" t="n">
        <v>7419.97960400718</v>
      </c>
      <c r="G260" s="75" t="n">
        <v>44206.7073067121</v>
      </c>
      <c r="H260" s="76" t="n">
        <v>7419.97885519321</v>
      </c>
      <c r="I260" s="77" t="str">
        <f>H260-F260</f>
      </c>
      <c r="J260" s="78" t="str">
        <f>G260-E260</f>
      </c>
    </row>
    <row r="261">
      <c r="A261" t="s">
        <v>194</v>
      </c>
      <c r="B261" t="s">
        <v>196</v>
      </c>
      <c r="C261" s="72" t="n">
        <v>2036</v>
      </c>
      <c r="D261" t="s">
        <v>176</v>
      </c>
      <c r="E261" s="73" t="n">
        <v>17348.3037669142</v>
      </c>
      <c r="F261" s="74" t="n">
        <v>12505.4662627979</v>
      </c>
      <c r="G261" s="75" t="n">
        <v>17350.6546269342</v>
      </c>
      <c r="H261" s="76" t="n">
        <v>12506.9021026876</v>
      </c>
      <c r="I261" s="77" t="str">
        <f>H261-F261</f>
      </c>
      <c r="J261" s="78" t="str">
        <f>G261-E261</f>
      </c>
    </row>
    <row r="262">
      <c r="A262" t="s">
        <v>194</v>
      </c>
      <c r="B262" t="s">
        <v>196</v>
      </c>
      <c r="C262" s="72" t="n">
        <v>2036</v>
      </c>
      <c r="D262" t="s">
        <v>238</v>
      </c>
      <c r="E262" s="73" t="n">
        <v>1158272.73672567</v>
      </c>
      <c r="F262" s="74" t="n">
        <v>218371.011246996</v>
      </c>
      <c r="G262" s="75" t="n">
        <v>1158266.13775829</v>
      </c>
      <c r="H262" s="76" t="n">
        <v>218370.687575925</v>
      </c>
      <c r="I262" s="77" t="str">
        <f>H262-F262</f>
      </c>
      <c r="J262" s="78" t="str">
        <f>G262-E262</f>
      </c>
    </row>
    <row r="263">
      <c r="A263" t="s">
        <v>194</v>
      </c>
      <c r="B263" t="s">
        <v>196</v>
      </c>
      <c r="C263" s="72" t="n">
        <v>2036</v>
      </c>
      <c r="D263" t="s">
        <v>184</v>
      </c>
      <c r="E263" s="73" t="n">
        <v>127089.973325429</v>
      </c>
      <c r="F263" s="74" t="n">
        <v>85736.8048587704</v>
      </c>
      <c r="G263" s="75" t="n">
        <v>127138.451085333</v>
      </c>
      <c r="H263" s="76" t="n">
        <v>85765.5647353171</v>
      </c>
      <c r="I263" s="77" t="str">
        <f>H263-F263</f>
      </c>
      <c r="J263" s="78" t="str">
        <f>G263-E263</f>
      </c>
    </row>
    <row r="264">
      <c r="A264" t="s">
        <v>194</v>
      </c>
      <c r="B264" t="s">
        <v>196</v>
      </c>
      <c r="C264" s="72" t="n">
        <v>2036</v>
      </c>
      <c r="D264" t="s">
        <v>187</v>
      </c>
      <c r="E264" s="73" t="n">
        <v>422136.278240225</v>
      </c>
      <c r="F264" s="74" t="n">
        <v>391201.591351168</v>
      </c>
      <c r="G264" s="75" t="n">
        <v>422232.659922133</v>
      </c>
      <c r="H264" s="76" t="n">
        <v>391285.955739587</v>
      </c>
      <c r="I264" s="77" t="str">
        <f>H264-F264</f>
      </c>
      <c r="J264" s="78" t="str">
        <f>G264-E264</f>
      </c>
    </row>
    <row r="265">
      <c r="A265" t="s">
        <v>194</v>
      </c>
      <c r="B265" t="s">
        <v>196</v>
      </c>
      <c r="C265" s="72" t="n">
        <v>2036</v>
      </c>
      <c r="D265" t="s">
        <v>190</v>
      </c>
      <c r="E265" s="73" t="n">
        <v>728464.999802193</v>
      </c>
      <c r="F265" s="74" t="n">
        <v>444722.07245294</v>
      </c>
      <c r="G265" s="75" t="n">
        <v>728531.610160843</v>
      </c>
      <c r="H265" s="76" t="n">
        <v>444747.907566169</v>
      </c>
      <c r="I265" s="77" t="str">
        <f>H265-F265</f>
      </c>
      <c r="J265" s="78" t="str">
        <f>G265-E265</f>
      </c>
    </row>
    <row r="266">
      <c r="A266" t="s">
        <v>194</v>
      </c>
      <c r="B266" t="s">
        <v>196</v>
      </c>
      <c r="C266" s="72" t="n">
        <v>2036</v>
      </c>
      <c r="D266" t="s">
        <v>193</v>
      </c>
      <c r="E266" s="73" t="n">
        <v>540935.213187039</v>
      </c>
      <c r="F266" s="74" t="n">
        <v>298836.863824728</v>
      </c>
      <c r="G266" s="75" t="n">
        <v>541052.28077363</v>
      </c>
      <c r="H266" s="76" t="n">
        <v>298879.611309733</v>
      </c>
      <c r="I266" s="77" t="str">
        <f>H266-F266</f>
      </c>
      <c r="J266" s="78" t="str">
        <f>G266-E266</f>
      </c>
    </row>
    <row r="267">
      <c r="A267" t="s">
        <v>194</v>
      </c>
      <c r="B267" t="s">
        <v>196</v>
      </c>
      <c r="C267" s="72" t="n">
        <v>2036</v>
      </c>
      <c r="D267" t="s">
        <v>424</v>
      </c>
      <c r="E267" s="73" t="n">
        <v>44050.0342685517</v>
      </c>
      <c r="F267" s="74" t="n">
        <v>7453.33617184199</v>
      </c>
      <c r="G267" s="75" t="n">
        <v>44049.9983782722</v>
      </c>
      <c r="H267" s="76" t="n">
        <v>7453.3351271514</v>
      </c>
      <c r="I267" s="77" t="str">
        <f>H267-F267</f>
      </c>
      <c r="J267" s="78" t="str">
        <f>G267-E267</f>
      </c>
    </row>
    <row r="268">
      <c r="A268" t="s">
        <v>194</v>
      </c>
      <c r="B268" t="s">
        <v>196</v>
      </c>
      <c r="C268" s="72" t="n">
        <v>2037</v>
      </c>
      <c r="D268" t="s">
        <v>176</v>
      </c>
      <c r="E268" s="73" t="n">
        <v>17810.1442963146</v>
      </c>
      <c r="F268" s="74" t="n">
        <v>12805.9984391787</v>
      </c>
      <c r="G268" s="75" t="n">
        <v>17812.5035281772</v>
      </c>
      <c r="H268" s="76" t="n">
        <v>12807.5012683992</v>
      </c>
      <c r="I268" s="77" t="str">
        <f>H268-F268</f>
      </c>
      <c r="J268" s="78" t="str">
        <f>G268-E268</f>
      </c>
    </row>
    <row r="269">
      <c r="A269" t="s">
        <v>194</v>
      </c>
      <c r="B269" t="s">
        <v>196</v>
      </c>
      <c r="C269" s="72" t="n">
        <v>2037</v>
      </c>
      <c r="D269" t="s">
        <v>238</v>
      </c>
      <c r="E269" s="73" t="n">
        <v>1167372.50922227</v>
      </c>
      <c r="F269" s="74" t="n">
        <v>226373.805069595</v>
      </c>
      <c r="G269" s="75" t="n">
        <v>1167364.66541375</v>
      </c>
      <c r="H269" s="76" t="n">
        <v>226373.365626062</v>
      </c>
      <c r="I269" s="77" t="str">
        <f>H269-F269</f>
      </c>
      <c r="J269" s="78" t="str">
        <f>G269-E269</f>
      </c>
    </row>
    <row r="270">
      <c r="A270" t="s">
        <v>194</v>
      </c>
      <c r="B270" t="s">
        <v>196</v>
      </c>
      <c r="C270" s="72" t="n">
        <v>2037</v>
      </c>
      <c r="D270" t="s">
        <v>184</v>
      </c>
      <c r="E270" s="73" t="n">
        <v>130042.861837776</v>
      </c>
      <c r="F270" s="74" t="n">
        <v>87755.5666473475</v>
      </c>
      <c r="G270" s="75" t="n">
        <v>130092.112965313</v>
      </c>
      <c r="H270" s="76" t="n">
        <v>87785.8739142287</v>
      </c>
      <c r="I270" s="77" t="str">
        <f>H270-F270</f>
      </c>
      <c r="J270" s="78" t="str">
        <f>G270-E270</f>
      </c>
    </row>
    <row r="271">
      <c r="A271" t="s">
        <v>194</v>
      </c>
      <c r="B271" t="s">
        <v>196</v>
      </c>
      <c r="C271" s="72" t="n">
        <v>2037</v>
      </c>
      <c r="D271" t="s">
        <v>187</v>
      </c>
      <c r="E271" s="73" t="n">
        <v>429577.366548115</v>
      </c>
      <c r="F271" s="74" t="n">
        <v>398387.355476701</v>
      </c>
      <c r="G271" s="75" t="n">
        <v>429674.679324948</v>
      </c>
      <c r="H271" s="76" t="n">
        <v>398473.813386608</v>
      </c>
      <c r="I271" s="77" t="str">
        <f>H271-F271</f>
      </c>
      <c r="J271" s="78" t="str">
        <f>G271-E271</f>
      </c>
    </row>
    <row r="272">
      <c r="A272" t="s">
        <v>194</v>
      </c>
      <c r="B272" t="s">
        <v>196</v>
      </c>
      <c r="C272" s="72" t="n">
        <v>2037</v>
      </c>
      <c r="D272" t="s">
        <v>190</v>
      </c>
      <c r="E272" s="73" t="n">
        <v>741195.329231762</v>
      </c>
      <c r="F272" s="74" t="n">
        <v>455140.219220105</v>
      </c>
      <c r="G272" s="75" t="n">
        <v>741261.427234993</v>
      </c>
      <c r="H272" s="76" t="n">
        <v>455168.184528758</v>
      </c>
      <c r="I272" s="77" t="str">
        <f>H272-F272</f>
      </c>
      <c r="J272" s="78" t="str">
        <f>G272-E272</f>
      </c>
    </row>
    <row r="273">
      <c r="A273" t="s">
        <v>194</v>
      </c>
      <c r="B273" t="s">
        <v>196</v>
      </c>
      <c r="C273" s="72" t="n">
        <v>2037</v>
      </c>
      <c r="D273" t="s">
        <v>193</v>
      </c>
      <c r="E273" s="73" t="n">
        <v>553140.563591513</v>
      </c>
      <c r="F273" s="74" t="n">
        <v>308619.83459844</v>
      </c>
      <c r="G273" s="75" t="n">
        <v>553258.517761357</v>
      </c>
      <c r="H273" s="76" t="n">
        <v>308666.043562302</v>
      </c>
      <c r="I273" s="77" t="str">
        <f>H273-F273</f>
      </c>
      <c r="J273" s="78" t="str">
        <f>G273-E273</f>
      </c>
    </row>
    <row r="274">
      <c r="A274" t="s">
        <v>194</v>
      </c>
      <c r="B274" t="s">
        <v>196</v>
      </c>
      <c r="C274" s="72" t="n">
        <v>2037</v>
      </c>
      <c r="D274" t="s">
        <v>424</v>
      </c>
      <c r="E274" s="73" t="n">
        <v>43886.5395559332</v>
      </c>
      <c r="F274" s="74" t="n">
        <v>7485.64084525167</v>
      </c>
      <c r="G274" s="75" t="n">
        <v>43886.4966397613</v>
      </c>
      <c r="H274" s="76" t="n">
        <v>7485.63945861012</v>
      </c>
      <c r="I274" s="77" t="str">
        <f>H274-F274</f>
      </c>
      <c r="J274" s="78" t="str">
        <f>G274-E274</f>
      </c>
    </row>
    <row r="275">
      <c r="A275" t="s">
        <v>194</v>
      </c>
      <c r="B275" t="s">
        <v>196</v>
      </c>
      <c r="C275" s="72" t="n">
        <v>2038</v>
      </c>
      <c r="D275" t="s">
        <v>176</v>
      </c>
      <c r="E275" s="73" t="n">
        <v>18276.2552065884</v>
      </c>
      <c r="F275" s="74" t="n">
        <v>13106.7017938688</v>
      </c>
      <c r="G275" s="75" t="n">
        <v>18278.6195315823</v>
      </c>
      <c r="H275" s="76" t="n">
        <v>13108.2586821674</v>
      </c>
      <c r="I275" s="77" t="str">
        <f>H275-F275</f>
      </c>
      <c r="J275" s="78" t="str">
        <f>G275-E275</f>
      </c>
    </row>
    <row r="276">
      <c r="A276" t="s">
        <v>194</v>
      </c>
      <c r="B276" t="s">
        <v>196</v>
      </c>
      <c r="C276" s="72" t="n">
        <v>2038</v>
      </c>
      <c r="D276" t="s">
        <v>238</v>
      </c>
      <c r="E276" s="73" t="n">
        <v>1176295.34109817</v>
      </c>
      <c r="F276" s="74" t="n">
        <v>234286.876223993</v>
      </c>
      <c r="G276" s="75" t="n">
        <v>1176286.23006217</v>
      </c>
      <c r="H276" s="76" t="n">
        <v>234286.302403295</v>
      </c>
      <c r="I276" s="77" t="str">
        <f>H276-F276</f>
      </c>
      <c r="J276" s="78" t="str">
        <f>G276-E276</f>
      </c>
    </row>
    <row r="277">
      <c r="A277" t="s">
        <v>194</v>
      </c>
      <c r="B277" t="s">
        <v>196</v>
      </c>
      <c r="C277" s="72" t="n">
        <v>2038</v>
      </c>
      <c r="D277" t="s">
        <v>184</v>
      </c>
      <c r="E277" s="73" t="n">
        <v>132954.777322201</v>
      </c>
      <c r="F277" s="74" t="n">
        <v>89731.2650189951</v>
      </c>
      <c r="G277" s="75" t="n">
        <v>133004.77137127</v>
      </c>
      <c r="H277" s="76" t="n">
        <v>89762.9085046272</v>
      </c>
      <c r="I277" s="77" t="str">
        <f>H277-F277</f>
      </c>
      <c r="J277" s="78" t="str">
        <f>G277-E277</f>
      </c>
    </row>
    <row r="278">
      <c r="A278" t="s">
        <v>194</v>
      </c>
      <c r="B278" t="s">
        <v>196</v>
      </c>
      <c r="C278" s="72" t="n">
        <v>2038</v>
      </c>
      <c r="D278" t="s">
        <v>187</v>
      </c>
      <c r="E278" s="73" t="n">
        <v>436780.209080118</v>
      </c>
      <c r="F278" s="74" t="n">
        <v>405296.742603981</v>
      </c>
      <c r="G278" s="75" t="n">
        <v>436878.359538317</v>
      </c>
      <c r="H278" s="76" t="n">
        <v>405384.957772321</v>
      </c>
      <c r="I278" s="77" t="str">
        <f>H278-F278</f>
      </c>
      <c r="J278" s="78" t="str">
        <f>G278-E278</f>
      </c>
    </row>
    <row r="279">
      <c r="A279" t="s">
        <v>194</v>
      </c>
      <c r="B279" t="s">
        <v>196</v>
      </c>
      <c r="C279" s="72" t="n">
        <v>2038</v>
      </c>
      <c r="D279" t="s">
        <v>190</v>
      </c>
      <c r="E279" s="73" t="n">
        <v>753495.324401416</v>
      </c>
      <c r="F279" s="74" t="n">
        <v>465313.03679233</v>
      </c>
      <c r="G279" s="75" t="n">
        <v>753560.822146793</v>
      </c>
      <c r="H279" s="76" t="n">
        <v>465342.91786371</v>
      </c>
      <c r="I279" s="77" t="str">
        <f>H279-F279</f>
      </c>
      <c r="J279" s="78" t="str">
        <f>G279-E279</f>
      </c>
    </row>
    <row r="280">
      <c r="A280" t="s">
        <v>194</v>
      </c>
      <c r="B280" t="s">
        <v>196</v>
      </c>
      <c r="C280" s="72" t="n">
        <v>2038</v>
      </c>
      <c r="D280" t="s">
        <v>193</v>
      </c>
      <c r="E280" s="73" t="n">
        <v>565285.000511634</v>
      </c>
      <c r="F280" s="74" t="n">
        <v>318411.600908791</v>
      </c>
      <c r="G280" s="75" t="n">
        <v>565403.758799385</v>
      </c>
      <c r="H280" s="76" t="n">
        <v>318461.022248122</v>
      </c>
      <c r="I280" s="77" t="str">
        <f>H280-F280</f>
      </c>
      <c r="J280" s="78" t="str">
        <f>G280-E280</f>
      </c>
    </row>
    <row r="281">
      <c r="A281" t="s">
        <v>194</v>
      </c>
      <c r="B281" t="s">
        <v>196</v>
      </c>
      <c r="C281" s="72" t="n">
        <v>2038</v>
      </c>
      <c r="D281" t="s">
        <v>424</v>
      </c>
      <c r="E281" s="73" t="n">
        <v>43730.7950133995</v>
      </c>
      <c r="F281" s="74" t="n">
        <v>7517.7721242383</v>
      </c>
      <c r="G281" s="75" t="n">
        <v>43730.7448506382</v>
      </c>
      <c r="H281" s="76" t="n">
        <v>7517.77035327065</v>
      </c>
      <c r="I281" s="77" t="str">
        <f>H281-F281</f>
      </c>
      <c r="J281" s="78" t="str">
        <f>G281-E281</f>
      </c>
    </row>
    <row r="282">
      <c r="A282" t="s">
        <v>194</v>
      </c>
      <c r="B282" t="s">
        <v>196</v>
      </c>
      <c r="C282" s="72" t="n">
        <v>2039</v>
      </c>
      <c r="D282" t="s">
        <v>176</v>
      </c>
      <c r="E282" s="73" t="n">
        <v>18749.7235488659</v>
      </c>
      <c r="F282" s="74" t="n">
        <v>13403.069473915</v>
      </c>
      <c r="G282" s="75" t="n">
        <v>18752.090499403</v>
      </c>
      <c r="H282" s="76" t="n">
        <v>13404.6696202756</v>
      </c>
      <c r="I282" s="77" t="str">
        <f>H282-F282</f>
      </c>
      <c r="J282" s="78" t="str">
        <f>G282-E282</f>
      </c>
    </row>
    <row r="283">
      <c r="A283" t="s">
        <v>194</v>
      </c>
      <c r="B283" t="s">
        <v>196</v>
      </c>
      <c r="C283" s="72" t="n">
        <v>2039</v>
      </c>
      <c r="D283" t="s">
        <v>238</v>
      </c>
      <c r="E283" s="73" t="n">
        <v>1184748.78080541</v>
      </c>
      <c r="F283" s="74" t="n">
        <v>242132.917422801</v>
      </c>
      <c r="G283" s="75" t="n">
        <v>1184738.39184491</v>
      </c>
      <c r="H283" s="76" t="n">
        <v>242132.191153164</v>
      </c>
      <c r="I283" s="77" t="str">
        <f>H283-F283</f>
      </c>
      <c r="J283" s="78" t="str">
        <f>G283-E283</f>
      </c>
    </row>
    <row r="284">
      <c r="A284" t="s">
        <v>194</v>
      </c>
      <c r="B284" t="s">
        <v>196</v>
      </c>
      <c r="C284" s="72" t="n">
        <v>2039</v>
      </c>
      <c r="D284" t="s">
        <v>184</v>
      </c>
      <c r="E284" s="73" t="n">
        <v>135821.423663734</v>
      </c>
      <c r="F284" s="74" t="n">
        <v>91683.5520007369</v>
      </c>
      <c r="G284" s="75" t="n">
        <v>135872.13136763</v>
      </c>
      <c r="H284" s="76" t="n">
        <v>91716.3663536023</v>
      </c>
      <c r="I284" s="77" t="str">
        <f>H284-F284</f>
      </c>
      <c r="J284" s="78" t="str">
        <f>G284-E284</f>
      </c>
    </row>
    <row r="285">
      <c r="A285" t="s">
        <v>194</v>
      </c>
      <c r="B285" t="s">
        <v>196</v>
      </c>
      <c r="C285" s="72" t="n">
        <v>2039</v>
      </c>
      <c r="D285" t="s">
        <v>187</v>
      </c>
      <c r="E285" s="73" t="n">
        <v>443807.061880749</v>
      </c>
      <c r="F285" s="74" t="n">
        <v>412030.486195423</v>
      </c>
      <c r="G285" s="75" t="n">
        <v>443905.980748337</v>
      </c>
      <c r="H285" s="76" t="n">
        <v>412120.21350488</v>
      </c>
      <c r="I285" s="77" t="str">
        <f>H285-F285</f>
      </c>
      <c r="J285" s="78" t="str">
        <f>G285-E285</f>
      </c>
    </row>
    <row r="286">
      <c r="A286" t="s">
        <v>194</v>
      </c>
      <c r="B286" t="s">
        <v>196</v>
      </c>
      <c r="C286" s="72" t="n">
        <v>2039</v>
      </c>
      <c r="D286" t="s">
        <v>190</v>
      </c>
      <c r="E286" s="73" t="n">
        <v>765463.632648089</v>
      </c>
      <c r="F286" s="74" t="n">
        <v>475238.197697626</v>
      </c>
      <c r="G286" s="75" t="n">
        <v>765528.467838857</v>
      </c>
      <c r="H286" s="76" t="n">
        <v>475269.787528918</v>
      </c>
      <c r="I286" s="77" t="str">
        <f>H286-F286</f>
      </c>
      <c r="J286" s="78" t="str">
        <f>G286-E286</f>
      </c>
    </row>
    <row r="287">
      <c r="A287" t="s">
        <v>194</v>
      </c>
      <c r="B287" t="s">
        <v>196</v>
      </c>
      <c r="C287" s="72" t="n">
        <v>2039</v>
      </c>
      <c r="D287" t="s">
        <v>193</v>
      </c>
      <c r="E287" s="73" t="n">
        <v>577295.036513695</v>
      </c>
      <c r="F287" s="74" t="n">
        <v>328193.994706393</v>
      </c>
      <c r="G287" s="75" t="n">
        <v>577414.514396235</v>
      </c>
      <c r="H287" s="76" t="n">
        <v>328246.401276368</v>
      </c>
      <c r="I287" s="77" t="str">
        <f>H287-F287</f>
      </c>
      <c r="J287" s="78" t="str">
        <f>G287-E287</f>
      </c>
    </row>
    <row r="288">
      <c r="A288" t="s">
        <v>194</v>
      </c>
      <c r="B288" t="s">
        <v>196</v>
      </c>
      <c r="C288" s="72" t="n">
        <v>2039</v>
      </c>
      <c r="D288" t="s">
        <v>424</v>
      </c>
      <c r="E288" s="73" t="n">
        <v>43588.9030498413</v>
      </c>
      <c r="F288" s="74" t="n">
        <v>7547.56205505171</v>
      </c>
      <c r="G288" s="75" t="n">
        <v>43588.845456637</v>
      </c>
      <c r="H288" s="76" t="n">
        <v>7547.5598608641</v>
      </c>
      <c r="I288" s="77" t="str">
        <f>H288-F288</f>
      </c>
      <c r="J288" s="78" t="str">
        <f>G288-E288</f>
      </c>
    </row>
    <row r="289">
      <c r="A289" t="s">
        <v>194</v>
      </c>
      <c r="B289" t="s">
        <v>196</v>
      </c>
      <c r="C289" s="72" t="n">
        <v>2040</v>
      </c>
      <c r="D289" t="s">
        <v>176</v>
      </c>
      <c r="E289" s="73" t="n">
        <v>19233.3689359273</v>
      </c>
      <c r="F289" s="74" t="n">
        <v>13697.3374816657</v>
      </c>
      <c r="G289" s="75" t="n">
        <v>19235.7365429273</v>
      </c>
      <c r="H289" s="76" t="n">
        <v>13698.9721681132</v>
      </c>
      <c r="I289" s="77" t="str">
        <f>H289-F289</f>
      </c>
      <c r="J289" s="78" t="str">
        <f>G289-E289</f>
      </c>
    </row>
    <row r="290">
      <c r="A290" t="s">
        <v>194</v>
      </c>
      <c r="B290" t="s">
        <v>196</v>
      </c>
      <c r="C290" s="72" t="n">
        <v>2040</v>
      </c>
      <c r="D290" t="s">
        <v>238</v>
      </c>
      <c r="E290" s="73" t="n">
        <v>1192646.09930227</v>
      </c>
      <c r="F290" s="74" t="n">
        <v>249895.374981973</v>
      </c>
      <c r="G290" s="75" t="n">
        <v>1192634.43006365</v>
      </c>
      <c r="H290" s="76" t="n">
        <v>249894.478827588</v>
      </c>
      <c r="I290" s="77" t="str">
        <f>H290-F290</f>
      </c>
      <c r="J290" s="78" t="str">
        <f>G290-E290</f>
      </c>
    </row>
    <row r="291">
      <c r="A291" t="s">
        <v>194</v>
      </c>
      <c r="B291" t="s">
        <v>196</v>
      </c>
      <c r="C291" s="72" t="n">
        <v>2040</v>
      </c>
      <c r="D291" t="s">
        <v>184</v>
      </c>
      <c r="E291" s="73" t="n">
        <v>138638.404389569</v>
      </c>
      <c r="F291" s="74" t="n">
        <v>93603.0485036076</v>
      </c>
      <c r="G291" s="75" t="n">
        <v>138689.796610277</v>
      </c>
      <c r="H291" s="76" t="n">
        <v>93636.8967600593</v>
      </c>
      <c r="I291" s="77" t="str">
        <f>H291-F291</f>
      </c>
      <c r="J291" s="78" t="str">
        <f>G291-E291</f>
      </c>
    </row>
    <row r="292">
      <c r="A292" t="s">
        <v>194</v>
      </c>
      <c r="B292" t="s">
        <v>196</v>
      </c>
      <c r="C292" s="72" t="n">
        <v>2040</v>
      </c>
      <c r="D292" t="s">
        <v>187</v>
      </c>
      <c r="E292" s="73" t="n">
        <v>450742.12142927</v>
      </c>
      <c r="F292" s="74" t="n">
        <v>418529.875242387</v>
      </c>
      <c r="G292" s="75" t="n">
        <v>450841.764596063</v>
      </c>
      <c r="H292" s="76" t="n">
        <v>418620.908948174</v>
      </c>
      <c r="I292" s="77" t="str">
        <f>H292-F292</f>
      </c>
      <c r="J292" s="78" t="str">
        <f>G292-E292</f>
      </c>
    </row>
    <row r="293">
      <c r="A293" t="s">
        <v>194</v>
      </c>
      <c r="B293" t="s">
        <v>196</v>
      </c>
      <c r="C293" s="72" t="n">
        <v>2040</v>
      </c>
      <c r="D293" t="s">
        <v>190</v>
      </c>
      <c r="E293" s="73" t="n">
        <v>777024.385379443</v>
      </c>
      <c r="F293" s="74" t="n">
        <v>484914.002500451</v>
      </c>
      <c r="G293" s="75" t="n">
        <v>777088.496702091</v>
      </c>
      <c r="H293" s="76" t="n">
        <v>484947.105425179</v>
      </c>
      <c r="I293" s="77" t="str">
        <f>H293-F293</f>
      </c>
      <c r="J293" s="78" t="str">
        <f>G293-E293</f>
      </c>
    </row>
    <row r="294">
      <c r="A294" t="s">
        <v>194</v>
      </c>
      <c r="B294" t="s">
        <v>196</v>
      </c>
      <c r="C294" s="72" t="n">
        <v>2040</v>
      </c>
      <c r="D294" t="s">
        <v>193</v>
      </c>
      <c r="E294" s="73" t="n">
        <v>589239.599336908</v>
      </c>
      <c r="F294" s="74" t="n">
        <v>337983.82681093</v>
      </c>
      <c r="G294" s="75" t="n">
        <v>589359.733832842</v>
      </c>
      <c r="H294" s="76" t="n">
        <v>338039.010430446</v>
      </c>
      <c r="I294" s="77" t="str">
        <f>H294-F294</f>
      </c>
      <c r="J294" s="78" t="str">
        <f>G294-E294</f>
      </c>
    </row>
    <row r="295">
      <c r="A295" t="s">
        <v>194</v>
      </c>
      <c r="B295" t="s">
        <v>196</v>
      </c>
      <c r="C295" s="72" t="n">
        <v>2040</v>
      </c>
      <c r="D295" t="s">
        <v>424</v>
      </c>
      <c r="E295" s="73" t="n">
        <v>43464.9248636871</v>
      </c>
      <c r="F295" s="74" t="n">
        <v>7573.72821394001</v>
      </c>
      <c r="G295" s="75" t="n">
        <v>43464.8596818836</v>
      </c>
      <c r="H295" s="76" t="n">
        <v>7573.72556082699</v>
      </c>
      <c r="I295" s="77" t="str">
        <f>H295-F295</f>
      </c>
      <c r="J295" s="78" t="str">
        <f>G295-E295</f>
      </c>
    </row>
    <row r="296">
      <c r="A296" t="s">
        <v>194</v>
      </c>
      <c r="B296" t="s">
        <v>196</v>
      </c>
      <c r="C296" s="72" t="n">
        <v>2041</v>
      </c>
      <c r="D296" t="s">
        <v>176</v>
      </c>
      <c r="E296" s="73" t="n">
        <v>19724.9173422937</v>
      </c>
      <c r="F296" s="74" t="n">
        <v>13989.9445486182</v>
      </c>
      <c r="G296" s="75" t="n">
        <v>19727.283486384</v>
      </c>
      <c r="H296" s="76" t="n">
        <v>13991.6066902828</v>
      </c>
      <c r="I296" s="77" t="str">
        <f>H296-F296</f>
      </c>
      <c r="J296" s="78" t="str">
        <f>G296-E296</f>
      </c>
    </row>
    <row r="297">
      <c r="A297" t="s">
        <v>194</v>
      </c>
      <c r="B297" t="s">
        <v>196</v>
      </c>
      <c r="C297" s="72" t="n">
        <v>2041</v>
      </c>
      <c r="D297" t="s">
        <v>238</v>
      </c>
      <c r="E297" s="73" t="n">
        <v>1200001.12097366</v>
      </c>
      <c r="F297" s="74" t="n">
        <v>257600.126967836</v>
      </c>
      <c r="G297" s="75" t="n">
        <v>1199988.17586749</v>
      </c>
      <c r="H297" s="76" t="n">
        <v>257599.044002988</v>
      </c>
      <c r="I297" s="77" t="str">
        <f>H297-F297</f>
      </c>
      <c r="J297" s="78" t="str">
        <f>G297-E297</f>
      </c>
    </row>
    <row r="298">
      <c r="A298" t="s">
        <v>194</v>
      </c>
      <c r="B298" t="s">
        <v>196</v>
      </c>
      <c r="C298" s="72" t="n">
        <v>2041</v>
      </c>
      <c r="D298" t="s">
        <v>184</v>
      </c>
      <c r="E298" s="73" t="n">
        <v>141423.515701742</v>
      </c>
      <c r="F298" s="74" t="n">
        <v>95492.2353579624</v>
      </c>
      <c r="G298" s="75" t="n">
        <v>141475.570851386</v>
      </c>
      <c r="H298" s="76" t="n">
        <v>95527.0063786807</v>
      </c>
      <c r="I298" s="77" t="str">
        <f>H298-F298</f>
      </c>
      <c r="J298" s="78" t="str">
        <f>G298-E298</f>
      </c>
    </row>
    <row r="299">
      <c r="A299" t="s">
        <v>194</v>
      </c>
      <c r="B299" t="s">
        <v>196</v>
      </c>
      <c r="C299" s="72" t="n">
        <v>2041</v>
      </c>
      <c r="D299" t="s">
        <v>187</v>
      </c>
      <c r="E299" s="73" t="n">
        <v>457597.797955306</v>
      </c>
      <c r="F299" s="74" t="n">
        <v>424913.58031607</v>
      </c>
      <c r="G299" s="75" t="n">
        <v>457698.128134802</v>
      </c>
      <c r="H299" s="76" t="n">
        <v>425005.77720965</v>
      </c>
      <c r="I299" s="77" t="str">
        <f>H299-F299</f>
      </c>
      <c r="J299" s="78" t="str">
        <f>G299-E299</f>
      </c>
    </row>
    <row r="300">
      <c r="A300" t="s">
        <v>194</v>
      </c>
      <c r="B300" t="s">
        <v>196</v>
      </c>
      <c r="C300" s="72" t="n">
        <v>2041</v>
      </c>
      <c r="D300" t="s">
        <v>190</v>
      </c>
      <c r="E300" s="73" t="n">
        <v>788229.911339305</v>
      </c>
      <c r="F300" s="74" t="n">
        <v>494356.441299081</v>
      </c>
      <c r="G300" s="75" t="n">
        <v>788293.242756689</v>
      </c>
      <c r="H300" s="76" t="n">
        <v>494390.873248259</v>
      </c>
      <c r="I300" s="77" t="str">
        <f>H300-F300</f>
      </c>
      <c r="J300" s="78" t="str">
        <f>G300-E300</f>
      </c>
    </row>
    <row r="301">
      <c r="A301" t="s">
        <v>194</v>
      </c>
      <c r="B301" t="s">
        <v>196</v>
      </c>
      <c r="C301" s="72" t="n">
        <v>2041</v>
      </c>
      <c r="D301" t="s">
        <v>193</v>
      </c>
      <c r="E301" s="73" t="n">
        <v>601034.623149605</v>
      </c>
      <c r="F301" s="74" t="n">
        <v>347866.982790095</v>
      </c>
      <c r="G301" s="75" t="n">
        <v>601155.340946961</v>
      </c>
      <c r="H301" s="76" t="n">
        <v>347924.766327078</v>
      </c>
      <c r="I301" s="77" t="str">
        <f>H301-F301</f>
      </c>
      <c r="J301" s="78" t="str">
        <f>G301-E301</f>
      </c>
    </row>
    <row r="302">
      <c r="A302" t="s">
        <v>194</v>
      </c>
      <c r="B302" t="s">
        <v>196</v>
      </c>
      <c r="C302" s="72" t="n">
        <v>2041</v>
      </c>
      <c r="D302" t="s">
        <v>424</v>
      </c>
      <c r="E302" s="73" t="n">
        <v>43361.0085811127</v>
      </c>
      <c r="F302" s="74" t="n">
        <v>7595.99848068847</v>
      </c>
      <c r="G302" s="75" t="n">
        <v>43360.9356755525</v>
      </c>
      <c r="H302" s="76" t="n">
        <v>7595.99533386821</v>
      </c>
      <c r="I302" s="77" t="str">
        <f>H302-F302</f>
      </c>
      <c r="J302" s="78" t="str">
        <f>G302-E302</f>
      </c>
    </row>
    <row r="303">
      <c r="A303" t="s">
        <v>194</v>
      </c>
      <c r="B303" t="s">
        <v>196</v>
      </c>
      <c r="C303" s="72" t="n">
        <v>2042</v>
      </c>
      <c r="D303" t="s">
        <v>176</v>
      </c>
      <c r="E303" s="73" t="n">
        <v>20219.9064785218</v>
      </c>
      <c r="F303" s="74" t="n">
        <v>14282.9331160355</v>
      </c>
      <c r="G303" s="75" t="n">
        <v>20222.2683991647</v>
      </c>
      <c r="H303" s="76" t="n">
        <v>14284.6169088399</v>
      </c>
      <c r="I303" s="77" t="str">
        <f>H303-F303</f>
      </c>
      <c r="J303" s="78" t="str">
        <f>G303-E303</f>
      </c>
    </row>
    <row r="304">
      <c r="A304" t="s">
        <v>194</v>
      </c>
      <c r="B304" t="s">
        <v>196</v>
      </c>
      <c r="C304" s="72" t="n">
        <v>2042</v>
      </c>
      <c r="D304" t="s">
        <v>238</v>
      </c>
      <c r="E304" s="73" t="n">
        <v>1206813.8024553</v>
      </c>
      <c r="F304" s="74" t="n">
        <v>265290.695385483</v>
      </c>
      <c r="G304" s="75" t="n">
        <v>1206799.58929471</v>
      </c>
      <c r="H304" s="76" t="n">
        <v>265289.409116733</v>
      </c>
      <c r="I304" s="77" t="str">
        <f>H304-F304</f>
      </c>
      <c r="J304" s="78" t="str">
        <f>G304-E304</f>
      </c>
    </row>
    <row r="305">
      <c r="A305" t="s">
        <v>194</v>
      </c>
      <c r="B305" t="s">
        <v>196</v>
      </c>
      <c r="C305" s="72" t="n">
        <v>2042</v>
      </c>
      <c r="D305" t="s">
        <v>184</v>
      </c>
      <c r="E305" s="73" t="n">
        <v>144195.364412619</v>
      </c>
      <c r="F305" s="74" t="n">
        <v>97370.5488261882</v>
      </c>
      <c r="G305" s="75" t="n">
        <v>144248.066926011</v>
      </c>
      <c r="H305" s="76" t="n">
        <v>97406.1569770963</v>
      </c>
      <c r="I305" s="77" t="str">
        <f>H305-F305</f>
      </c>
      <c r="J305" s="78" t="str">
        <f>G305-E305</f>
      </c>
    </row>
    <row r="306">
      <c r="A306" t="s">
        <v>194</v>
      </c>
      <c r="B306" t="s">
        <v>196</v>
      </c>
      <c r="C306" s="72" t="n">
        <v>2042</v>
      </c>
      <c r="D306" t="s">
        <v>187</v>
      </c>
      <c r="E306" s="73" t="n">
        <v>464386.055738962</v>
      </c>
      <c r="F306" s="74" t="n">
        <v>431303.776775975</v>
      </c>
      <c r="G306" s="75" t="n">
        <v>464487.038990191</v>
      </c>
      <c r="H306" s="76" t="n">
        <v>431397.042999706</v>
      </c>
      <c r="I306" s="77" t="str">
        <f>H306-F306</f>
      </c>
      <c r="J306" s="78" t="str">
        <f>G306-E306</f>
      </c>
    </row>
    <row r="307">
      <c r="A307" t="s">
        <v>194</v>
      </c>
      <c r="B307" t="s">
        <v>196</v>
      </c>
      <c r="C307" s="72" t="n">
        <v>2042</v>
      </c>
      <c r="D307" t="s">
        <v>190</v>
      </c>
      <c r="E307" s="73" t="n">
        <v>799163.004526551</v>
      </c>
      <c r="F307" s="74" t="n">
        <v>503568.216068751</v>
      </c>
      <c r="G307" s="75" t="n">
        <v>799225.499121645</v>
      </c>
      <c r="H307" s="76" t="n">
        <v>503603.803809569</v>
      </c>
      <c r="I307" s="77" t="str">
        <f>H307-F307</f>
      </c>
      <c r="J307" s="78" t="str">
        <f>G307-E307</f>
      </c>
    </row>
    <row r="308">
      <c r="A308" t="s">
        <v>194</v>
      </c>
      <c r="B308" t="s">
        <v>196</v>
      </c>
      <c r="C308" s="72" t="n">
        <v>2042</v>
      </c>
      <c r="D308" t="s">
        <v>193</v>
      </c>
      <c r="E308" s="73" t="n">
        <v>612542.972173267</v>
      </c>
      <c r="F308" s="74" t="n">
        <v>357870.711245651</v>
      </c>
      <c r="G308" s="75" t="n">
        <v>612664.177038008</v>
      </c>
      <c r="H308" s="76" t="n">
        <v>357930.939504437</v>
      </c>
      <c r="I308" s="77" t="str">
        <f>H308-F308</f>
      </c>
      <c r="J308" s="78" t="str">
        <f>G308-E308</f>
      </c>
    </row>
    <row r="309">
      <c r="A309" t="s">
        <v>194</v>
      </c>
      <c r="B309" t="s">
        <v>196</v>
      </c>
      <c r="C309" s="72" t="n">
        <v>2042</v>
      </c>
      <c r="D309" t="s">
        <v>424</v>
      </c>
      <c r="E309" s="73" t="n">
        <v>43278.8092299152</v>
      </c>
      <c r="F309" s="74" t="n">
        <v>7616.59647897805</v>
      </c>
      <c r="G309" s="75" t="n">
        <v>43278.7284816073</v>
      </c>
      <c r="H309" s="76" t="n">
        <v>7616.59280355029</v>
      </c>
      <c r="I309" s="77" t="str">
        <f>H309-F309</f>
      </c>
      <c r="J309" s="78" t="str">
        <f>G309-E309</f>
      </c>
    </row>
    <row r="310">
      <c r="A310" t="s">
        <v>194</v>
      </c>
      <c r="B310" t="s">
        <v>196</v>
      </c>
      <c r="C310" s="72" t="n">
        <v>2043</v>
      </c>
      <c r="D310" t="s">
        <v>176</v>
      </c>
      <c r="E310" s="73" t="n">
        <v>20718.193486393</v>
      </c>
      <c r="F310" s="74" t="n">
        <v>14571.1827034357</v>
      </c>
      <c r="G310" s="75" t="n">
        <v>20720.5482054553</v>
      </c>
      <c r="H310" s="76" t="n">
        <v>14572.8831532714</v>
      </c>
      <c r="I310" s="77" t="str">
        <f>H310-F310</f>
      </c>
      <c r="J310" s="78" t="str">
        <f>G310-E310</f>
      </c>
    </row>
    <row r="311">
      <c r="A311" t="s">
        <v>194</v>
      </c>
      <c r="B311" t="s">
        <v>196</v>
      </c>
      <c r="C311" s="72" t="n">
        <v>2043</v>
      </c>
      <c r="D311" t="s">
        <v>238</v>
      </c>
      <c r="E311" s="73" t="n">
        <v>1213064.73273035</v>
      </c>
      <c r="F311" s="74" t="n">
        <v>272951.940824233</v>
      </c>
      <c r="G311" s="75" t="n">
        <v>1213049.26096591</v>
      </c>
      <c r="H311" s="76" t="n">
        <v>272950.435419178</v>
      </c>
      <c r="I311" s="77" t="str">
        <f>H311-F311</f>
      </c>
      <c r="J311" s="78" t="str">
        <f>G311-E311</f>
      </c>
    </row>
    <row r="312">
      <c r="A312" t="s">
        <v>194</v>
      </c>
      <c r="B312" t="s">
        <v>196</v>
      </c>
      <c r="C312" s="72" t="n">
        <v>2043</v>
      </c>
      <c r="D312" t="s">
        <v>184</v>
      </c>
      <c r="E312" s="73" t="n">
        <v>146940.48549507</v>
      </c>
      <c r="F312" s="74" t="n">
        <v>99235.0189802723</v>
      </c>
      <c r="G312" s="75" t="n">
        <v>146993.814208207</v>
      </c>
      <c r="H312" s="76" t="n">
        <v>99271.3911680729</v>
      </c>
      <c r="I312" s="77" t="str">
        <f>H312-F312</f>
      </c>
      <c r="J312" s="78" t="str">
        <f>G312-E312</f>
      </c>
    </row>
    <row r="313">
      <c r="A313" t="s">
        <v>194</v>
      </c>
      <c r="B313" t="s">
        <v>196</v>
      </c>
      <c r="C313" s="72" t="n">
        <v>2043</v>
      </c>
      <c r="D313" t="s">
        <v>187</v>
      </c>
      <c r="E313" s="73" t="n">
        <v>471053.248765932</v>
      </c>
      <c r="F313" s="74" t="n">
        <v>437585.755798746</v>
      </c>
      <c r="G313" s="75" t="n">
        <v>471154.839580669</v>
      </c>
      <c r="H313" s="76" t="n">
        <v>437679.988471842</v>
      </c>
      <c r="I313" s="77" t="str">
        <f>H313-F313</f>
      </c>
      <c r="J313" s="78" t="str">
        <f>G313-E313</f>
      </c>
    </row>
    <row r="314">
      <c r="A314" t="s">
        <v>194</v>
      </c>
      <c r="B314" t="s">
        <v>196</v>
      </c>
      <c r="C314" s="72" t="n">
        <v>2043</v>
      </c>
      <c r="D314" t="s">
        <v>190</v>
      </c>
      <c r="E314" s="73" t="n">
        <v>809953.162033395</v>
      </c>
      <c r="F314" s="74" t="n">
        <v>512573.86630332</v>
      </c>
      <c r="G314" s="75" t="n">
        <v>810014.772834319</v>
      </c>
      <c r="H314" s="76" t="n">
        <v>512610.449179313</v>
      </c>
      <c r="I314" s="77" t="str">
        <f>H314-F314</f>
      </c>
      <c r="J314" s="78" t="str">
        <f>G314-E314</f>
      </c>
    </row>
    <row r="315">
      <c r="A315" t="s">
        <v>194</v>
      </c>
      <c r="B315" t="s">
        <v>196</v>
      </c>
      <c r="C315" s="72" t="n">
        <v>2043</v>
      </c>
      <c r="D315" t="s">
        <v>193</v>
      </c>
      <c r="E315" s="73" t="n">
        <v>623831.741569178</v>
      </c>
      <c r="F315" s="74" t="n">
        <v>367896.547062211</v>
      </c>
      <c r="G315" s="75" t="n">
        <v>623953.356494139</v>
      </c>
      <c r="H315" s="76" t="n">
        <v>367959.059248153</v>
      </c>
      <c r="I315" s="77" t="str">
        <f>H315-F315</f>
      </c>
      <c r="J315" s="78" t="str">
        <f>G315-E315</f>
      </c>
    </row>
    <row r="316">
      <c r="A316" t="s">
        <v>194</v>
      </c>
      <c r="B316" t="s">
        <v>196</v>
      </c>
      <c r="C316" s="72" t="n">
        <v>2043</v>
      </c>
      <c r="D316" t="s">
        <v>424</v>
      </c>
      <c r="E316" s="73" t="n">
        <v>43232.2272466048</v>
      </c>
      <c r="F316" s="74" t="n">
        <v>7634.64233678829</v>
      </c>
      <c r="G316" s="75" t="n">
        <v>43232.1385441846</v>
      </c>
      <c r="H316" s="76" t="n">
        <v>7634.63809790975</v>
      </c>
      <c r="I316" s="77" t="str">
        <f>H316-F316</f>
      </c>
      <c r="J316" s="78" t="str">
        <f>G316-E316</f>
      </c>
    </row>
    <row r="317">
      <c r="A317" t="s">
        <v>194</v>
      </c>
      <c r="B317" t="s">
        <v>196</v>
      </c>
      <c r="C317" s="72" t="n">
        <v>2044</v>
      </c>
      <c r="D317" t="s">
        <v>176</v>
      </c>
      <c r="E317" s="73" t="n">
        <v>21217.903243271</v>
      </c>
      <c r="F317" s="74" t="n">
        <v>14859.7191201956</v>
      </c>
      <c r="G317" s="75" t="n">
        <v>21220.2473713984</v>
      </c>
      <c r="H317" s="76" t="n">
        <v>14861.4315691186</v>
      </c>
      <c r="I317" s="77" t="str">
        <f>H317-F317</f>
      </c>
      <c r="J317" s="78" t="str">
        <f>G317-E317</f>
      </c>
    </row>
    <row r="318">
      <c r="A318" t="s">
        <v>194</v>
      </c>
      <c r="B318" t="s">
        <v>196</v>
      </c>
      <c r="C318" s="72" t="n">
        <v>2044</v>
      </c>
      <c r="D318" t="s">
        <v>238</v>
      </c>
      <c r="E318" s="73" t="n">
        <v>1219005.18682413</v>
      </c>
      <c r="F318" s="74" t="n">
        <v>280508.181121377</v>
      </c>
      <c r="G318" s="75" t="n">
        <v>1218988.4670045</v>
      </c>
      <c r="H318" s="76" t="n">
        <v>280506.441535508</v>
      </c>
      <c r="I318" s="77" t="str">
        <f>H318-F318</f>
      </c>
      <c r="J318" s="78" t="str">
        <f>G318-E318</f>
      </c>
    </row>
    <row r="319">
      <c r="A319" t="s">
        <v>194</v>
      </c>
      <c r="B319" t="s">
        <v>196</v>
      </c>
      <c r="C319" s="72" t="n">
        <v>2044</v>
      </c>
      <c r="D319" t="s">
        <v>184</v>
      </c>
      <c r="E319" s="73" t="n">
        <v>149642.286790194</v>
      </c>
      <c r="F319" s="74" t="n">
        <v>101075.219260036</v>
      </c>
      <c r="G319" s="75" t="n">
        <v>149696.213967301</v>
      </c>
      <c r="H319" s="76" t="n">
        <v>101112.290089553</v>
      </c>
      <c r="I319" s="77" t="str">
        <f>H319-F319</f>
      </c>
      <c r="J319" s="78" t="str">
        <f>G319-E319</f>
      </c>
    </row>
    <row r="320">
      <c r="A320" t="s">
        <v>194</v>
      </c>
      <c r="B320" t="s">
        <v>196</v>
      </c>
      <c r="C320" s="72" t="n">
        <v>2044</v>
      </c>
      <c r="D320" t="s">
        <v>187</v>
      </c>
      <c r="E320" s="73" t="n">
        <v>477479.187061468</v>
      </c>
      <c r="F320" s="74" t="n">
        <v>443705.54083453</v>
      </c>
      <c r="G320" s="75" t="n">
        <v>477581.314836645</v>
      </c>
      <c r="H320" s="76" t="n">
        <v>443800.637197395</v>
      </c>
      <c r="I320" s="77" t="str">
        <f>H320-F320</f>
      </c>
      <c r="J320" s="78" t="str">
        <f>G320-E320</f>
      </c>
    </row>
    <row r="321">
      <c r="A321" t="s">
        <v>194</v>
      </c>
      <c r="B321" t="s">
        <v>196</v>
      </c>
      <c r="C321" s="72" t="n">
        <v>2044</v>
      </c>
      <c r="D321" t="s">
        <v>190</v>
      </c>
      <c r="E321" s="73" t="n">
        <v>820681.684330184</v>
      </c>
      <c r="F321" s="74" t="n">
        <v>521382.739913881</v>
      </c>
      <c r="G321" s="75" t="n">
        <v>820742.370121934</v>
      </c>
      <c r="H321" s="76" t="n">
        <v>521420.170330997</v>
      </c>
      <c r="I321" s="77" t="str">
        <f>H321-F321</f>
      </c>
      <c r="J321" s="78" t="str">
        <f>G321-E321</f>
      </c>
    </row>
    <row r="322">
      <c r="A322" t="s">
        <v>194</v>
      </c>
      <c r="B322" t="s">
        <v>196</v>
      </c>
      <c r="C322" s="72" t="n">
        <v>2044</v>
      </c>
      <c r="D322" t="s">
        <v>193</v>
      </c>
      <c r="E322" s="73" t="n">
        <v>634902.592473011</v>
      </c>
      <c r="F322" s="74" t="n">
        <v>377853.956344095</v>
      </c>
      <c r="G322" s="75" t="n">
        <v>635024.546467649</v>
      </c>
      <c r="H322" s="76" t="n">
        <v>377918.589898958</v>
      </c>
      <c r="I322" s="77" t="str">
        <f>H322-F322</f>
      </c>
      <c r="J322" s="78" t="str">
        <f>G322-E322</f>
      </c>
    </row>
    <row r="323">
      <c r="A323" t="s">
        <v>194</v>
      </c>
      <c r="B323" t="s">
        <v>196</v>
      </c>
      <c r="C323" s="72" t="n">
        <v>2044</v>
      </c>
      <c r="D323" t="s">
        <v>424</v>
      </c>
      <c r="E323" s="73" t="n">
        <v>43202.7267917195</v>
      </c>
      <c r="F323" s="74" t="n">
        <v>7652.72666273726</v>
      </c>
      <c r="G323" s="75" t="n">
        <v>43202.6300388595</v>
      </c>
      <c r="H323" s="76" t="n">
        <v>7652.72182573668</v>
      </c>
      <c r="I323" s="77" t="str">
        <f>H323-F323</f>
      </c>
      <c r="J323" s="78" t="str">
        <f>G323-E323</f>
      </c>
    </row>
    <row r="324">
      <c r="A324" t="s">
        <v>194</v>
      </c>
      <c r="B324" t="s">
        <v>196</v>
      </c>
      <c r="C324" s="72" t="n">
        <v>2045</v>
      </c>
      <c r="D324" t="s">
        <v>176</v>
      </c>
      <c r="E324" s="73" t="n">
        <v>21715.286768026</v>
      </c>
      <c r="F324" s="74" t="n">
        <v>15146.5779925467</v>
      </c>
      <c r="G324" s="75" t="n">
        <v>21717.6165215297</v>
      </c>
      <c r="H324" s="76" t="n">
        <v>15148.2979562423</v>
      </c>
      <c r="I324" s="77" t="str">
        <f>H324-F324</f>
      </c>
      <c r="J324" s="78" t="str">
        <f>G324-E324</f>
      </c>
    </row>
    <row r="325">
      <c r="A325" t="s">
        <v>194</v>
      </c>
      <c r="B325" t="s">
        <v>196</v>
      </c>
      <c r="C325" s="72" t="n">
        <v>2045</v>
      </c>
      <c r="D325" t="s">
        <v>238</v>
      </c>
      <c r="E325" s="73" t="n">
        <v>1224686.92015703</v>
      </c>
      <c r="F325" s="74" t="n">
        <v>287927.031238393</v>
      </c>
      <c r="G325" s="75" t="n">
        <v>1224668.96644768</v>
      </c>
      <c r="H325" s="76" t="n">
        <v>287925.043222784</v>
      </c>
      <c r="I325" s="77" t="str">
        <f>H325-F325</f>
      </c>
      <c r="J325" s="78" t="str">
        <f>G325-E325</f>
      </c>
    </row>
    <row r="326">
      <c r="A326" t="s">
        <v>194</v>
      </c>
      <c r="B326" t="s">
        <v>196</v>
      </c>
      <c r="C326" s="72" t="n">
        <v>2045</v>
      </c>
      <c r="D326" t="s">
        <v>184</v>
      </c>
      <c r="E326" s="73" t="n">
        <v>152283.560896717</v>
      </c>
      <c r="F326" s="74" t="n">
        <v>102897.599489818</v>
      </c>
      <c r="G326" s="75" t="n">
        <v>152338.052815886</v>
      </c>
      <c r="H326" s="76" t="n">
        <v>102935.314985138</v>
      </c>
      <c r="I326" s="77" t="str">
        <f>H326-F326</f>
      </c>
      <c r="J326" s="78" t="str">
        <f>G326-E326</f>
      </c>
    </row>
    <row r="327">
      <c r="A327" t="s">
        <v>194</v>
      </c>
      <c r="B327" t="s">
        <v>196</v>
      </c>
      <c r="C327" s="72" t="n">
        <v>2045</v>
      </c>
      <c r="D327" t="s">
        <v>187</v>
      </c>
      <c r="E327" s="73" t="n">
        <v>483620.928083424</v>
      </c>
      <c r="F327" s="74" t="n">
        <v>449621.700656343</v>
      </c>
      <c r="G327" s="75" t="n">
        <v>483723.516122198</v>
      </c>
      <c r="H327" s="76" t="n">
        <v>449717.558047709</v>
      </c>
      <c r="I327" s="77" t="str">
        <f>H327-F327</f>
      </c>
      <c r="J327" s="78" t="str">
        <f>G327-E327</f>
      </c>
    </row>
    <row r="328">
      <c r="A328" t="s">
        <v>194</v>
      </c>
      <c r="B328" t="s">
        <v>196</v>
      </c>
      <c r="C328" s="72" t="n">
        <v>2045</v>
      </c>
      <c r="D328" t="s">
        <v>190</v>
      </c>
      <c r="E328" s="73" t="n">
        <v>831410.48811374</v>
      </c>
      <c r="F328" s="74" t="n">
        <v>529956.091011014</v>
      </c>
      <c r="G328" s="75" t="n">
        <v>831470.210098177</v>
      </c>
      <c r="H328" s="76" t="n">
        <v>529994.226959208</v>
      </c>
      <c r="I328" s="77" t="str">
        <f>H328-F328</f>
      </c>
      <c r="J328" s="78" t="str">
        <f>G328-E328</f>
      </c>
    </row>
    <row r="329">
      <c r="A329" t="s">
        <v>194</v>
      </c>
      <c r="B329" t="s">
        <v>196</v>
      </c>
      <c r="C329" s="72" t="n">
        <v>2045</v>
      </c>
      <c r="D329" t="s">
        <v>193</v>
      </c>
      <c r="E329" s="73" t="n">
        <v>645608.249470333</v>
      </c>
      <c r="F329" s="74" t="n">
        <v>387684.086305111</v>
      </c>
      <c r="G329" s="75" t="n">
        <v>645730.44769896</v>
      </c>
      <c r="H329" s="76" t="n">
        <v>387750.678781898</v>
      </c>
      <c r="I329" s="77" t="str">
        <f>H329-F329</f>
      </c>
      <c r="J329" s="78" t="str">
        <f>G329-E329</f>
      </c>
    </row>
    <row r="330">
      <c r="A330" t="s">
        <v>194</v>
      </c>
      <c r="B330" t="s">
        <v>196</v>
      </c>
      <c r="C330" s="72" t="n">
        <v>2045</v>
      </c>
      <c r="D330" t="s">
        <v>424</v>
      </c>
      <c r="E330" s="73" t="n">
        <v>43190.7086322175</v>
      </c>
      <c r="F330" s="74" t="n">
        <v>7672.0736958697</v>
      </c>
      <c r="G330" s="75" t="n">
        <v>43190.6037513161</v>
      </c>
      <c r="H330" s="76" t="n">
        <v>7672.06822678464</v>
      </c>
      <c r="I330" s="77" t="str">
        <f>H330-F330</f>
      </c>
      <c r="J330" s="78" t="str">
        <f>G330-E330</f>
      </c>
    </row>
    <row r="331">
      <c r="A331" t="s">
        <v>194</v>
      </c>
      <c r="B331" t="s">
        <v>196</v>
      </c>
      <c r="C331" s="72" t="n">
        <v>2046</v>
      </c>
      <c r="D331" t="s">
        <v>176</v>
      </c>
      <c r="E331" s="73" t="n">
        <v>22208.6630562191</v>
      </c>
      <c r="F331" s="74" t="n">
        <v>15435.1683777658</v>
      </c>
      <c r="G331" s="75" t="n">
        <v>22210.9745219107</v>
      </c>
      <c r="H331" s="76" t="n">
        <v>15436.8918612077</v>
      </c>
      <c r="I331" s="77" t="str">
        <f>H331-F331</f>
      </c>
      <c r="J331" s="78" t="str">
        <f>G331-E331</f>
      </c>
    </row>
    <row r="332">
      <c r="A332" t="s">
        <v>194</v>
      </c>
      <c r="B332" t="s">
        <v>196</v>
      </c>
      <c r="C332" s="72" t="n">
        <v>2046</v>
      </c>
      <c r="D332" t="s">
        <v>238</v>
      </c>
      <c r="E332" s="73" t="n">
        <v>1230144.23893271</v>
      </c>
      <c r="F332" s="74" t="n">
        <v>295168.127361117</v>
      </c>
      <c r="G332" s="75" t="n">
        <v>1230125.0687767</v>
      </c>
      <c r="H332" s="76" t="n">
        <v>295165.877208802</v>
      </c>
      <c r="I332" s="77" t="str">
        <f>H332-F332</f>
      </c>
      <c r="J332" s="78" t="str">
        <f>G332-E332</f>
      </c>
    </row>
    <row r="333">
      <c r="A333" t="s">
        <v>194</v>
      </c>
      <c r="B333" t="s">
        <v>196</v>
      </c>
      <c r="C333" s="72" t="n">
        <v>2046</v>
      </c>
      <c r="D333" t="s">
        <v>184</v>
      </c>
      <c r="E333" s="73" t="n">
        <v>154864.162214179</v>
      </c>
      <c r="F333" s="74" t="n">
        <v>104692.824455148</v>
      </c>
      <c r="G333" s="75" t="n">
        <v>154919.185199882</v>
      </c>
      <c r="H333" s="76" t="n">
        <v>104731.133984312</v>
      </c>
      <c r="I333" s="77" t="str">
        <f>H333-F333</f>
      </c>
      <c r="J333" s="78" t="str">
        <f>G333-E333</f>
      </c>
    </row>
    <row r="334">
      <c r="A334" t="s">
        <v>194</v>
      </c>
      <c r="B334" t="s">
        <v>196</v>
      </c>
      <c r="C334" s="72" t="n">
        <v>2046</v>
      </c>
      <c r="D334" t="s">
        <v>187</v>
      </c>
      <c r="E334" s="73" t="n">
        <v>489456.601414284</v>
      </c>
      <c r="F334" s="74" t="n">
        <v>455213.581473819</v>
      </c>
      <c r="G334" s="75" t="n">
        <v>489559.569488497</v>
      </c>
      <c r="H334" s="76" t="n">
        <v>455310.080020589</v>
      </c>
      <c r="I334" s="77" t="str">
        <f>H334-F334</f>
      </c>
      <c r="J334" s="78" t="str">
        <f>G334-E334</f>
      </c>
    </row>
    <row r="335">
      <c r="A335" t="s">
        <v>194</v>
      </c>
      <c r="B335" t="s">
        <v>196</v>
      </c>
      <c r="C335" s="72" t="n">
        <v>2046</v>
      </c>
      <c r="D335" t="s">
        <v>190</v>
      </c>
      <c r="E335" s="73" t="n">
        <v>841963.500864412</v>
      </c>
      <c r="F335" s="74" t="n">
        <v>538401.460536286</v>
      </c>
      <c r="G335" s="75" t="n">
        <v>842022.211146035</v>
      </c>
      <c r="H335" s="76" t="n">
        <v>538440.168228285</v>
      </c>
      <c r="I335" s="77" t="str">
        <f>H335-F335</f>
      </c>
      <c r="J335" s="78" t="str">
        <f>G335-E335</f>
      </c>
    </row>
    <row r="336">
      <c r="A336" t="s">
        <v>194</v>
      </c>
      <c r="B336" t="s">
        <v>196</v>
      </c>
      <c r="C336" s="72" t="n">
        <v>2046</v>
      </c>
      <c r="D336" t="s">
        <v>193</v>
      </c>
      <c r="E336" s="73" t="n">
        <v>655900.865125533</v>
      </c>
      <c r="F336" s="74" t="n">
        <v>397363.556702827</v>
      </c>
      <c r="G336" s="75" t="n">
        <v>656023.203848247</v>
      </c>
      <c r="H336" s="76" t="n">
        <v>397431.950602612</v>
      </c>
      <c r="I336" s="77" t="str">
        <f>H336-F336</f>
      </c>
      <c r="J336" s="78" t="str">
        <f>G336-E336</f>
      </c>
    </row>
    <row r="337">
      <c r="A337" t="s">
        <v>194</v>
      </c>
      <c r="B337" t="s">
        <v>196</v>
      </c>
      <c r="C337" s="72" t="n">
        <v>2046</v>
      </c>
      <c r="D337" t="s">
        <v>424</v>
      </c>
      <c r="E337" s="73" t="n">
        <v>43196.4234152188</v>
      </c>
      <c r="F337" s="74" t="n">
        <v>7693.5631813575</v>
      </c>
      <c r="G337" s="75" t="n">
        <v>43196.3103231123</v>
      </c>
      <c r="H337" s="76" t="n">
        <v>7693.55704865625</v>
      </c>
      <c r="I337" s="77" t="str">
        <f>H337-F337</f>
      </c>
      <c r="J337" s="78" t="str">
        <f>G337-E337</f>
      </c>
    </row>
    <row r="338">
      <c r="A338" t="s">
        <v>194</v>
      </c>
      <c r="B338" t="s">
        <v>196</v>
      </c>
      <c r="C338" s="72" t="n">
        <v>2047</v>
      </c>
      <c r="D338" t="s">
        <v>176</v>
      </c>
      <c r="E338" s="73" t="n">
        <v>22697.3736004446</v>
      </c>
      <c r="F338" s="74" t="n">
        <v>15726.7621314995</v>
      </c>
      <c r="G338" s="75" t="n">
        <v>22699.6629629007</v>
      </c>
      <c r="H338" s="76" t="n">
        <v>15728.4854947303</v>
      </c>
      <c r="I338" s="77" t="str">
        <f>H338-F338</f>
      </c>
      <c r="J338" s="78" t="str">
        <f>G338-E338</f>
      </c>
    </row>
    <row r="339">
      <c r="A339" t="s">
        <v>194</v>
      </c>
      <c r="B339" t="s">
        <v>196</v>
      </c>
      <c r="C339" s="72" t="n">
        <v>2047</v>
      </c>
      <c r="D339" t="s">
        <v>238</v>
      </c>
      <c r="E339" s="73" t="n">
        <v>1235295.0299131</v>
      </c>
      <c r="F339" s="74" t="n">
        <v>302183.076058441</v>
      </c>
      <c r="G339" s="75" t="n">
        <v>1235274.66521773</v>
      </c>
      <c r="H339" s="76" t="n">
        <v>302180.550312501</v>
      </c>
      <c r="I339" s="77" t="str">
        <f>H339-F339</f>
      </c>
      <c r="J339" s="78" t="str">
        <f>G339-E339</f>
      </c>
    </row>
    <row r="340">
      <c r="A340" t="s">
        <v>194</v>
      </c>
      <c r="B340" t="s">
        <v>196</v>
      </c>
      <c r="C340" s="72" t="n">
        <v>2047</v>
      </c>
      <c r="D340" t="s">
        <v>184</v>
      </c>
      <c r="E340" s="73" t="n">
        <v>157380.417949818</v>
      </c>
      <c r="F340" s="74" t="n">
        <v>106448.822947071</v>
      </c>
      <c r="G340" s="75" t="n">
        <v>157435.937342911</v>
      </c>
      <c r="H340" s="76" t="n">
        <v>106487.677760342</v>
      </c>
      <c r="I340" s="77" t="str">
        <f>H340-F340</f>
      </c>
      <c r="J340" s="78" t="str">
        <f>G340-E340</f>
      </c>
    </row>
    <row r="341">
      <c r="A341" t="s">
        <v>194</v>
      </c>
      <c r="B341" t="s">
        <v>196</v>
      </c>
      <c r="C341" s="72" t="n">
        <v>2047</v>
      </c>
      <c r="D341" t="s">
        <v>187</v>
      </c>
      <c r="E341" s="73" t="n">
        <v>494944.071271477</v>
      </c>
      <c r="F341" s="74" t="n">
        <v>460442.407567227</v>
      </c>
      <c r="G341" s="75" t="n">
        <v>495047.331680699</v>
      </c>
      <c r="H341" s="76" t="n">
        <v>460539.427749469</v>
      </c>
      <c r="I341" s="77" t="str">
        <f>H341-F341</f>
      </c>
      <c r="J341" s="78" t="str">
        <f>G341-E341</f>
      </c>
    </row>
    <row r="342">
      <c r="A342" t="s">
        <v>194</v>
      </c>
      <c r="B342" t="s">
        <v>196</v>
      </c>
      <c r="C342" s="72" t="n">
        <v>2047</v>
      </c>
      <c r="D342" t="s">
        <v>190</v>
      </c>
      <c r="E342" s="73" t="n">
        <v>852299.375939322</v>
      </c>
      <c r="F342" s="74" t="n">
        <v>546853.726754813</v>
      </c>
      <c r="G342" s="75" t="n">
        <v>852357.036896631</v>
      </c>
      <c r="H342" s="76" t="n">
        <v>546892.884748123</v>
      </c>
      <c r="I342" s="77" t="str">
        <f>H342-F342</f>
      </c>
      <c r="J342" s="78" t="str">
        <f>G342-E342</f>
      </c>
    </row>
    <row r="343">
      <c r="A343" t="s">
        <v>194</v>
      </c>
      <c r="B343" t="s">
        <v>196</v>
      </c>
      <c r="C343" s="72" t="n">
        <v>2047</v>
      </c>
      <c r="D343" t="s">
        <v>193</v>
      </c>
      <c r="E343" s="73" t="n">
        <v>665838.14441163</v>
      </c>
      <c r="F343" s="74" t="n">
        <v>406868.274451835</v>
      </c>
      <c r="G343" s="75" t="n">
        <v>665960.530537607</v>
      </c>
      <c r="H343" s="76" t="n">
        <v>406938.309858621</v>
      </c>
      <c r="I343" s="77" t="str">
        <f>H343-F343</f>
      </c>
      <c r="J343" s="78" t="str">
        <f>G343-E343</f>
      </c>
    </row>
    <row r="344">
      <c r="A344" t="s">
        <v>194</v>
      </c>
      <c r="B344" t="s">
        <v>196</v>
      </c>
      <c r="C344" s="72" t="n">
        <v>2047</v>
      </c>
      <c r="D344" t="s">
        <v>424</v>
      </c>
      <c r="E344" s="73" t="n">
        <v>43217.755582931</v>
      </c>
      <c r="F344" s="74" t="n">
        <v>7716.2713507003</v>
      </c>
      <c r="G344" s="75" t="n">
        <v>43217.6341923504</v>
      </c>
      <c r="H344" s="76" t="n">
        <v>7716.26452507886</v>
      </c>
      <c r="I344" s="77" t="str">
        <f>H344-F344</f>
      </c>
      <c r="J344" s="78" t="str">
        <f>G344-E344</f>
      </c>
    </row>
    <row r="345">
      <c r="A345" t="s">
        <v>194</v>
      </c>
      <c r="B345" t="s">
        <v>196</v>
      </c>
      <c r="C345" s="72" t="n">
        <v>2048</v>
      </c>
      <c r="D345" t="s">
        <v>176</v>
      </c>
      <c r="E345" s="73" t="n">
        <v>23177.5142258423</v>
      </c>
      <c r="F345" s="74" t="n">
        <v>16023.4988298324</v>
      </c>
      <c r="G345" s="75" t="n">
        <v>23179.7775298232</v>
      </c>
      <c r="H345" s="76" t="n">
        <v>16025.2187605858</v>
      </c>
      <c r="I345" s="77" t="str">
        <f>H345-F345</f>
      </c>
      <c r="J345" s="78" t="str">
        <f>G345-E345</f>
      </c>
    </row>
    <row r="346">
      <c r="A346" t="s">
        <v>194</v>
      </c>
      <c r="B346" t="s">
        <v>196</v>
      </c>
      <c r="C346" s="72" t="n">
        <v>2048</v>
      </c>
      <c r="D346" t="s">
        <v>238</v>
      </c>
      <c r="E346" s="73" t="n">
        <v>1240230.63814273</v>
      </c>
      <c r="F346" s="74" t="n">
        <v>308967.124115077</v>
      </c>
      <c r="G346" s="75" t="n">
        <v>1240209.10376068</v>
      </c>
      <c r="H346" s="76" t="n">
        <v>308964.310377282</v>
      </c>
      <c r="I346" s="77" t="str">
        <f>H346-F346</f>
      </c>
      <c r="J346" s="78" t="str">
        <f>G346-E346</f>
      </c>
    </row>
    <row r="347">
      <c r="A347" t="s">
        <v>194</v>
      </c>
      <c r="B347" t="s">
        <v>196</v>
      </c>
      <c r="C347" s="72" t="n">
        <v>2048</v>
      </c>
      <c r="D347" t="s">
        <v>184</v>
      </c>
      <c r="E347" s="73" t="n">
        <v>159821.090615221</v>
      </c>
      <c r="F347" s="74" t="n">
        <v>108165.951546288</v>
      </c>
      <c r="G347" s="75" t="n">
        <v>159877.069557409</v>
      </c>
      <c r="H347" s="76" t="n">
        <v>108205.309376064</v>
      </c>
      <c r="I347" s="77" t="str">
        <f>H347-F347</f>
      </c>
      <c r="J347" s="78" t="str">
        <f>G347-E347</f>
      </c>
    </row>
    <row r="348">
      <c r="A348" t="s">
        <v>194</v>
      </c>
      <c r="B348" t="s">
        <v>196</v>
      </c>
      <c r="C348" s="72" t="n">
        <v>2048</v>
      </c>
      <c r="D348" t="s">
        <v>187</v>
      </c>
      <c r="E348" s="73" t="n">
        <v>500148.478531646</v>
      </c>
      <c r="F348" s="74" t="n">
        <v>465461.014007365</v>
      </c>
      <c r="G348" s="75" t="n">
        <v>500251.963676638</v>
      </c>
      <c r="H348" s="76" t="n">
        <v>465558.478994868</v>
      </c>
      <c r="I348" s="77" t="str">
        <f>H348-F348</f>
      </c>
      <c r="J348" s="78" t="str">
        <f>G348-E348</f>
      </c>
    </row>
    <row r="349">
      <c r="A349" t="s">
        <v>194</v>
      </c>
      <c r="B349" t="s">
        <v>196</v>
      </c>
      <c r="C349" s="72" t="n">
        <v>2048</v>
      </c>
      <c r="D349" t="s">
        <v>190</v>
      </c>
      <c r="E349" s="73" t="n">
        <v>862364.623443524</v>
      </c>
      <c r="F349" s="74" t="n">
        <v>555179.764822635</v>
      </c>
      <c r="G349" s="75" t="n">
        <v>862421.197666068</v>
      </c>
      <c r="H349" s="76" t="n">
        <v>555219.254274076</v>
      </c>
      <c r="I349" s="77" t="str">
        <f>H349-F349</f>
      </c>
      <c r="J349" s="78" t="str">
        <f>G349-E349</f>
      </c>
    </row>
    <row r="350">
      <c r="A350" t="s">
        <v>194</v>
      </c>
      <c r="B350" t="s">
        <v>196</v>
      </c>
      <c r="C350" s="72" t="n">
        <v>2048</v>
      </c>
      <c r="D350" t="s">
        <v>193</v>
      </c>
      <c r="E350" s="73" t="n">
        <v>675415.719360568</v>
      </c>
      <c r="F350" s="74" t="n">
        <v>416149.632899388</v>
      </c>
      <c r="G350" s="75" t="n">
        <v>675538.067131439</v>
      </c>
      <c r="H350" s="76" t="n">
        <v>416221.145643516</v>
      </c>
      <c r="I350" s="77" t="str">
        <f>H350-F350</f>
      </c>
      <c r="J350" s="78" t="str">
        <f>G350-E350</f>
      </c>
    </row>
    <row r="351">
      <c r="A351" t="s">
        <v>194</v>
      </c>
      <c r="B351" t="s">
        <v>196</v>
      </c>
      <c r="C351" s="72" t="n">
        <v>2048</v>
      </c>
      <c r="D351" t="s">
        <v>424</v>
      </c>
      <c r="E351" s="73" t="n">
        <v>43247.2463071734</v>
      </c>
      <c r="F351" s="74" t="n">
        <v>7740.97577956397</v>
      </c>
      <c r="G351" s="75" t="n">
        <v>43247.1165682685</v>
      </c>
      <c r="H351" s="76" t="n">
        <v>7740.96823230914</v>
      </c>
      <c r="I351" s="77" t="str">
        <f>H351-F351</f>
      </c>
      <c r="J351" s="78" t="str">
        <f>G351-E351</f>
      </c>
    </row>
    <row r="352">
      <c r="A352" t="s">
        <v>194</v>
      </c>
      <c r="B352" t="s">
        <v>196</v>
      </c>
      <c r="C352" s="72" t="n">
        <v>2049</v>
      </c>
      <c r="D352" t="s">
        <v>176</v>
      </c>
      <c r="E352" s="73" t="n">
        <v>23648.1277240803</v>
      </c>
      <c r="F352" s="74" t="n">
        <v>16320.8977651918</v>
      </c>
      <c r="G352" s="75" t="n">
        <v>23650.3614840449</v>
      </c>
      <c r="H352" s="76" t="n">
        <v>16322.61151708</v>
      </c>
      <c r="I352" s="77" t="str">
        <f>H352-F352</f>
      </c>
      <c r="J352" s="78" t="str">
        <f>G352-E352</f>
      </c>
    </row>
    <row r="353">
      <c r="A353" t="s">
        <v>194</v>
      </c>
      <c r="B353" t="s">
        <v>196</v>
      </c>
      <c r="C353" s="72" t="n">
        <v>2049</v>
      </c>
      <c r="D353" t="s">
        <v>238</v>
      </c>
      <c r="E353" s="73" t="n">
        <v>1244981.05497985</v>
      </c>
      <c r="F353" s="74" t="n">
        <v>315531.767548476</v>
      </c>
      <c r="G353" s="75" t="n">
        <v>1244958.37630862</v>
      </c>
      <c r="H353" s="76" t="n">
        <v>315528.654574656</v>
      </c>
      <c r="I353" s="77" t="str">
        <f>H353-F353</f>
      </c>
      <c r="J353" s="78" t="str">
        <f>G353-E353</f>
      </c>
    </row>
    <row r="354">
      <c r="A354" t="s">
        <v>194</v>
      </c>
      <c r="B354" t="s">
        <v>196</v>
      </c>
      <c r="C354" s="72" t="n">
        <v>2049</v>
      </c>
      <c r="D354" t="s">
        <v>184</v>
      </c>
      <c r="E354" s="73" t="n">
        <v>162181.732556779</v>
      </c>
      <c r="F354" s="74" t="n">
        <v>109842.547939531</v>
      </c>
      <c r="G354" s="75" t="n">
        <v>162238.134685625</v>
      </c>
      <c r="H354" s="76" t="n">
        <v>109882.371148655</v>
      </c>
      <c r="I354" s="77" t="str">
        <f>H354-F354</f>
      </c>
      <c r="J354" s="78" t="str">
        <f>G354-E354</f>
      </c>
    </row>
    <row r="355">
      <c r="A355" t="s">
        <v>194</v>
      </c>
      <c r="B355" t="s">
        <v>196</v>
      </c>
      <c r="C355" s="72" t="n">
        <v>2049</v>
      </c>
      <c r="D355" t="s">
        <v>187</v>
      </c>
      <c r="E355" s="73" t="n">
        <v>505112.244171549</v>
      </c>
      <c r="F355" s="74" t="n">
        <v>470286.03353452</v>
      </c>
      <c r="G355" s="75" t="n">
        <v>505215.900508139</v>
      </c>
      <c r="H355" s="76" t="n">
        <v>470383.880162835</v>
      </c>
      <c r="I355" s="77" t="str">
        <f>H355-F355</f>
      </c>
      <c r="J355" s="78" t="str">
        <f>G355-E355</f>
      </c>
    </row>
    <row r="356">
      <c r="A356" t="s">
        <v>194</v>
      </c>
      <c r="B356" t="s">
        <v>196</v>
      </c>
      <c r="C356" s="72" t="n">
        <v>2049</v>
      </c>
      <c r="D356" t="s">
        <v>190</v>
      </c>
      <c r="E356" s="73" t="n">
        <v>871983.972794868</v>
      </c>
      <c r="F356" s="74" t="n">
        <v>563298.059770764</v>
      </c>
      <c r="G356" s="75" t="n">
        <v>872039.412561908</v>
      </c>
      <c r="H356" s="76" t="n">
        <v>563337.765593671</v>
      </c>
      <c r="I356" s="77" t="str">
        <f>H356-F356</f>
      </c>
      <c r="J356" s="78" t="str">
        <f>G356-E356</f>
      </c>
    </row>
    <row r="357">
      <c r="A357" t="s">
        <v>194</v>
      </c>
      <c r="B357" t="s">
        <v>196</v>
      </c>
      <c r="C357" s="72" t="n">
        <v>2049</v>
      </c>
      <c r="D357" t="s">
        <v>193</v>
      </c>
      <c r="E357" s="73" t="n">
        <v>684677.278837349</v>
      </c>
      <c r="F357" s="74" t="n">
        <v>425138.473464927</v>
      </c>
      <c r="G357" s="75" t="n">
        <v>684799.519243418</v>
      </c>
      <c r="H357" s="76" t="n">
        <v>425211.294806661</v>
      </c>
      <c r="I357" s="77" t="str">
        <f>H357-F357</f>
      </c>
      <c r="J357" s="78" t="str">
        <f>G357-E357</f>
      </c>
    </row>
    <row r="358">
      <c r="A358" t="s">
        <v>194</v>
      </c>
      <c r="B358" t="s">
        <v>196</v>
      </c>
      <c r="C358" s="72" t="n">
        <v>2049</v>
      </c>
      <c r="D358" t="s">
        <v>424</v>
      </c>
      <c r="E358" s="73" t="n">
        <v>43287.8322032486</v>
      </c>
      <c r="F358" s="74" t="n">
        <v>7764.4333541134</v>
      </c>
      <c r="G358" s="75" t="n">
        <v>43287.6941181752</v>
      </c>
      <c r="H358" s="76" t="n">
        <v>7764.42505773382</v>
      </c>
      <c r="I358" s="77" t="str">
        <f>H358-F358</f>
      </c>
      <c r="J358" s="78" t="str">
        <f>G358-E358</f>
      </c>
    </row>
    <row r="359">
      <c r="A359" t="s">
        <v>194</v>
      </c>
      <c r="B359" t="s">
        <v>196</v>
      </c>
      <c r="C359" s="72" t="n">
        <v>2050</v>
      </c>
      <c r="D359" t="s">
        <v>176</v>
      </c>
      <c r="E359" s="73" t="n">
        <v>24108.2295505922</v>
      </c>
      <c r="F359" s="74" t="n">
        <v>16617.2186994152</v>
      </c>
      <c r="G359" s="75" t="n">
        <v>24110.4306261692</v>
      </c>
      <c r="H359" s="76" t="n">
        <v>16618.9237091261</v>
      </c>
      <c r="I359" s="77" t="str">
        <f>H359-F359</f>
      </c>
      <c r="J359" s="78" t="str">
        <f>G359-E359</f>
      </c>
    </row>
    <row r="360">
      <c r="A360" t="s">
        <v>194</v>
      </c>
      <c r="B360" t="s">
        <v>196</v>
      </c>
      <c r="C360" s="72" t="n">
        <v>2050</v>
      </c>
      <c r="D360" t="s">
        <v>238</v>
      </c>
      <c r="E360" s="73" t="n">
        <v>1249598.77826466</v>
      </c>
      <c r="F360" s="74" t="n">
        <v>321869.567762741</v>
      </c>
      <c r="G360" s="75" t="n">
        <v>1249574.98129843</v>
      </c>
      <c r="H360" s="76" t="n">
        <v>321866.145423905</v>
      </c>
      <c r="I360" s="77" t="str">
        <f>H360-F360</f>
      </c>
      <c r="J360" s="78" t="str">
        <f>G360-E360</f>
      </c>
    </row>
    <row r="361">
      <c r="A361" t="s">
        <v>194</v>
      </c>
      <c r="B361" t="s">
        <v>196</v>
      </c>
      <c r="C361" s="72" t="n">
        <v>2050</v>
      </c>
      <c r="D361" t="s">
        <v>184</v>
      </c>
      <c r="E361" s="73" t="n">
        <v>164470.156083993</v>
      </c>
      <c r="F361" s="74" t="n">
        <v>111456.013024</v>
      </c>
      <c r="G361" s="75" t="n">
        <v>164526.94959842</v>
      </c>
      <c r="H361" s="76" t="n">
        <v>111496.260054028</v>
      </c>
      <c r="I361" s="77" t="str">
        <f>H361-F361</f>
      </c>
      <c r="J361" s="78" t="str">
        <f>G361-E361</f>
      </c>
    </row>
    <row r="362">
      <c r="A362" t="s">
        <v>194</v>
      </c>
      <c r="B362" t="s">
        <v>196</v>
      </c>
      <c r="C362" s="72" t="n">
        <v>2050</v>
      </c>
      <c r="D362" t="s">
        <v>187</v>
      </c>
      <c r="E362" s="73" t="n">
        <v>509820.021123219</v>
      </c>
      <c r="F362" s="74" t="n">
        <v>474795.109666393</v>
      </c>
      <c r="G362" s="75" t="n">
        <v>509923.794653266</v>
      </c>
      <c r="H362" s="76" t="n">
        <v>474893.254554943</v>
      </c>
      <c r="I362" s="77" t="str">
        <f>H362-F362</f>
      </c>
      <c r="J362" s="78" t="str">
        <f>G362-E362</f>
      </c>
    </row>
    <row r="363">
      <c r="A363" t="s">
        <v>194</v>
      </c>
      <c r="B363" t="s">
        <v>196</v>
      </c>
      <c r="C363" s="72" t="n">
        <v>2050</v>
      </c>
      <c r="D363" t="s">
        <v>190</v>
      </c>
      <c r="E363" s="73" t="n">
        <v>881165.94276127</v>
      </c>
      <c r="F363" s="74" t="n">
        <v>571265.308066349</v>
      </c>
      <c r="G363" s="75" t="n">
        <v>881220.210178615</v>
      </c>
      <c r="H363" s="76" t="n">
        <v>571305.130665456</v>
      </c>
      <c r="I363" s="77" t="str">
        <f>H363-F363</f>
      </c>
      <c r="J363" s="78" t="str">
        <f>G363-E363</f>
      </c>
    </row>
    <row r="364">
      <c r="A364" t="s">
        <v>194</v>
      </c>
      <c r="B364" t="s">
        <v>196</v>
      </c>
      <c r="C364" s="72" t="n">
        <v>2050</v>
      </c>
      <c r="D364" t="s">
        <v>193</v>
      </c>
      <c r="E364" s="73" t="n">
        <v>693711.287528833</v>
      </c>
      <c r="F364" s="74" t="n">
        <v>433854.143987986</v>
      </c>
      <c r="G364" s="75" t="n">
        <v>693833.375810026</v>
      </c>
      <c r="H364" s="76" t="n">
        <v>433928.116842437</v>
      </c>
      <c r="I364" s="77" t="str">
        <f>H364-F364</f>
      </c>
      <c r="J364" s="78" t="str">
        <f>G364-E364</f>
      </c>
    </row>
    <row r="365">
      <c r="A365" t="s">
        <v>194</v>
      </c>
      <c r="B365" t="s">
        <v>196</v>
      </c>
      <c r="C365" s="72" t="n">
        <v>2050</v>
      </c>
      <c r="D365" t="s">
        <v>424</v>
      </c>
      <c r="E365" s="73" t="n">
        <v>43337.4804652117</v>
      </c>
      <c r="F365" s="74" t="n">
        <v>7785.60158681771</v>
      </c>
      <c r="G365" s="75" t="n">
        <v>43337.3340718481</v>
      </c>
      <c r="H365" s="76" t="n">
        <v>7785.59251624651</v>
      </c>
      <c r="I365" s="77" t="str">
        <f>H365-F365</f>
      </c>
      <c r="J365" s="78" t="str">
        <f>G365-E365</f>
      </c>
    </row>
    <row r="366">
      <c r="A366" t="s">
        <v>202</v>
      </c>
      <c r="B366" t="s">
        <v>204</v>
      </c>
      <c r="C366" s="72" t="n">
        <v>2025</v>
      </c>
      <c r="D366" t="s">
        <v>176</v>
      </c>
      <c r="E366" s="73" t="n">
        <v>12347.3896757033</v>
      </c>
      <c r="F366" s="74" t="n">
        <v>8975.30849722876</v>
      </c>
      <c r="G366" s="75" t="n">
        <v>12347.3896757033</v>
      </c>
      <c r="H366" s="76" t="n">
        <v>8975.30849722876</v>
      </c>
      <c r="I366" s="77" t="str">
        <f>H366-F366</f>
      </c>
      <c r="J366" s="78" t="str">
        <f>G366-E366</f>
      </c>
    </row>
    <row r="367">
      <c r="A367" t="s">
        <v>202</v>
      </c>
      <c r="B367" t="s">
        <v>204</v>
      </c>
      <c r="C367" s="72" t="n">
        <v>2025</v>
      </c>
      <c r="D367" t="s">
        <v>238</v>
      </c>
      <c r="E367" s="73" t="n">
        <v>1026043.97207164</v>
      </c>
      <c r="F367" s="74" t="n">
        <v>129403.022830672</v>
      </c>
      <c r="G367" s="75" t="n">
        <v>1026043.97207164</v>
      </c>
      <c r="H367" s="76" t="n">
        <v>129403.022830672</v>
      </c>
      <c r="I367" s="77" t="str">
        <f>H367-F367</f>
      </c>
      <c r="J367" s="78" t="str">
        <f>G367-E367</f>
      </c>
    </row>
    <row r="368">
      <c r="A368" t="s">
        <v>202</v>
      </c>
      <c r="B368" t="s">
        <v>204</v>
      </c>
      <c r="C368" s="72" t="n">
        <v>2025</v>
      </c>
      <c r="D368" t="s">
        <v>184</v>
      </c>
      <c r="E368" s="73" t="n">
        <v>91684.5090142746</v>
      </c>
      <c r="F368" s="74" t="n">
        <v>63318.7518252021</v>
      </c>
      <c r="G368" s="75" t="n">
        <v>91684.5090142746</v>
      </c>
      <c r="H368" s="76" t="n">
        <v>63318.7518252021</v>
      </c>
      <c r="I368" s="77" t="str">
        <f>H368-F368</f>
      </c>
      <c r="J368" s="78" t="str">
        <f>G368-E368</f>
      </c>
    </row>
    <row r="369">
      <c r="A369" t="s">
        <v>202</v>
      </c>
      <c r="B369" t="s">
        <v>204</v>
      </c>
      <c r="C369" s="72" t="n">
        <v>2025</v>
      </c>
      <c r="D369" t="s">
        <v>187</v>
      </c>
      <c r="E369" s="73" t="n">
        <v>327817.992111529</v>
      </c>
      <c r="F369" s="74" t="n">
        <v>300216.82861998</v>
      </c>
      <c r="G369" s="75" t="n">
        <v>327817.992111529</v>
      </c>
      <c r="H369" s="76" t="n">
        <v>300216.82861998</v>
      </c>
      <c r="I369" s="77" t="str">
        <f>H369-F369</f>
      </c>
      <c r="J369" s="78" t="str">
        <f>G369-E369</f>
      </c>
    </row>
    <row r="370">
      <c r="A370" t="s">
        <v>202</v>
      </c>
      <c r="B370" t="s">
        <v>204</v>
      </c>
      <c r="C370" s="72" t="n">
        <v>2025</v>
      </c>
      <c r="D370" t="s">
        <v>190</v>
      </c>
      <c r="E370" s="73" t="n">
        <v>563964.128928848</v>
      </c>
      <c r="F370" s="74" t="n">
        <v>321188.162987932</v>
      </c>
      <c r="G370" s="75" t="n">
        <v>563964.128928848</v>
      </c>
      <c r="H370" s="76" t="n">
        <v>321188.162987932</v>
      </c>
      <c r="I370" s="77" t="str">
        <f>H370-F370</f>
      </c>
      <c r="J370" s="78" t="str">
        <f>G370-E370</f>
      </c>
    </row>
    <row r="371">
      <c r="A371" t="s">
        <v>202</v>
      </c>
      <c r="B371" t="s">
        <v>204</v>
      </c>
      <c r="C371" s="72" t="n">
        <v>2025</v>
      </c>
      <c r="D371" t="s">
        <v>193</v>
      </c>
      <c r="E371" s="73" t="n">
        <v>396205.912797568</v>
      </c>
      <c r="F371" s="74" t="n">
        <v>191954.713579597</v>
      </c>
      <c r="G371" s="75" t="n">
        <v>396205.912797568</v>
      </c>
      <c r="H371" s="76" t="n">
        <v>191954.713579597</v>
      </c>
      <c r="I371" s="77" t="str">
        <f>H371-F371</f>
      </c>
      <c r="J371" s="78" t="str">
        <f>G371-E371</f>
      </c>
    </row>
    <row r="372">
      <c r="A372" t="s">
        <v>202</v>
      </c>
      <c r="B372" t="s">
        <v>204</v>
      </c>
      <c r="C372" s="72" t="n">
        <v>2025</v>
      </c>
      <c r="D372" t="s">
        <v>424</v>
      </c>
      <c r="E372" s="73" t="n">
        <v>44024.8557845561</v>
      </c>
      <c r="F372" s="74" t="n">
        <v>6961.02866951274</v>
      </c>
      <c r="G372" s="75" t="n">
        <v>44024.8557845561</v>
      </c>
      <c r="H372" s="76" t="n">
        <v>6961.02866951274</v>
      </c>
      <c r="I372" s="77" t="str">
        <f>H372-F372</f>
      </c>
      <c r="J372" s="78" t="str">
        <f>G372-E372</f>
      </c>
    </row>
    <row r="373">
      <c r="A373" t="s">
        <v>202</v>
      </c>
      <c r="B373" t="s">
        <v>204</v>
      </c>
      <c r="C373" s="72" t="n">
        <v>2026</v>
      </c>
      <c r="D373" t="s">
        <v>176</v>
      </c>
      <c r="E373" s="73" t="n">
        <v>12812.507871628</v>
      </c>
      <c r="F373" s="74" t="n">
        <v>9308.26420910955</v>
      </c>
      <c r="G373" s="75" t="n">
        <v>12812.507871628</v>
      </c>
      <c r="H373" s="76" t="n">
        <v>9308.26420910955</v>
      </c>
      <c r="I373" s="77" t="str">
        <f>H373-F373</f>
      </c>
      <c r="J373" s="78" t="str">
        <f>G373-E373</f>
      </c>
    </row>
    <row r="374">
      <c r="A374" t="s">
        <v>202</v>
      </c>
      <c r="B374" t="s">
        <v>204</v>
      </c>
      <c r="C374" s="72" t="n">
        <v>2026</v>
      </c>
      <c r="D374" t="s">
        <v>238</v>
      </c>
      <c r="E374" s="73" t="n">
        <v>1040956.74283153</v>
      </c>
      <c r="F374" s="74" t="n">
        <v>137191.896136923</v>
      </c>
      <c r="G374" s="75" t="n">
        <v>1040956.74283153</v>
      </c>
      <c r="H374" s="76" t="n">
        <v>137191.896136923</v>
      </c>
      <c r="I374" s="77" t="str">
        <f>H374-F374</f>
      </c>
      <c r="J374" s="78" t="str">
        <f>G374-E374</f>
      </c>
    </row>
    <row r="375">
      <c r="A375" t="s">
        <v>202</v>
      </c>
      <c r="B375" t="s">
        <v>204</v>
      </c>
      <c r="C375" s="72" t="n">
        <v>2026</v>
      </c>
      <c r="D375" t="s">
        <v>184</v>
      </c>
      <c r="E375" s="73" t="n">
        <v>94906.7029836121</v>
      </c>
      <c r="F375" s="74" t="n">
        <v>65164.4704134017</v>
      </c>
      <c r="G375" s="75" t="n">
        <v>95077.1833035265</v>
      </c>
      <c r="H375" s="76" t="n">
        <v>65164.4704134017</v>
      </c>
      <c r="I375" s="77" t="str">
        <f>H375-F375</f>
      </c>
      <c r="J375" s="78" t="str">
        <f>G375-E375</f>
      </c>
    </row>
    <row r="376">
      <c r="A376" t="s">
        <v>202</v>
      </c>
      <c r="B376" t="s">
        <v>204</v>
      </c>
      <c r="C376" s="72" t="n">
        <v>2026</v>
      </c>
      <c r="D376" t="s">
        <v>187</v>
      </c>
      <c r="E376" s="73" t="n">
        <v>336271.381306161</v>
      </c>
      <c r="F376" s="74" t="n">
        <v>308606.943045308</v>
      </c>
      <c r="G376" s="75" t="n">
        <v>336875.423495605</v>
      </c>
      <c r="H376" s="76" t="n">
        <v>308606.943045308</v>
      </c>
      <c r="I376" s="77" t="str">
        <f>H376-F376</f>
      </c>
      <c r="J376" s="78" t="str">
        <f>G376-E376</f>
      </c>
    </row>
    <row r="377">
      <c r="A377" t="s">
        <v>202</v>
      </c>
      <c r="B377" t="s">
        <v>204</v>
      </c>
      <c r="C377" s="72" t="n">
        <v>2026</v>
      </c>
      <c r="D377" t="s">
        <v>190</v>
      </c>
      <c r="E377" s="73" t="n">
        <v>579071.359678129</v>
      </c>
      <c r="F377" s="74" t="n">
        <v>332896.185768311</v>
      </c>
      <c r="G377" s="75" t="n">
        <v>580111.541957649</v>
      </c>
      <c r="H377" s="76" t="n">
        <v>332896.185768311</v>
      </c>
      <c r="I377" s="77" t="str">
        <f>H377-F377</f>
      </c>
      <c r="J377" s="78" t="str">
        <f>G377-E377</f>
      </c>
    </row>
    <row r="378">
      <c r="A378" t="s">
        <v>202</v>
      </c>
      <c r="B378" t="s">
        <v>204</v>
      </c>
      <c r="C378" s="72" t="n">
        <v>2026</v>
      </c>
      <c r="D378" t="s">
        <v>193</v>
      </c>
      <c r="E378" s="73" t="n">
        <v>409095.017982205</v>
      </c>
      <c r="F378" s="74" t="n">
        <v>202008.199783237</v>
      </c>
      <c r="G378" s="75" t="n">
        <v>409829.87281699</v>
      </c>
      <c r="H378" s="76" t="n">
        <v>202008.199783237</v>
      </c>
      <c r="I378" s="77" t="str">
        <f>H378-F378</f>
      </c>
      <c r="J378" s="78" t="str">
        <f>G378-E378</f>
      </c>
    </row>
    <row r="379">
      <c r="A379" t="s">
        <v>202</v>
      </c>
      <c r="B379" t="s">
        <v>204</v>
      </c>
      <c r="C379" s="72" t="n">
        <v>2026</v>
      </c>
      <c r="D379" t="s">
        <v>424</v>
      </c>
      <c r="E379" s="73" t="n">
        <v>44219.1707517653</v>
      </c>
      <c r="F379" s="74" t="n">
        <v>7023.77126872287</v>
      </c>
      <c r="G379" s="75" t="n">
        <v>44219.1707517653</v>
      </c>
      <c r="H379" s="76" t="n">
        <v>7023.77126872287</v>
      </c>
      <c r="I379" s="77" t="str">
        <f>H379-F379</f>
      </c>
      <c r="J379" s="78" t="str">
        <f>G379-E379</f>
      </c>
    </row>
    <row r="380">
      <c r="A380" t="s">
        <v>202</v>
      </c>
      <c r="B380" t="s">
        <v>204</v>
      </c>
      <c r="C380" s="72" t="n">
        <v>2027</v>
      </c>
      <c r="D380" t="s">
        <v>176</v>
      </c>
      <c r="E380" s="73" t="n">
        <v>13273.481772584</v>
      </c>
      <c r="F380" s="74" t="n">
        <v>9640.71530777017</v>
      </c>
      <c r="G380" s="75" t="n">
        <v>13273.481772584</v>
      </c>
      <c r="H380" s="76" t="n">
        <v>9640.71530777017</v>
      </c>
      <c r="I380" s="77" t="str">
        <f>H380-F380</f>
      </c>
      <c r="J380" s="78" t="str">
        <f>G380-E380</f>
      </c>
    </row>
    <row r="381">
      <c r="A381" t="s">
        <v>202</v>
      </c>
      <c r="B381" t="s">
        <v>204</v>
      </c>
      <c r="C381" s="72" t="n">
        <v>2027</v>
      </c>
      <c r="D381" t="s">
        <v>238</v>
      </c>
      <c r="E381" s="73" t="n">
        <v>1055255.40879996</v>
      </c>
      <c r="F381" s="74" t="n">
        <v>145087.130776418</v>
      </c>
      <c r="G381" s="75" t="n">
        <v>1055255.40879996</v>
      </c>
      <c r="H381" s="76" t="n">
        <v>145087.130776418</v>
      </c>
      <c r="I381" s="77" t="str">
        <f>H381-F381</f>
      </c>
      <c r="J381" s="78" t="str">
        <f>G381-E381</f>
      </c>
    </row>
    <row r="382">
      <c r="A382" t="s">
        <v>202</v>
      </c>
      <c r="B382" t="s">
        <v>204</v>
      </c>
      <c r="C382" s="72" t="n">
        <v>2027</v>
      </c>
      <c r="D382" t="s">
        <v>184</v>
      </c>
      <c r="E382" s="73" t="n">
        <v>98096.4025284959</v>
      </c>
      <c r="F382" s="74" t="n">
        <v>67039.142222395</v>
      </c>
      <c r="G382" s="75" t="n">
        <v>98448.8278839669</v>
      </c>
      <c r="H382" s="76" t="n">
        <v>67068.0169086102</v>
      </c>
      <c r="I382" s="77" t="str">
        <f>H382-F382</f>
      </c>
      <c r="J382" s="78" t="str">
        <f>G382-E382</f>
      </c>
    </row>
    <row r="383">
      <c r="A383" t="s">
        <v>202</v>
      </c>
      <c r="B383" t="s">
        <v>204</v>
      </c>
      <c r="C383" s="72" t="n">
        <v>2027</v>
      </c>
      <c r="D383" t="s">
        <v>187</v>
      </c>
      <c r="E383" s="73" t="n">
        <v>344699.5548696</v>
      </c>
      <c r="F383" s="74" t="n">
        <v>316857.833372423</v>
      </c>
      <c r="G383" s="75" t="n">
        <v>345936.706716403</v>
      </c>
      <c r="H383" s="76" t="n">
        <v>317119.553552555</v>
      </c>
      <c r="I383" s="77" t="str">
        <f>H383-F383</f>
      </c>
      <c r="J383" s="78" t="str">
        <f>G383-E383</f>
      </c>
    </row>
    <row r="384">
      <c r="A384" t="s">
        <v>202</v>
      </c>
      <c r="B384" t="s">
        <v>204</v>
      </c>
      <c r="C384" s="72" t="n">
        <v>2027</v>
      </c>
      <c r="D384" t="s">
        <v>190</v>
      </c>
      <c r="E384" s="73" t="n">
        <v>594020.428086695</v>
      </c>
      <c r="F384" s="74" t="n">
        <v>344450.175392813</v>
      </c>
      <c r="G384" s="75" t="n">
        <v>596148.832334676</v>
      </c>
      <c r="H384" s="76" t="n">
        <v>344517.274659827</v>
      </c>
      <c r="I384" s="77" t="str">
        <f>H384-F384</f>
      </c>
      <c r="J384" s="78" t="str">
        <f>G384-E384</f>
      </c>
    </row>
    <row r="385">
      <c r="A385" t="s">
        <v>202</v>
      </c>
      <c r="B385" t="s">
        <v>204</v>
      </c>
      <c r="C385" s="72" t="n">
        <v>2027</v>
      </c>
      <c r="D385" t="s">
        <v>193</v>
      </c>
      <c r="E385" s="73" t="n">
        <v>421973.659036675</v>
      </c>
      <c r="F385" s="74" t="n">
        <v>211939.759648548</v>
      </c>
      <c r="G385" s="75" t="n">
        <v>423485.101321999</v>
      </c>
      <c r="H385" s="76" t="n">
        <v>211995.488024171</v>
      </c>
      <c r="I385" s="77" t="str">
        <f>H385-F385</f>
      </c>
      <c r="J385" s="78" t="str">
        <f>G385-E385</f>
      </c>
    </row>
    <row r="386">
      <c r="A386" t="s">
        <v>202</v>
      </c>
      <c r="B386" t="s">
        <v>204</v>
      </c>
      <c r="C386" s="72" t="n">
        <v>2027</v>
      </c>
      <c r="D386" t="s">
        <v>424</v>
      </c>
      <c r="E386" s="73" t="n">
        <v>44384.2018393689</v>
      </c>
      <c r="F386" s="74" t="n">
        <v>7080.05700568168</v>
      </c>
      <c r="G386" s="75" t="n">
        <v>44384.2018393689</v>
      </c>
      <c r="H386" s="76" t="n">
        <v>7080.05700568168</v>
      </c>
      <c r="I386" s="77" t="str">
        <f>H386-F386</f>
      </c>
      <c r="J386" s="78" t="str">
        <f>G386-E386</f>
      </c>
    </row>
    <row r="387">
      <c r="A387" t="s">
        <v>202</v>
      </c>
      <c r="B387" t="s">
        <v>204</v>
      </c>
      <c r="C387" s="72" t="n">
        <v>2028</v>
      </c>
      <c r="D387" t="s">
        <v>176</v>
      </c>
      <c r="E387" s="73" t="n">
        <v>13729.6403927688</v>
      </c>
      <c r="F387" s="74" t="n">
        <v>9971.45472163389</v>
      </c>
      <c r="G387" s="75" t="n">
        <v>13729.5005000864</v>
      </c>
      <c r="H387" s="76" t="n">
        <v>9971.45472163389</v>
      </c>
      <c r="I387" s="77" t="str">
        <f>H387-F387</f>
      </c>
      <c r="J387" s="78" t="str">
        <f>G387-E387</f>
      </c>
    </row>
    <row r="388">
      <c r="A388" t="s">
        <v>202</v>
      </c>
      <c r="B388" t="s">
        <v>204</v>
      </c>
      <c r="C388" s="72" t="n">
        <v>2028</v>
      </c>
      <c r="D388" t="s">
        <v>238</v>
      </c>
      <c r="E388" s="73" t="n">
        <v>1069008.45530289</v>
      </c>
      <c r="F388" s="74" t="n">
        <v>153077.867387244</v>
      </c>
      <c r="G388" s="75" t="n">
        <v>1069005.07088018</v>
      </c>
      <c r="H388" s="76" t="n">
        <v>153077.867387244</v>
      </c>
      <c r="I388" s="77" t="str">
        <f>H388-F388</f>
      </c>
      <c r="J388" s="78" t="str">
        <f>G388-E388</f>
      </c>
    </row>
    <row r="389">
      <c r="A389" t="s">
        <v>202</v>
      </c>
      <c r="B389" t="s">
        <v>204</v>
      </c>
      <c r="C389" s="72" t="n">
        <v>2028</v>
      </c>
      <c r="D389" t="s">
        <v>184</v>
      </c>
      <c r="E389" s="73" t="n">
        <v>101253.101101319</v>
      </c>
      <c r="F389" s="74" t="n">
        <v>68938.6067729464</v>
      </c>
      <c r="G389" s="75" t="n">
        <v>101797.96761407</v>
      </c>
      <c r="H389" s="76" t="n">
        <v>69019.933123165</v>
      </c>
      <c r="I389" s="77" t="str">
        <f>H389-F389</f>
      </c>
      <c r="J389" s="78" t="str">
        <f>G389-E389</f>
      </c>
    </row>
    <row r="390">
      <c r="A390" t="s">
        <v>202</v>
      </c>
      <c r="B390" t="s">
        <v>204</v>
      </c>
      <c r="C390" s="72" t="n">
        <v>2028</v>
      </c>
      <c r="D390" t="s">
        <v>187</v>
      </c>
      <c r="E390" s="73" t="n">
        <v>353067.386697048</v>
      </c>
      <c r="F390" s="74" t="n">
        <v>325044.000399884</v>
      </c>
      <c r="G390" s="75" t="n">
        <v>354965.535819133</v>
      </c>
      <c r="H390" s="76" t="n">
        <v>325690.683016893</v>
      </c>
      <c r="I390" s="77" t="str">
        <f>H390-F390</f>
      </c>
      <c r="J390" s="78" t="str">
        <f>G390-E390</f>
      </c>
    </row>
    <row r="391">
      <c r="A391" t="s">
        <v>202</v>
      </c>
      <c r="B391" t="s">
        <v>204</v>
      </c>
      <c r="C391" s="72" t="n">
        <v>2028</v>
      </c>
      <c r="D391" t="s">
        <v>190</v>
      </c>
      <c r="E391" s="73" t="n">
        <v>608771.789311396</v>
      </c>
      <c r="F391" s="74" t="n">
        <v>355873.869508665</v>
      </c>
      <c r="G391" s="75" t="n">
        <v>612031.659444751</v>
      </c>
      <c r="H391" s="76" t="n">
        <v>356073.571438059</v>
      </c>
      <c r="I391" s="77" t="str">
        <f>H391-F391</f>
      </c>
      <c r="J391" s="78" t="str">
        <f>G391-E391</f>
      </c>
    </row>
    <row r="392">
      <c r="A392" t="s">
        <v>202</v>
      </c>
      <c r="B392" t="s">
        <v>204</v>
      </c>
      <c r="C392" s="72" t="n">
        <v>2028</v>
      </c>
      <c r="D392" t="s">
        <v>193</v>
      </c>
      <c r="E392" s="73" t="n">
        <v>434833.334006467</v>
      </c>
      <c r="F392" s="74" t="n">
        <v>221747.939977052</v>
      </c>
      <c r="G392" s="75" t="n">
        <v>437159.755191958</v>
      </c>
      <c r="H392" s="76" t="n">
        <v>221908.958563303</v>
      </c>
      <c r="I392" s="77" t="str">
        <f>H392-F392</f>
      </c>
      <c r="J392" s="78" t="str">
        <f>G392-E392</f>
      </c>
    </row>
    <row r="393">
      <c r="A393" t="s">
        <v>202</v>
      </c>
      <c r="B393" t="s">
        <v>204</v>
      </c>
      <c r="C393" s="72" t="n">
        <v>2028</v>
      </c>
      <c r="D393" t="s">
        <v>424</v>
      </c>
      <c r="E393" s="73" t="n">
        <v>44510.0832327308</v>
      </c>
      <c r="F393" s="74" t="n">
        <v>7131.07016356498</v>
      </c>
      <c r="G393" s="75" t="n">
        <v>44510.0649629929</v>
      </c>
      <c r="H393" s="76" t="n">
        <v>7131.07016356498</v>
      </c>
      <c r="I393" s="77" t="str">
        <f>H393-F393</f>
      </c>
      <c r="J393" s="78" t="str">
        <f>G393-E393</f>
      </c>
    </row>
    <row r="394">
      <c r="A394" t="s">
        <v>202</v>
      </c>
      <c r="B394" t="s">
        <v>204</v>
      </c>
      <c r="C394" s="72" t="n">
        <v>2029</v>
      </c>
      <c r="D394" t="s">
        <v>176</v>
      </c>
      <c r="E394" s="73" t="n">
        <v>14181.9307823567</v>
      </c>
      <c r="F394" s="74" t="n">
        <v>10301.2561031243</v>
      </c>
      <c r="G394" s="75" t="n">
        <v>14181.4236375467</v>
      </c>
      <c r="H394" s="76" t="n">
        <v>10301.2295792609</v>
      </c>
      <c r="I394" s="77" t="str">
        <f>H394-F394</f>
      </c>
      <c r="J394" s="78" t="str">
        <f>G394-E394</f>
      </c>
    </row>
    <row r="395">
      <c r="A395" t="s">
        <v>202</v>
      </c>
      <c r="B395" t="s">
        <v>204</v>
      </c>
      <c r="C395" s="72" t="n">
        <v>2029</v>
      </c>
      <c r="D395" t="s">
        <v>238</v>
      </c>
      <c r="E395" s="73" t="n">
        <v>1082264.57209823</v>
      </c>
      <c r="F395" s="74" t="n">
        <v>161161.12971613</v>
      </c>
      <c r="G395" s="75" t="n">
        <v>1082252.39423074</v>
      </c>
      <c r="H395" s="76" t="n">
        <v>161161.062132093</v>
      </c>
      <c r="I395" s="77" t="str">
        <f>H395-F395</f>
      </c>
      <c r="J395" s="78" t="str">
        <f>G395-E395</f>
      </c>
    </row>
    <row r="396">
      <c r="A396" t="s">
        <v>202</v>
      </c>
      <c r="B396" t="s">
        <v>204</v>
      </c>
      <c r="C396" s="72" t="n">
        <v>2029</v>
      </c>
      <c r="D396" t="s">
        <v>184</v>
      </c>
      <c r="E396" s="73" t="n">
        <v>104367.631469053</v>
      </c>
      <c r="F396" s="74" t="n">
        <v>70888.5933709913</v>
      </c>
      <c r="G396" s="75" t="n">
        <v>105114.693344183</v>
      </c>
      <c r="H396" s="76" t="n">
        <v>71042.0544294395</v>
      </c>
      <c r="I396" s="77" t="str">
        <f>H396-F396</f>
      </c>
      <c r="J396" s="78" t="str">
        <f>G396-E396</f>
      </c>
    </row>
    <row r="397">
      <c r="A397" t="s">
        <v>202</v>
      </c>
      <c r="B397" t="s">
        <v>204</v>
      </c>
      <c r="C397" s="72" t="n">
        <v>2029</v>
      </c>
      <c r="D397" t="s">
        <v>187</v>
      </c>
      <c r="E397" s="73" t="n">
        <v>361310.738793856</v>
      </c>
      <c r="F397" s="74" t="n">
        <v>333179.483062607</v>
      </c>
      <c r="G397" s="75" t="n">
        <v>363896.204247168</v>
      </c>
      <c r="H397" s="76" t="n">
        <v>334292.677138926</v>
      </c>
      <c r="I397" s="77" t="str">
        <f>H397-F397</f>
      </c>
      <c r="J397" s="78" t="str">
        <f>G397-E397</f>
      </c>
    </row>
    <row r="398">
      <c r="A398" t="s">
        <v>202</v>
      </c>
      <c r="B398" t="s">
        <v>204</v>
      </c>
      <c r="C398" s="72" t="n">
        <v>2029</v>
      </c>
      <c r="D398" t="s">
        <v>190</v>
      </c>
      <c r="E398" s="73" t="n">
        <v>623295.222354143</v>
      </c>
      <c r="F398" s="74" t="n">
        <v>367179.466064031</v>
      </c>
      <c r="G398" s="75" t="n">
        <v>627726.336898794</v>
      </c>
      <c r="H398" s="76" t="n">
        <v>367575.22274735</v>
      </c>
      <c r="I398" s="77" t="str">
        <f>H398-F398</f>
      </c>
      <c r="J398" s="78" t="str">
        <f>G398-E398</f>
      </c>
    </row>
    <row r="399">
      <c r="A399" t="s">
        <v>202</v>
      </c>
      <c r="B399" t="s">
        <v>204</v>
      </c>
      <c r="C399" s="72" t="n">
        <v>2029</v>
      </c>
      <c r="D399" t="s">
        <v>193</v>
      </c>
      <c r="E399" s="73" t="n">
        <v>447608.782173919</v>
      </c>
      <c r="F399" s="74" t="n">
        <v>231395.79675541</v>
      </c>
      <c r="G399" s="75" t="n">
        <v>450786.134013569</v>
      </c>
      <c r="H399" s="76" t="n">
        <v>231708.01887569</v>
      </c>
      <c r="I399" s="77" t="str">
        <f>H399-F399</f>
      </c>
      <c r="J399" s="78" t="str">
        <f>G399-E399</f>
      </c>
    </row>
    <row r="400">
      <c r="A400" t="s">
        <v>202</v>
      </c>
      <c r="B400" t="s">
        <v>204</v>
      </c>
      <c r="C400" s="72" t="n">
        <v>2029</v>
      </c>
      <c r="D400" t="s">
        <v>424</v>
      </c>
      <c r="E400" s="73" t="n">
        <v>44600.3277231462</v>
      </c>
      <c r="F400" s="74" t="n">
        <v>7178.21957267577</v>
      </c>
      <c r="G400" s="75" t="n">
        <v>44600.2614435955</v>
      </c>
      <c r="H400" s="76" t="n">
        <v>7178.21931597252</v>
      </c>
      <c r="I400" s="77" t="str">
        <f>H400-F400</f>
      </c>
      <c r="J400" s="78" t="str">
        <f>G400-E400</f>
      </c>
    </row>
    <row r="401">
      <c r="A401" t="s">
        <v>202</v>
      </c>
      <c r="B401" t="s">
        <v>204</v>
      </c>
      <c r="C401" s="72" t="n">
        <v>2030</v>
      </c>
      <c r="D401" t="s">
        <v>176</v>
      </c>
      <c r="E401" s="73" t="n">
        <v>14632.1032430793</v>
      </c>
      <c r="F401" s="74" t="n">
        <v>10630.385359589</v>
      </c>
      <c r="G401" s="75" t="n">
        <v>14630.9263575645</v>
      </c>
      <c r="H401" s="76" t="n">
        <v>10630.2702680602</v>
      </c>
      <c r="I401" s="77" t="str">
        <f>H401-F401</f>
      </c>
      <c r="J401" s="78" t="str">
        <f>G401-E401</f>
      </c>
    </row>
    <row r="402">
      <c r="A402" t="s">
        <v>202</v>
      </c>
      <c r="B402" t="s">
        <v>204</v>
      </c>
      <c r="C402" s="72" t="n">
        <v>2030</v>
      </c>
      <c r="D402" t="s">
        <v>238</v>
      </c>
      <c r="E402" s="73" t="n">
        <v>1094984.75552551</v>
      </c>
      <c r="F402" s="74" t="n">
        <v>169315.14218731</v>
      </c>
      <c r="G402" s="75" t="n">
        <v>1094956.84444967</v>
      </c>
      <c r="H402" s="76" t="n">
        <v>169314.834038038</v>
      </c>
      <c r="I402" s="77" t="str">
        <f>H402-F402</f>
      </c>
      <c r="J402" s="78" t="str">
        <f>G402-E402</f>
      </c>
    </row>
    <row r="403">
      <c r="A403" t="s">
        <v>202</v>
      </c>
      <c r="B403" t="s">
        <v>204</v>
      </c>
      <c r="C403" s="72" t="n">
        <v>2030</v>
      </c>
      <c r="D403" t="s">
        <v>184</v>
      </c>
      <c r="E403" s="73" t="n">
        <v>107435.444799315</v>
      </c>
      <c r="F403" s="74" t="n">
        <v>72878.4450038987</v>
      </c>
      <c r="G403" s="75" t="n">
        <v>108393.77376612</v>
      </c>
      <c r="H403" s="76" t="n">
        <v>73120.8011068864</v>
      </c>
      <c r="I403" s="77" t="str">
        <f>H403-F403</f>
      </c>
      <c r="J403" s="78" t="str">
        <f>G403-E403</f>
      </c>
    </row>
    <row r="404">
      <c r="A404" t="s">
        <v>202</v>
      </c>
      <c r="B404" t="s">
        <v>204</v>
      </c>
      <c r="C404" s="72" t="n">
        <v>2030</v>
      </c>
      <c r="D404" t="s">
        <v>187</v>
      </c>
      <c r="E404" s="73" t="n">
        <v>369443.964090857</v>
      </c>
      <c r="F404" s="74" t="n">
        <v>341249.337393255</v>
      </c>
      <c r="G404" s="75" t="n">
        <v>372741.795461264</v>
      </c>
      <c r="H404" s="76" t="n">
        <v>342889.635366394</v>
      </c>
      <c r="I404" s="77" t="str">
        <f>H404-F404</f>
      </c>
      <c r="J404" s="78" t="str">
        <f>G404-E404</f>
      </c>
    </row>
    <row r="405">
      <c r="A405" t="s">
        <v>202</v>
      </c>
      <c r="B405" t="s">
        <v>204</v>
      </c>
      <c r="C405" s="72" t="n">
        <v>2030</v>
      </c>
      <c r="D405" t="s">
        <v>190</v>
      </c>
      <c r="E405" s="73" t="n">
        <v>637515.652725923</v>
      </c>
      <c r="F405" s="74" t="n">
        <v>378287.358726187</v>
      </c>
      <c r="G405" s="75" t="n">
        <v>643154.211305628</v>
      </c>
      <c r="H405" s="76" t="n">
        <v>378940.231267445</v>
      </c>
      <c r="I405" s="77" t="str">
        <f>H405-F405</f>
      </c>
      <c r="J405" s="78" t="str">
        <f>G405-E405</f>
      </c>
    </row>
    <row r="406">
      <c r="A406" t="s">
        <v>202</v>
      </c>
      <c r="B406" t="s">
        <v>204</v>
      </c>
      <c r="C406" s="72" t="n">
        <v>2030</v>
      </c>
      <c r="D406" t="s">
        <v>193</v>
      </c>
      <c r="E406" s="73" t="n">
        <v>460298.304304322</v>
      </c>
      <c r="F406" s="74" t="n">
        <v>240803.964240225</v>
      </c>
      <c r="G406" s="75" t="n">
        <v>464360.518103772</v>
      </c>
      <c r="H406" s="76" t="n">
        <v>241310.309903655</v>
      </c>
      <c r="I406" s="77" t="str">
        <f>H406-F406</f>
      </c>
      <c r="J406" s="78" t="str">
        <f>G406-E406</f>
      </c>
    </row>
    <row r="407">
      <c r="A407" t="s">
        <v>202</v>
      </c>
      <c r="B407" t="s">
        <v>204</v>
      </c>
      <c r="C407" s="72" t="n">
        <v>2030</v>
      </c>
      <c r="D407" t="s">
        <v>424</v>
      </c>
      <c r="E407" s="73" t="n">
        <v>44647.4219992364</v>
      </c>
      <c r="F407" s="74" t="n">
        <v>7223.11146353005</v>
      </c>
      <c r="G407" s="75" t="n">
        <v>44647.268915283</v>
      </c>
      <c r="H407" s="76" t="n">
        <v>7223.11031474236</v>
      </c>
      <c r="I407" s="77" t="str">
        <f>H407-F407</f>
      </c>
      <c r="J407" s="78" t="str">
        <f>G407-E407</f>
      </c>
    </row>
    <row r="408">
      <c r="A408" t="s">
        <v>202</v>
      </c>
      <c r="B408" t="s">
        <v>204</v>
      </c>
      <c r="C408" s="72" t="n">
        <v>2031</v>
      </c>
      <c r="D408" t="s">
        <v>176</v>
      </c>
      <c r="E408" s="73" t="n">
        <v>15082.5989759655</v>
      </c>
      <c r="F408" s="74" t="n">
        <v>10955.7306677246</v>
      </c>
      <c r="G408" s="75" t="n">
        <v>15080.3825495532</v>
      </c>
      <c r="H408" s="76" t="n">
        <v>10955.4255331558</v>
      </c>
      <c r="I408" s="77" t="str">
        <f>H408-F408</f>
      </c>
      <c r="J408" s="78" t="str">
        <f>G408-E408</f>
      </c>
    </row>
    <row r="409">
      <c r="A409" t="s">
        <v>202</v>
      </c>
      <c r="B409" t="s">
        <v>204</v>
      </c>
      <c r="C409" s="72" t="n">
        <v>2031</v>
      </c>
      <c r="D409" t="s">
        <v>238</v>
      </c>
      <c r="E409" s="73" t="n">
        <v>1107079.51384164</v>
      </c>
      <c r="F409" s="74" t="n">
        <v>177511.760355197</v>
      </c>
      <c r="G409" s="75" t="n">
        <v>1107027.69162894</v>
      </c>
      <c r="H409" s="76" t="n">
        <v>177510.906196669</v>
      </c>
      <c r="I409" s="77" t="str">
        <f>H409-F409</f>
      </c>
      <c r="J409" s="78" t="str">
        <f>G409-E409</f>
      </c>
    </row>
    <row r="410">
      <c r="A410" t="s">
        <v>202</v>
      </c>
      <c r="B410" t="s">
        <v>204</v>
      </c>
      <c r="C410" s="72" t="n">
        <v>2031</v>
      </c>
      <c r="D410" t="s">
        <v>184</v>
      </c>
      <c r="E410" s="73" t="n">
        <v>110653.32123712</v>
      </c>
      <c r="F410" s="74" t="n">
        <v>74884.4619764123</v>
      </c>
      <c r="G410" s="75" t="n">
        <v>111632.947554352</v>
      </c>
      <c r="H410" s="76" t="n">
        <v>75230.219664338</v>
      </c>
      <c r="I410" s="77" t="str">
        <f>H410-F410</f>
      </c>
      <c r="J410" s="78" t="str">
        <f>G410-E410</f>
      </c>
    </row>
    <row r="411">
      <c r="A411" t="s">
        <v>202</v>
      </c>
      <c r="B411" t="s">
        <v>204</v>
      </c>
      <c r="C411" s="72" t="n">
        <v>2031</v>
      </c>
      <c r="D411" t="s">
        <v>187</v>
      </c>
      <c r="E411" s="73" t="n">
        <v>378114.601040558</v>
      </c>
      <c r="F411" s="74" t="n">
        <v>349216.703203083</v>
      </c>
      <c r="G411" s="75" t="n">
        <v>381470.266781021</v>
      </c>
      <c r="H411" s="76" t="n">
        <v>351432.518672951</v>
      </c>
      <c r="I411" s="77" t="str">
        <f>H411-F411</f>
      </c>
      <c r="J411" s="78" t="str">
        <f>G411-E411</f>
      </c>
    </row>
    <row r="412">
      <c r="A412" t="s">
        <v>202</v>
      </c>
      <c r="B412" t="s">
        <v>204</v>
      </c>
      <c r="C412" s="72" t="n">
        <v>2031</v>
      </c>
      <c r="D412" t="s">
        <v>190</v>
      </c>
      <c r="E412" s="73" t="n">
        <v>652573.340942458</v>
      </c>
      <c r="F412" s="74" t="n">
        <v>389212.540781933</v>
      </c>
      <c r="G412" s="75" t="n">
        <v>658282.149268814</v>
      </c>
      <c r="H412" s="76" t="n">
        <v>390181.003020302</v>
      </c>
      <c r="I412" s="77" t="str">
        <f>H412-F412</f>
      </c>
      <c r="J412" s="78" t="str">
        <f>G412-E412</f>
      </c>
    </row>
    <row r="413">
      <c r="A413" t="s">
        <v>202</v>
      </c>
      <c r="B413" t="s">
        <v>204</v>
      </c>
      <c r="C413" s="72" t="n">
        <v>2031</v>
      </c>
      <c r="D413" t="s">
        <v>193</v>
      </c>
      <c r="E413" s="73" t="n">
        <v>473649.32943918</v>
      </c>
      <c r="F413" s="74" t="n">
        <v>250074.863833435</v>
      </c>
      <c r="G413" s="75" t="n">
        <v>477778.146047482</v>
      </c>
      <c r="H413" s="76" t="n">
        <v>250815.782662592</v>
      </c>
      <c r="I413" s="77" t="str">
        <f>H413-F413</f>
      </c>
      <c r="J413" s="78" t="str">
        <f>G413-E413</f>
      </c>
    </row>
    <row r="414">
      <c r="A414" t="s">
        <v>202</v>
      </c>
      <c r="B414" t="s">
        <v>204</v>
      </c>
      <c r="C414" s="72" t="n">
        <v>2031</v>
      </c>
      <c r="D414" t="s">
        <v>424</v>
      </c>
      <c r="E414" s="73" t="n">
        <v>44640.6334876589</v>
      </c>
      <c r="F414" s="74" t="n">
        <v>7266.76912339604</v>
      </c>
      <c r="G414" s="75" t="n">
        <v>44640.3472954778</v>
      </c>
      <c r="H414" s="76" t="n">
        <v>7266.76600020754</v>
      </c>
      <c r="I414" s="77" t="str">
        <f>H414-F414</f>
      </c>
      <c r="J414" s="78" t="str">
        <f>G414-E414</f>
      </c>
    </row>
    <row r="415">
      <c r="A415" t="s">
        <v>202</v>
      </c>
      <c r="B415" t="s">
        <v>204</v>
      </c>
      <c r="C415" s="72" t="n">
        <v>2032</v>
      </c>
      <c r="D415" t="s">
        <v>176</v>
      </c>
      <c r="E415" s="73" t="n">
        <v>15534.9495367011</v>
      </c>
      <c r="F415" s="74" t="n">
        <v>11275.1319505901</v>
      </c>
      <c r="G415" s="75" t="n">
        <v>15531.2601955666</v>
      </c>
      <c r="H415" s="76" t="n">
        <v>11274.4954497352</v>
      </c>
      <c r="I415" s="77" t="str">
        <f>H415-F415</f>
      </c>
      <c r="J415" s="78" t="str">
        <f>G415-E415</f>
      </c>
    </row>
    <row r="416">
      <c r="A416" t="s">
        <v>202</v>
      </c>
      <c r="B416" t="s">
        <v>204</v>
      </c>
      <c r="C416" s="72" t="n">
        <v>2032</v>
      </c>
      <c r="D416" t="s">
        <v>238</v>
      </c>
      <c r="E416" s="73" t="n">
        <v>1118562.25600384</v>
      </c>
      <c r="F416" s="74" t="n">
        <v>185727.854065575</v>
      </c>
      <c r="G416" s="75" t="n">
        <v>1118477.32749824</v>
      </c>
      <c r="H416" s="76" t="n">
        <v>185725.999058801</v>
      </c>
      <c r="I416" s="77" t="str">
        <f>H416-F416</f>
      </c>
      <c r="J416" s="78" t="str">
        <f>G416-E416</f>
      </c>
    </row>
    <row r="417">
      <c r="A417" t="s">
        <v>202</v>
      </c>
      <c r="B417" t="s">
        <v>204</v>
      </c>
      <c r="C417" s="72" t="n">
        <v>2032</v>
      </c>
      <c r="D417" t="s">
        <v>184</v>
      </c>
      <c r="E417" s="73" t="n">
        <v>113837.049527124</v>
      </c>
      <c r="F417" s="74" t="n">
        <v>76924.4016119785</v>
      </c>
      <c r="G417" s="75" t="n">
        <v>114835.221802653</v>
      </c>
      <c r="H417" s="76" t="n">
        <v>77353.0610239329</v>
      </c>
      <c r="I417" s="77" t="str">
        <f>H417-F417</f>
      </c>
      <c r="J417" s="78" t="str">
        <f>G417-E417</f>
      </c>
    </row>
    <row r="418">
      <c r="A418" t="s">
        <v>202</v>
      </c>
      <c r="B418" t="s">
        <v>204</v>
      </c>
      <c r="C418" s="72" t="n">
        <v>2032</v>
      </c>
      <c r="D418" t="s">
        <v>187</v>
      </c>
      <c r="E418" s="73" t="n">
        <v>386590.269231366</v>
      </c>
      <c r="F418" s="74" t="n">
        <v>357307.703866336</v>
      </c>
      <c r="G418" s="75" t="n">
        <v>389998.376688754</v>
      </c>
      <c r="H418" s="76" t="n">
        <v>359834.546852866</v>
      </c>
      <c r="I418" s="77" t="str">
        <f>H418-F418</f>
      </c>
      <c r="J418" s="78" t="str">
        <f>G418-E418</f>
      </c>
    </row>
    <row r="419">
      <c r="A419" t="s">
        <v>202</v>
      </c>
      <c r="B419" t="s">
        <v>204</v>
      </c>
      <c r="C419" s="72" t="n">
        <v>2032</v>
      </c>
      <c r="D419" t="s">
        <v>190</v>
      </c>
      <c r="E419" s="73" t="n">
        <v>667366.219540753</v>
      </c>
      <c r="F419" s="74" t="n">
        <v>400057.981901275</v>
      </c>
      <c r="G419" s="75" t="n">
        <v>673133.888273266</v>
      </c>
      <c r="H419" s="76" t="n">
        <v>401318.286193472</v>
      </c>
      <c r="I419" s="77" t="str">
        <f>H419-F419</f>
      </c>
      <c r="J419" s="78" t="str">
        <f>G419-E419</f>
      </c>
    </row>
    <row r="420">
      <c r="A420" t="s">
        <v>202</v>
      </c>
      <c r="B420" t="s">
        <v>204</v>
      </c>
      <c r="C420" s="72" t="n">
        <v>2032</v>
      </c>
      <c r="D420" t="s">
        <v>193</v>
      </c>
      <c r="E420" s="73" t="n">
        <v>486720.175041352</v>
      </c>
      <c r="F420" s="74" t="n">
        <v>259405.237052302</v>
      </c>
      <c r="G420" s="75" t="n">
        <v>490904.70344578</v>
      </c>
      <c r="H420" s="76" t="n">
        <v>260346.937343717</v>
      </c>
      <c r="I420" s="77" t="str">
        <f>H420-F420</f>
      </c>
      <c r="J420" s="78" t="str">
        <f>G420-E420</f>
      </c>
    </row>
    <row r="421">
      <c r="A421" t="s">
        <v>202</v>
      </c>
      <c r="B421" t="s">
        <v>204</v>
      </c>
      <c r="C421" s="72" t="n">
        <v>2032</v>
      </c>
      <c r="D421" t="s">
        <v>424</v>
      </c>
      <c r="E421" s="73" t="n">
        <v>44583.7173711343</v>
      </c>
      <c r="F421" s="74" t="n">
        <v>7308.69622309352</v>
      </c>
      <c r="G421" s="75" t="n">
        <v>44583.2455015959</v>
      </c>
      <c r="H421" s="76" t="n">
        <v>7308.68956833998</v>
      </c>
      <c r="I421" s="77" t="str">
        <f>H421-F421</f>
      </c>
      <c r="J421" s="78" t="str">
        <f>G421-E421</f>
      </c>
    </row>
    <row r="422">
      <c r="A422" t="s">
        <v>202</v>
      </c>
      <c r="B422" t="s">
        <v>204</v>
      </c>
      <c r="C422" s="72" t="n">
        <v>2033</v>
      </c>
      <c r="D422" t="s">
        <v>176</v>
      </c>
      <c r="E422" s="73" t="n">
        <v>15989.1831488663</v>
      </c>
      <c r="F422" s="74" t="n">
        <v>11588.0825669334</v>
      </c>
      <c r="G422" s="75" t="n">
        <v>15983.7175379286</v>
      </c>
      <c r="H422" s="76" t="n">
        <v>11586.9335708044</v>
      </c>
      <c r="I422" s="77" t="str">
        <f>H422-F422</f>
      </c>
      <c r="J422" s="78" t="str">
        <f>G422-E422</f>
      </c>
    </row>
    <row r="423">
      <c r="A423" t="s">
        <v>202</v>
      </c>
      <c r="B423" t="s">
        <v>204</v>
      </c>
      <c r="C423" s="72" t="n">
        <v>2033</v>
      </c>
      <c r="D423" t="s">
        <v>238</v>
      </c>
      <c r="E423" s="73" t="n">
        <v>1129357.50744448</v>
      </c>
      <c r="F423" s="74" t="n">
        <v>193956.697879496</v>
      </c>
      <c r="G423" s="75" t="n">
        <v>1129233.47845058</v>
      </c>
      <c r="H423" s="76" t="n">
        <v>193953.224223645</v>
      </c>
      <c r="I423" s="77" t="str">
        <f>H423-F423</f>
      </c>
      <c r="J423" s="78" t="str">
        <f>G423-E423</f>
      </c>
    </row>
    <row r="424">
      <c r="A424" t="s">
        <v>202</v>
      </c>
      <c r="B424" t="s">
        <v>204</v>
      </c>
      <c r="C424" s="72" t="n">
        <v>2033</v>
      </c>
      <c r="D424" t="s">
        <v>184</v>
      </c>
      <c r="E424" s="73" t="n">
        <v>116984.040043391</v>
      </c>
      <c r="F424" s="74" t="n">
        <v>78984.4637892037</v>
      </c>
      <c r="G424" s="75" t="n">
        <v>117998.738437442</v>
      </c>
      <c r="H424" s="76" t="n">
        <v>79480.4761690429</v>
      </c>
      <c r="I424" s="77" t="str">
        <f>H424-F424</f>
      </c>
      <c r="J424" s="78" t="str">
        <f>G424-E424</f>
      </c>
    </row>
    <row r="425">
      <c r="A425" t="s">
        <v>202</v>
      </c>
      <c r="B425" t="s">
        <v>204</v>
      </c>
      <c r="C425" s="72" t="n">
        <v>2033</v>
      </c>
      <c r="D425" t="s">
        <v>187</v>
      </c>
      <c r="E425" s="73" t="n">
        <v>394898.397932799</v>
      </c>
      <c r="F425" s="74" t="n">
        <v>365316.432345642</v>
      </c>
      <c r="G425" s="75" t="n">
        <v>398354.344992358</v>
      </c>
      <c r="H425" s="76" t="n">
        <v>368051.624575443</v>
      </c>
      <c r="I425" s="77" t="str">
        <f>H425-F425</f>
      </c>
      <c r="J425" s="78" t="str">
        <f>G425-E425</f>
      </c>
    </row>
    <row r="426">
      <c r="A426" t="s">
        <v>202</v>
      </c>
      <c r="B426" t="s">
        <v>204</v>
      </c>
      <c r="C426" s="72" t="n">
        <v>2033</v>
      </c>
      <c r="D426" t="s">
        <v>190</v>
      </c>
      <c r="E426" s="73" t="n">
        <v>681816.656029812</v>
      </c>
      <c r="F426" s="74" t="n">
        <v>410817.604371974</v>
      </c>
      <c r="G426" s="75" t="n">
        <v>687634.699546926</v>
      </c>
      <c r="H426" s="76" t="n">
        <v>412348.075678578</v>
      </c>
      <c r="I426" s="77" t="str">
        <f>H426-F426</f>
      </c>
      <c r="J426" s="78" t="str">
        <f>G426-E426</f>
      </c>
    </row>
    <row r="427">
      <c r="A427" t="s">
        <v>202</v>
      </c>
      <c r="B427" t="s">
        <v>204</v>
      </c>
      <c r="C427" s="72" t="n">
        <v>2033</v>
      </c>
      <c r="D427" t="s">
        <v>193</v>
      </c>
      <c r="E427" s="73" t="n">
        <v>499518.937026112</v>
      </c>
      <c r="F427" s="74" t="n">
        <v>268763.087375779</v>
      </c>
      <c r="G427" s="75" t="n">
        <v>503751.109420694</v>
      </c>
      <c r="H427" s="76" t="n">
        <v>269883.407599987</v>
      </c>
      <c r="I427" s="77" t="str">
        <f>H427-F427</f>
      </c>
      <c r="J427" s="78" t="str">
        <f>G427-E427</f>
      </c>
    </row>
    <row r="428">
      <c r="A428" t="s">
        <v>202</v>
      </c>
      <c r="B428" t="s">
        <v>204</v>
      </c>
      <c r="C428" s="72" t="n">
        <v>2033</v>
      </c>
      <c r="D428" t="s">
        <v>424</v>
      </c>
      <c r="E428" s="73" t="n">
        <v>44484.3764761579</v>
      </c>
      <c r="F428" s="74" t="n">
        <v>7348.08636801693</v>
      </c>
      <c r="G428" s="75" t="n">
        <v>44483.6835898413</v>
      </c>
      <c r="H428" s="76" t="n">
        <v>7348.07414732206</v>
      </c>
      <c r="I428" s="77" t="str">
        <f>H428-F428</f>
      </c>
      <c r="J428" s="78" t="str">
        <f>G428-E428</f>
      </c>
    </row>
    <row r="429">
      <c r="A429" t="s">
        <v>202</v>
      </c>
      <c r="B429" t="s">
        <v>204</v>
      </c>
      <c r="C429" s="72" t="n">
        <v>2034</v>
      </c>
      <c r="D429" t="s">
        <v>176</v>
      </c>
      <c r="E429" s="73" t="n">
        <v>16444.4217934478</v>
      </c>
      <c r="F429" s="74" t="n">
        <v>11898.22571152</v>
      </c>
      <c r="G429" s="75" t="n">
        <v>16436.9312806497</v>
      </c>
      <c r="H429" s="76" t="n">
        <v>11896.3823187386</v>
      </c>
      <c r="I429" s="77" t="str">
        <f>H429-F429</f>
      </c>
      <c r="J429" s="78" t="str">
        <f>G429-E429</f>
      </c>
    </row>
    <row r="430">
      <c r="A430" t="s">
        <v>202</v>
      </c>
      <c r="B430" t="s">
        <v>204</v>
      </c>
      <c r="C430" s="72" t="n">
        <v>2034</v>
      </c>
      <c r="D430" t="s">
        <v>238</v>
      </c>
      <c r="E430" s="73" t="n">
        <v>1139524.53626401</v>
      </c>
      <c r="F430" s="74" t="n">
        <v>202153.061845738</v>
      </c>
      <c r="G430" s="75" t="n">
        <v>1139357.01951607</v>
      </c>
      <c r="H430" s="76" t="n">
        <v>202147.27044605</v>
      </c>
      <c r="I430" s="77" t="str">
        <f>H430-F430</f>
      </c>
      <c r="J430" s="78" t="str">
        <f>G430-E430</f>
      </c>
    </row>
    <row r="431">
      <c r="A431" t="s">
        <v>202</v>
      </c>
      <c r="B431" t="s">
        <v>204</v>
      </c>
      <c r="C431" s="72" t="n">
        <v>2034</v>
      </c>
      <c r="D431" t="s">
        <v>184</v>
      </c>
      <c r="E431" s="73" t="n">
        <v>120076.066605116</v>
      </c>
      <c r="F431" s="74" t="n">
        <v>81043.5893795979</v>
      </c>
      <c r="G431" s="75" t="n">
        <v>121105.471839437</v>
      </c>
      <c r="H431" s="76" t="n">
        <v>81594.9482339212</v>
      </c>
      <c r="I431" s="77" t="str">
        <f>H431-F431</f>
      </c>
      <c r="J431" s="78" t="str">
        <f>G431-E431</f>
      </c>
    </row>
    <row r="432">
      <c r="A432" t="s">
        <v>202</v>
      </c>
      <c r="B432" t="s">
        <v>204</v>
      </c>
      <c r="C432" s="72" t="n">
        <v>2034</v>
      </c>
      <c r="D432" t="s">
        <v>187</v>
      </c>
      <c r="E432" s="73" t="n">
        <v>403060.08035499</v>
      </c>
      <c r="F432" s="74" t="n">
        <v>373141.318697144</v>
      </c>
      <c r="G432" s="75" t="n">
        <v>406559.867353788</v>
      </c>
      <c r="H432" s="76" t="n">
        <v>376028.132278335</v>
      </c>
      <c r="I432" s="77" t="str">
        <f>H432-F432</f>
      </c>
      <c r="J432" s="78" t="str">
        <f>G432-E432</f>
      </c>
    </row>
    <row r="433">
      <c r="A433" t="s">
        <v>202</v>
      </c>
      <c r="B433" t="s">
        <v>204</v>
      </c>
      <c r="C433" s="72" t="n">
        <v>2034</v>
      </c>
      <c r="D433" t="s">
        <v>190</v>
      </c>
      <c r="E433" s="73" t="n">
        <v>695830.950885653</v>
      </c>
      <c r="F433" s="74" t="n">
        <v>421478.03107579</v>
      </c>
      <c r="G433" s="75" t="n">
        <v>701691.677358768</v>
      </c>
      <c r="H433" s="76" t="n">
        <v>423259.100590806</v>
      </c>
      <c r="I433" s="77" t="str">
        <f>H433-F433</f>
      </c>
      <c r="J433" s="78" t="str">
        <f>G433-E433</f>
      </c>
    </row>
    <row r="434">
      <c r="A434" t="s">
        <v>202</v>
      </c>
      <c r="B434" t="s">
        <v>204</v>
      </c>
      <c r="C434" s="72" t="n">
        <v>2034</v>
      </c>
      <c r="D434" t="s">
        <v>193</v>
      </c>
      <c r="E434" s="73" t="n">
        <v>512132.967333081</v>
      </c>
      <c r="F434" s="74" t="n">
        <v>278202.867145616</v>
      </c>
      <c r="G434" s="75" t="n">
        <v>516406.53850878</v>
      </c>
      <c r="H434" s="76" t="n">
        <v>279484.980285229</v>
      </c>
      <c r="I434" s="77" t="str">
        <f>H434-F434</f>
      </c>
      <c r="J434" s="78" t="str">
        <f>G434-E434</f>
      </c>
    </row>
    <row r="435">
      <c r="A435" t="s">
        <v>202</v>
      </c>
      <c r="B435" t="s">
        <v>204</v>
      </c>
      <c r="C435" s="72" t="n">
        <v>2034</v>
      </c>
      <c r="D435" t="s">
        <v>424</v>
      </c>
      <c r="E435" s="73" t="n">
        <v>44356.1249152278</v>
      </c>
      <c r="F435" s="74" t="n">
        <v>7385.06089185718</v>
      </c>
      <c r="G435" s="75" t="n">
        <v>44355.184450179</v>
      </c>
      <c r="H435" s="76" t="n">
        <v>7385.04094675217</v>
      </c>
      <c r="I435" s="77" t="str">
        <f>H435-F435</f>
      </c>
      <c r="J435" s="78" t="str">
        <f>G435-E435</f>
      </c>
    </row>
    <row r="436">
      <c r="A436" t="s">
        <v>202</v>
      </c>
      <c r="B436" t="s">
        <v>204</v>
      </c>
      <c r="C436" s="72" t="n">
        <v>2035</v>
      </c>
      <c r="D436" t="s">
        <v>176</v>
      </c>
      <c r="E436" s="73" t="n">
        <v>16901.9449994177</v>
      </c>
      <c r="F436" s="74" t="n">
        <v>12205.7666888279</v>
      </c>
      <c r="G436" s="75" t="n">
        <v>16892.2141390053</v>
      </c>
      <c r="H436" s="76" t="n">
        <v>12203.0577178634</v>
      </c>
      <c r="I436" s="77" t="str">
        <f>H436-F436</f>
      </c>
      <c r="J436" s="78" t="str">
        <f>G436-E436</f>
      </c>
    </row>
    <row r="437">
      <c r="A437" t="s">
        <v>202</v>
      </c>
      <c r="B437" t="s">
        <v>204</v>
      </c>
      <c r="C437" s="72" t="n">
        <v>2035</v>
      </c>
      <c r="D437" t="s">
        <v>238</v>
      </c>
      <c r="E437" s="73" t="n">
        <v>1149186.46329979</v>
      </c>
      <c r="F437" s="74" t="n">
        <v>210299.830945465</v>
      </c>
      <c r="G437" s="75" t="n">
        <v>1148972.16574985</v>
      </c>
      <c r="H437" s="76" t="n">
        <v>210290.980527925</v>
      </c>
      <c r="I437" s="77" t="str">
        <f>H437-F437</f>
      </c>
      <c r="J437" s="78" t="str">
        <f>G437-E437</f>
      </c>
    </row>
    <row r="438">
      <c r="A438" t="s">
        <v>202</v>
      </c>
      <c r="B438" t="s">
        <v>204</v>
      </c>
      <c r="C438" s="72" t="n">
        <v>2035</v>
      </c>
      <c r="D438" t="s">
        <v>184</v>
      </c>
      <c r="E438" s="73" t="n">
        <v>123105.732352052</v>
      </c>
      <c r="F438" s="74" t="n">
        <v>83097.8340442259</v>
      </c>
      <c r="G438" s="75" t="n">
        <v>124148.207195844</v>
      </c>
      <c r="H438" s="76" t="n">
        <v>83695.1178728798</v>
      </c>
      <c r="I438" s="77" t="str">
        <f>H438-F438</f>
      </c>
      <c r="J438" s="78" t="str">
        <f>G438-E438</f>
      </c>
    </row>
    <row r="439">
      <c r="A439" t="s">
        <v>202</v>
      </c>
      <c r="B439" t="s">
        <v>204</v>
      </c>
      <c r="C439" s="72" t="n">
        <v>2035</v>
      </c>
      <c r="D439" t="s">
        <v>187</v>
      </c>
      <c r="E439" s="73" t="n">
        <v>410993.907846566</v>
      </c>
      <c r="F439" s="74" t="n">
        <v>380785.227323692</v>
      </c>
      <c r="G439" s="75" t="n">
        <v>414533.160603145</v>
      </c>
      <c r="H439" s="76" t="n">
        <v>383788.762526672</v>
      </c>
      <c r="I439" s="77" t="str">
        <f>H439-F439</f>
      </c>
      <c r="J439" s="78" t="str">
        <f>G439-E439</f>
      </c>
    </row>
    <row r="440">
      <c r="A440" t="s">
        <v>202</v>
      </c>
      <c r="B440" t="s">
        <v>204</v>
      </c>
      <c r="C440" s="72" t="n">
        <v>2035</v>
      </c>
      <c r="D440" t="s">
        <v>190</v>
      </c>
      <c r="E440" s="73" t="n">
        <v>709434.827811939</v>
      </c>
      <c r="F440" s="74" t="n">
        <v>432067.854525576</v>
      </c>
      <c r="G440" s="75" t="n">
        <v>715331.788822102</v>
      </c>
      <c r="H440" s="76" t="n">
        <v>434082.031551195</v>
      </c>
      <c r="I440" s="77" t="str">
        <f>H440-F440</f>
      </c>
      <c r="J440" s="78" t="str">
        <f>G440-E440</f>
      </c>
    </row>
    <row r="441">
      <c r="A441" t="s">
        <v>202</v>
      </c>
      <c r="B441" t="s">
        <v>204</v>
      </c>
      <c r="C441" s="72" t="n">
        <v>2035</v>
      </c>
      <c r="D441" t="s">
        <v>193</v>
      </c>
      <c r="E441" s="73" t="n">
        <v>524509.388087989</v>
      </c>
      <c r="F441" s="74" t="n">
        <v>287720.767871679</v>
      </c>
      <c r="G441" s="75" t="n">
        <v>528818.371883953</v>
      </c>
      <c r="H441" s="76" t="n">
        <v>289150.802435983</v>
      </c>
      <c r="I441" s="77" t="str">
        <f>H441-F441</f>
      </c>
      <c r="J441" s="78" t="str">
        <f>G441-E441</f>
      </c>
    </row>
    <row r="442">
      <c r="A442" t="s">
        <v>202</v>
      </c>
      <c r="B442" t="s">
        <v>204</v>
      </c>
      <c r="C442" s="72" t="n">
        <v>2035</v>
      </c>
      <c r="D442" t="s">
        <v>424</v>
      </c>
      <c r="E442" s="73" t="n">
        <v>44207.9159760051</v>
      </c>
      <c r="F442" s="74" t="n">
        <v>7420.00865263706</v>
      </c>
      <c r="G442" s="75" t="n">
        <v>44206.7073067121</v>
      </c>
      <c r="H442" s="76" t="n">
        <v>7419.97885519321</v>
      </c>
      <c r="I442" s="77" t="str">
        <f>H442-F442</f>
      </c>
      <c r="J442" s="78" t="str">
        <f>G442-E442</f>
      </c>
    </row>
    <row r="443">
      <c r="A443" t="s">
        <v>202</v>
      </c>
      <c r="B443" t="s">
        <v>204</v>
      </c>
      <c r="C443" s="72" t="n">
        <v>2036</v>
      </c>
      <c r="D443" t="s">
        <v>176</v>
      </c>
      <c r="E443" s="73" t="n">
        <v>17362.8201518008</v>
      </c>
      <c r="F443" s="74" t="n">
        <v>12510.6333176029</v>
      </c>
      <c r="G443" s="75" t="n">
        <v>17350.6546269342</v>
      </c>
      <c r="H443" s="76" t="n">
        <v>12506.9021026876</v>
      </c>
      <c r="I443" s="77" t="str">
        <f>H443-F443</f>
      </c>
      <c r="J443" s="78" t="str">
        <f>G443-E443</f>
      </c>
    </row>
    <row r="444">
      <c r="A444" t="s">
        <v>202</v>
      </c>
      <c r="B444" t="s">
        <v>204</v>
      </c>
      <c r="C444" s="72" t="n">
        <v>2036</v>
      </c>
      <c r="D444" t="s">
        <v>238</v>
      </c>
      <c r="E444" s="73" t="n">
        <v>1158529.69433959</v>
      </c>
      <c r="F444" s="74" t="n">
        <v>218383.354856629</v>
      </c>
      <c r="G444" s="75" t="n">
        <v>1158266.13775829</v>
      </c>
      <c r="H444" s="76" t="n">
        <v>218370.687575925</v>
      </c>
      <c r="I444" s="77" t="str">
        <f>H444-F444</f>
      </c>
      <c r="J444" s="78" t="str">
        <f>G444-E444</f>
      </c>
    </row>
    <row r="445">
      <c r="A445" t="s">
        <v>202</v>
      </c>
      <c r="B445" t="s">
        <v>204</v>
      </c>
      <c r="C445" s="72" t="n">
        <v>2036</v>
      </c>
      <c r="D445" t="s">
        <v>184</v>
      </c>
      <c r="E445" s="73" t="n">
        <v>126084.266503343</v>
      </c>
      <c r="F445" s="74" t="n">
        <v>85129.9851982697</v>
      </c>
      <c r="G445" s="75" t="n">
        <v>127138.451085333</v>
      </c>
      <c r="H445" s="76" t="n">
        <v>85765.5647353171</v>
      </c>
      <c r="I445" s="77" t="str">
        <f>H445-F445</f>
      </c>
      <c r="J445" s="78" t="str">
        <f>G445-E445</f>
      </c>
    </row>
    <row r="446">
      <c r="A446" t="s">
        <v>202</v>
      </c>
      <c r="B446" t="s">
        <v>204</v>
      </c>
      <c r="C446" s="72" t="n">
        <v>2036</v>
      </c>
      <c r="D446" t="s">
        <v>187</v>
      </c>
      <c r="E446" s="73" t="n">
        <v>418658.368608412</v>
      </c>
      <c r="F446" s="74" t="n">
        <v>388189.531340023</v>
      </c>
      <c r="G446" s="75" t="n">
        <v>422232.659922133</v>
      </c>
      <c r="H446" s="76" t="n">
        <v>391285.955739587</v>
      </c>
      <c r="I446" s="77" t="str">
        <f>H446-F446</f>
      </c>
      <c r="J446" s="78" t="str">
        <f>G446-E446</f>
      </c>
    </row>
    <row r="447">
      <c r="A447" t="s">
        <v>202</v>
      </c>
      <c r="B447" t="s">
        <v>204</v>
      </c>
      <c r="C447" s="72" t="n">
        <v>2036</v>
      </c>
      <c r="D447" t="s">
        <v>190</v>
      </c>
      <c r="E447" s="73" t="n">
        <v>722604.382357377</v>
      </c>
      <c r="F447" s="74" t="n">
        <v>442516.584428243</v>
      </c>
      <c r="G447" s="75" t="n">
        <v>728531.610160843</v>
      </c>
      <c r="H447" s="76" t="n">
        <v>444747.907566169</v>
      </c>
      <c r="I447" s="77" t="str">
        <f>H447-F447</f>
      </c>
      <c r="J447" s="78" t="str">
        <f>G447-E447</f>
      </c>
    </row>
    <row r="448">
      <c r="A448" t="s">
        <v>202</v>
      </c>
      <c r="B448" t="s">
        <v>204</v>
      </c>
      <c r="C448" s="72" t="n">
        <v>2036</v>
      </c>
      <c r="D448" t="s">
        <v>193</v>
      </c>
      <c r="E448" s="73" t="n">
        <v>536712.853916924</v>
      </c>
      <c r="F448" s="74" t="n">
        <v>297313.575774991</v>
      </c>
      <c r="G448" s="75" t="n">
        <v>541052.28077363</v>
      </c>
      <c r="H448" s="76" t="n">
        <v>298879.611309733</v>
      </c>
      <c r="I448" s="77" t="str">
        <f>H448-F448</f>
      </c>
      <c r="J448" s="78" t="str">
        <f>G448-E448</f>
      </c>
    </row>
    <row r="449">
      <c r="A449" t="s">
        <v>202</v>
      </c>
      <c r="B449" t="s">
        <v>204</v>
      </c>
      <c r="C449" s="72" t="n">
        <v>2036</v>
      </c>
      <c r="D449" t="s">
        <v>424</v>
      </c>
      <c r="E449" s="73" t="n">
        <v>44051.4913831443</v>
      </c>
      <c r="F449" s="74" t="n">
        <v>7453.37679076097</v>
      </c>
      <c r="G449" s="75" t="n">
        <v>44049.9983782722</v>
      </c>
      <c r="H449" s="76" t="n">
        <v>7453.3351271514</v>
      </c>
      <c r="I449" s="77" t="str">
        <f>H449-F449</f>
      </c>
      <c r="J449" s="78" t="str">
        <f>G449-E449</f>
      </c>
    </row>
    <row r="450">
      <c r="A450" t="s">
        <v>202</v>
      </c>
      <c r="B450" t="s">
        <v>204</v>
      </c>
      <c r="C450" s="72" t="n">
        <v>2037</v>
      </c>
      <c r="D450" t="s">
        <v>176</v>
      </c>
      <c r="E450" s="73" t="n">
        <v>17827.2782463581</v>
      </c>
      <c r="F450" s="74" t="n">
        <v>12812.3958531357</v>
      </c>
      <c r="G450" s="75" t="n">
        <v>17812.5035281772</v>
      </c>
      <c r="H450" s="76" t="n">
        <v>12807.5012683992</v>
      </c>
      <c r="I450" s="77" t="str">
        <f>H450-F450</f>
      </c>
      <c r="J450" s="78" t="str">
        <f>G450-E450</f>
      </c>
    </row>
    <row r="451">
      <c r="A451" t="s">
        <v>202</v>
      </c>
      <c r="B451" t="s">
        <v>204</v>
      </c>
      <c r="C451" s="72" t="n">
        <v>2037</v>
      </c>
      <c r="D451" t="s">
        <v>238</v>
      </c>
      <c r="E451" s="73" t="n">
        <v>1167679.32104364</v>
      </c>
      <c r="F451" s="74" t="n">
        <v>226390.61144408</v>
      </c>
      <c r="G451" s="75" t="n">
        <v>1167364.66541375</v>
      </c>
      <c r="H451" s="76" t="n">
        <v>226373.365626062</v>
      </c>
      <c r="I451" s="77" t="str">
        <f>H451-F451</f>
      </c>
      <c r="J451" s="78" t="str">
        <f>G451-E451</f>
      </c>
    </row>
    <row r="452">
      <c r="A452" t="s">
        <v>202</v>
      </c>
      <c r="B452" t="s">
        <v>204</v>
      </c>
      <c r="C452" s="72" t="n">
        <v>2037</v>
      </c>
      <c r="D452" t="s">
        <v>184</v>
      </c>
      <c r="E452" s="73" t="n">
        <v>129027.310123257</v>
      </c>
      <c r="F452" s="74" t="n">
        <v>87118.2527592977</v>
      </c>
      <c r="G452" s="75" t="n">
        <v>130092.112965313</v>
      </c>
      <c r="H452" s="76" t="n">
        <v>87785.8739142287</v>
      </c>
      <c r="I452" s="77" t="str">
        <f>H452-F452</f>
      </c>
      <c r="J452" s="78" t="str">
        <f>G452-E452</f>
      </c>
    </row>
    <row r="453">
      <c r="A453" t="s">
        <v>202</v>
      </c>
      <c r="B453" t="s">
        <v>204</v>
      </c>
      <c r="C453" s="72" t="n">
        <v>2037</v>
      </c>
      <c r="D453" t="s">
        <v>187</v>
      </c>
      <c r="E453" s="73" t="n">
        <v>426069.334034583</v>
      </c>
      <c r="F453" s="74" t="n">
        <v>395301.619446233</v>
      </c>
      <c r="G453" s="75" t="n">
        <v>429674.679324948</v>
      </c>
      <c r="H453" s="76" t="n">
        <v>398473.813386608</v>
      </c>
      <c r="I453" s="77" t="str">
        <f>H453-F453</f>
      </c>
      <c r="J453" s="78" t="str">
        <f>G453-E453</f>
      </c>
    </row>
    <row r="454">
      <c r="A454" t="s">
        <v>202</v>
      </c>
      <c r="B454" t="s">
        <v>204</v>
      </c>
      <c r="C454" s="72" t="n">
        <v>2037</v>
      </c>
      <c r="D454" t="s">
        <v>190</v>
      </c>
      <c r="E454" s="73" t="n">
        <v>735309.587106348</v>
      </c>
      <c r="F454" s="74" t="n">
        <v>452735.370968946</v>
      </c>
      <c r="G454" s="75" t="n">
        <v>741261.427234993</v>
      </c>
      <c r="H454" s="76" t="n">
        <v>455168.184528758</v>
      </c>
      <c r="I454" s="77" t="str">
        <f>H454-F454</f>
      </c>
      <c r="J454" s="78" t="str">
        <f>G454-E454</f>
      </c>
    </row>
    <row r="455">
      <c r="A455" t="s">
        <v>202</v>
      </c>
      <c r="B455" t="s">
        <v>204</v>
      </c>
      <c r="C455" s="72" t="n">
        <v>2037</v>
      </c>
      <c r="D455" t="s">
        <v>193</v>
      </c>
      <c r="E455" s="73" t="n">
        <v>548891.971389264</v>
      </c>
      <c r="F455" s="74" t="n">
        <v>306974.369550419</v>
      </c>
      <c r="G455" s="75" t="n">
        <v>553258.517761357</v>
      </c>
      <c r="H455" s="76" t="n">
        <v>308666.043562302</v>
      </c>
      <c r="I455" s="77" t="str">
        <f>H455-F455</f>
      </c>
      <c r="J455" s="78" t="str">
        <f>G455-E455</f>
      </c>
    </row>
    <row r="456">
      <c r="A456" t="s">
        <v>202</v>
      </c>
      <c r="B456" t="s">
        <v>204</v>
      </c>
      <c r="C456" s="72" t="n">
        <v>2037</v>
      </c>
      <c r="D456" t="s">
        <v>424</v>
      </c>
      <c r="E456" s="73" t="n">
        <v>43888.2865675568</v>
      </c>
      <c r="F456" s="74" t="n">
        <v>7485.69487832464</v>
      </c>
      <c r="G456" s="75" t="n">
        <v>43886.4966397613</v>
      </c>
      <c r="H456" s="76" t="n">
        <v>7485.63945861012</v>
      </c>
      <c r="I456" s="77" t="str">
        <f>H456-F456</f>
      </c>
      <c r="J456" s="78" t="str">
        <f>G456-E456</f>
      </c>
    </row>
    <row r="457">
      <c r="A457" t="s">
        <v>202</v>
      </c>
      <c r="B457" t="s">
        <v>204</v>
      </c>
      <c r="C457" s="72" t="n">
        <v>2038</v>
      </c>
      <c r="D457" t="s">
        <v>176</v>
      </c>
      <c r="E457" s="73" t="n">
        <v>18296.1647716344</v>
      </c>
      <c r="F457" s="74" t="n">
        <v>13114.4443637562</v>
      </c>
      <c r="G457" s="75" t="n">
        <v>18278.6195315823</v>
      </c>
      <c r="H457" s="76" t="n">
        <v>13108.2586821674</v>
      </c>
      <c r="I457" s="77" t="str">
        <f>H457-F457</f>
      </c>
      <c r="J457" s="78" t="str">
        <f>G457-E457</f>
      </c>
    </row>
    <row r="458">
      <c r="A458" t="s">
        <v>202</v>
      </c>
      <c r="B458" t="s">
        <v>204</v>
      </c>
      <c r="C458" s="72" t="n">
        <v>2038</v>
      </c>
      <c r="D458" t="s">
        <v>238</v>
      </c>
      <c r="E458" s="73" t="n">
        <v>1176653.2792933</v>
      </c>
      <c r="F458" s="74" t="n">
        <v>234308.88247795</v>
      </c>
      <c r="G458" s="75" t="n">
        <v>1176286.23006217</v>
      </c>
      <c r="H458" s="76" t="n">
        <v>234286.302403295</v>
      </c>
      <c r="I458" s="77" t="str">
        <f>H458-F458</f>
      </c>
      <c r="J458" s="78" t="str">
        <f>G458-E458</f>
      </c>
    </row>
    <row r="459">
      <c r="A459" t="s">
        <v>202</v>
      </c>
      <c r="B459" t="s">
        <v>204</v>
      </c>
      <c r="C459" s="72" t="n">
        <v>2038</v>
      </c>
      <c r="D459" t="s">
        <v>184</v>
      </c>
      <c r="E459" s="73" t="n">
        <v>131930.367312949</v>
      </c>
      <c r="F459" s="74" t="n">
        <v>89068.267449096</v>
      </c>
      <c r="G459" s="75" t="n">
        <v>133004.77137127</v>
      </c>
      <c r="H459" s="76" t="n">
        <v>89762.9085046272</v>
      </c>
      <c r="I459" s="77" t="str">
        <f>H459-F459</f>
      </c>
      <c r="J459" s="78" t="str">
        <f>G459-E459</f>
      </c>
    </row>
    <row r="460">
      <c r="A460" t="s">
        <v>202</v>
      </c>
      <c r="B460" t="s">
        <v>204</v>
      </c>
      <c r="C460" s="72" t="n">
        <v>2038</v>
      </c>
      <c r="D460" t="s">
        <v>187</v>
      </c>
      <c r="E460" s="73" t="n">
        <v>433245.520730902</v>
      </c>
      <c r="F460" s="74" t="n">
        <v>402149.56735662</v>
      </c>
      <c r="G460" s="75" t="n">
        <v>436878.359538317</v>
      </c>
      <c r="H460" s="76" t="n">
        <v>405384.957772321</v>
      </c>
      <c r="I460" s="77" t="str">
        <f>H460-F460</f>
      </c>
      <c r="J460" s="78" t="str">
        <f>G460-E460</f>
      </c>
    </row>
    <row r="461">
      <c r="A461" t="s">
        <v>202</v>
      </c>
      <c r="B461" t="s">
        <v>204</v>
      </c>
      <c r="C461" s="72" t="n">
        <v>2038</v>
      </c>
      <c r="D461" t="s">
        <v>190</v>
      </c>
      <c r="E461" s="73" t="n">
        <v>747589.250259354</v>
      </c>
      <c r="F461" s="74" t="n">
        <v>462723.779213815</v>
      </c>
      <c r="G461" s="75" t="n">
        <v>753560.822146793</v>
      </c>
      <c r="H461" s="76" t="n">
        <v>465342.91786371</v>
      </c>
      <c r="I461" s="77" t="str">
        <f>H461-F461</f>
      </c>
      <c r="J461" s="78" t="str">
        <f>G461-E461</f>
      </c>
    </row>
    <row r="462">
      <c r="A462" t="s">
        <v>202</v>
      </c>
      <c r="B462" t="s">
        <v>204</v>
      </c>
      <c r="C462" s="72" t="n">
        <v>2038</v>
      </c>
      <c r="D462" t="s">
        <v>193</v>
      </c>
      <c r="E462" s="73" t="n">
        <v>561013.364494093</v>
      </c>
      <c r="F462" s="74" t="n">
        <v>316653.099385957</v>
      </c>
      <c r="G462" s="75" t="n">
        <v>565403.758799385</v>
      </c>
      <c r="H462" s="76" t="n">
        <v>318461.022248122</v>
      </c>
      <c r="I462" s="77" t="str">
        <f>H462-F462</f>
      </c>
      <c r="J462" s="78" t="str">
        <f>G462-E462</f>
      </c>
    </row>
    <row r="463">
      <c r="A463" t="s">
        <v>202</v>
      </c>
      <c r="B463" t="s">
        <v>204</v>
      </c>
      <c r="C463" s="72" t="n">
        <v>2038</v>
      </c>
      <c r="D463" t="s">
        <v>424</v>
      </c>
      <c r="E463" s="73" t="n">
        <v>43732.8418004876</v>
      </c>
      <c r="F463" s="74" t="n">
        <v>7517.8412801014</v>
      </c>
      <c r="G463" s="75" t="n">
        <v>43730.7448506382</v>
      </c>
      <c r="H463" s="76" t="n">
        <v>7517.77035327065</v>
      </c>
      <c r="I463" s="77" t="str">
        <f>H463-F463</f>
      </c>
      <c r="J463" s="78" t="str">
        <f>G463-E463</f>
      </c>
    </row>
    <row r="464">
      <c r="A464" t="s">
        <v>202</v>
      </c>
      <c r="B464" t="s">
        <v>204</v>
      </c>
      <c r="C464" s="72" t="n">
        <v>2039</v>
      </c>
      <c r="D464" t="s">
        <v>176</v>
      </c>
      <c r="E464" s="73" t="n">
        <v>18772.5634630924</v>
      </c>
      <c r="F464" s="74" t="n">
        <v>13412.2619325677</v>
      </c>
      <c r="G464" s="75" t="n">
        <v>18752.090499403</v>
      </c>
      <c r="H464" s="76" t="n">
        <v>13404.6696202756</v>
      </c>
      <c r="I464" s="77" t="str">
        <f>H464-F464</f>
      </c>
      <c r="J464" s="78" t="str">
        <f>G464-E464</f>
      </c>
    </row>
    <row r="465">
      <c r="A465" t="s">
        <v>202</v>
      </c>
      <c r="B465" t="s">
        <v>204</v>
      </c>
      <c r="C465" s="72" t="n">
        <v>2039</v>
      </c>
      <c r="D465" t="s">
        <v>238</v>
      </c>
      <c r="E465" s="73" t="n">
        <v>1185158.67619143</v>
      </c>
      <c r="F465" s="74" t="n">
        <v>242160.845154731</v>
      </c>
      <c r="G465" s="75" t="n">
        <v>1184738.39184491</v>
      </c>
      <c r="H465" s="76" t="n">
        <v>242132.191153164</v>
      </c>
      <c r="I465" s="77" t="str">
        <f>H465-F465</f>
      </c>
      <c r="J465" s="78" t="str">
        <f>G465-E465</f>
      </c>
    </row>
    <row r="466">
      <c r="A466" t="s">
        <v>202</v>
      </c>
      <c r="B466" t="s">
        <v>204</v>
      </c>
      <c r="C466" s="72" t="n">
        <v>2039</v>
      </c>
      <c r="D466" t="s">
        <v>184</v>
      </c>
      <c r="E466" s="73" t="n">
        <v>134789.088722467</v>
      </c>
      <c r="F466" s="74" t="n">
        <v>90998.6751409506</v>
      </c>
      <c r="G466" s="75" t="n">
        <v>135872.13136763</v>
      </c>
      <c r="H466" s="76" t="n">
        <v>91716.3663536023</v>
      </c>
      <c r="I466" s="77" t="str">
        <f>H466-F466</f>
      </c>
      <c r="J466" s="78" t="str">
        <f>G466-E466</f>
      </c>
    </row>
    <row r="467">
      <c r="A467" t="s">
        <v>202</v>
      </c>
      <c r="B467" t="s">
        <v>204</v>
      </c>
      <c r="C467" s="72" t="n">
        <v>2039</v>
      </c>
      <c r="D467" t="s">
        <v>187</v>
      </c>
      <c r="E467" s="73" t="n">
        <v>440248.451137876</v>
      </c>
      <c r="F467" s="74" t="n">
        <v>408830.846475304</v>
      </c>
      <c r="G467" s="75" t="n">
        <v>443905.980748337</v>
      </c>
      <c r="H467" s="76" t="n">
        <v>412120.21350488</v>
      </c>
      <c r="I467" s="77" t="str">
        <f>H467-F467</f>
      </c>
      <c r="J467" s="78" t="str">
        <f>G467-E467</f>
      </c>
    </row>
    <row r="468">
      <c r="A468" t="s">
        <v>202</v>
      </c>
      <c r="B468" t="s">
        <v>204</v>
      </c>
      <c r="C468" s="72" t="n">
        <v>2039</v>
      </c>
      <c r="D468" t="s">
        <v>190</v>
      </c>
      <c r="E468" s="73" t="n">
        <v>759540.801567663</v>
      </c>
      <c r="F468" s="74" t="n">
        <v>472479.195957131</v>
      </c>
      <c r="G468" s="75" t="n">
        <v>765528.467838857</v>
      </c>
      <c r="H468" s="76" t="n">
        <v>475269.787528918</v>
      </c>
      <c r="I468" s="77" t="str">
        <f>H468-F468</f>
      </c>
      <c r="J468" s="78" t="str">
        <f>G468-E468</f>
      </c>
    </row>
    <row r="469">
      <c r="A469" t="s">
        <v>202</v>
      </c>
      <c r="B469" t="s">
        <v>204</v>
      </c>
      <c r="C469" s="72" t="n">
        <v>2039</v>
      </c>
      <c r="D469" t="s">
        <v>193</v>
      </c>
      <c r="E469" s="73" t="n">
        <v>573003.869111037</v>
      </c>
      <c r="F469" s="74" t="n">
        <v>326330.83690957</v>
      </c>
      <c r="G469" s="75" t="n">
        <v>577414.514396235</v>
      </c>
      <c r="H469" s="76" t="n">
        <v>328246.401276368</v>
      </c>
      <c r="I469" s="77" t="str">
        <f>H469-F469</f>
      </c>
      <c r="J469" s="78" t="str">
        <f>G469-E469</f>
      </c>
    </row>
    <row r="470">
      <c r="A470" t="s">
        <v>202</v>
      </c>
      <c r="B470" t="s">
        <v>204</v>
      </c>
      <c r="C470" s="72" t="n">
        <v>2039</v>
      </c>
      <c r="D470" t="s">
        <v>424</v>
      </c>
      <c r="E470" s="73" t="n">
        <v>43591.2579694604</v>
      </c>
      <c r="F470" s="74" t="n">
        <v>7547.64791329497</v>
      </c>
      <c r="G470" s="75" t="n">
        <v>43588.845456637</v>
      </c>
      <c r="H470" s="76" t="n">
        <v>7547.5598608641</v>
      </c>
      <c r="I470" s="77" t="str">
        <f>H470-F470</f>
      </c>
      <c r="J470" s="78" t="str">
        <f>G470-E470</f>
      </c>
    </row>
    <row r="471">
      <c r="A471" t="s">
        <v>202</v>
      </c>
      <c r="B471" t="s">
        <v>204</v>
      </c>
      <c r="C471" s="72" t="n">
        <v>2040</v>
      </c>
      <c r="D471" t="s">
        <v>176</v>
      </c>
      <c r="E471" s="73" t="n">
        <v>19259.2954998639</v>
      </c>
      <c r="F471" s="74" t="n">
        <v>13708.0803035635</v>
      </c>
      <c r="G471" s="75" t="n">
        <v>19235.7365429273</v>
      </c>
      <c r="H471" s="76" t="n">
        <v>13698.9721681132</v>
      </c>
      <c r="I471" s="77" t="str">
        <f>H471-F471</f>
      </c>
      <c r="J471" s="78" t="str">
        <f>G471-E471</f>
      </c>
    </row>
    <row r="472">
      <c r="A472" t="s">
        <v>202</v>
      </c>
      <c r="B472" t="s">
        <v>204</v>
      </c>
      <c r="C472" s="72" t="n">
        <v>2040</v>
      </c>
      <c r="D472" t="s">
        <v>238</v>
      </c>
      <c r="E472" s="73" t="n">
        <v>1193108.46539303</v>
      </c>
      <c r="F472" s="74" t="n">
        <v>249929.926235551</v>
      </c>
      <c r="G472" s="75" t="n">
        <v>1192634.43006365</v>
      </c>
      <c r="H472" s="76" t="n">
        <v>249894.478827588</v>
      </c>
      <c r="I472" s="77" t="str">
        <f>H472-F472</f>
      </c>
      <c r="J472" s="78" t="str">
        <f>G472-E472</f>
      </c>
    </row>
    <row r="473">
      <c r="A473" t="s">
        <v>202</v>
      </c>
      <c r="B473" t="s">
        <v>204</v>
      </c>
      <c r="C473" s="72" t="n">
        <v>2040</v>
      </c>
      <c r="D473" t="s">
        <v>184</v>
      </c>
      <c r="E473" s="73" t="n">
        <v>137599.040809723</v>
      </c>
      <c r="F473" s="74" t="n">
        <v>92899.4640560746</v>
      </c>
      <c r="G473" s="75" t="n">
        <v>138689.796610277</v>
      </c>
      <c r="H473" s="76" t="n">
        <v>93636.8967600593</v>
      </c>
      <c r="I473" s="77" t="str">
        <f>H473-F473</f>
      </c>
      <c r="J473" s="78" t="str">
        <f>G473-E473</f>
      </c>
    </row>
    <row r="474">
      <c r="A474" t="s">
        <v>202</v>
      </c>
      <c r="B474" t="s">
        <v>204</v>
      </c>
      <c r="C474" s="72" t="n">
        <v>2040</v>
      </c>
      <c r="D474" t="s">
        <v>187</v>
      </c>
      <c r="E474" s="73" t="n">
        <v>447161.45415573</v>
      </c>
      <c r="F474" s="74" t="n">
        <v>415285.33970978</v>
      </c>
      <c r="G474" s="75" t="n">
        <v>450841.764596063</v>
      </c>
      <c r="H474" s="76" t="n">
        <v>418620.908948174</v>
      </c>
      <c r="I474" s="77" t="str">
        <f>H474-F474</f>
      </c>
      <c r="J474" s="78" t="str">
        <f>G474-E474</f>
      </c>
    </row>
    <row r="475">
      <c r="A475" t="s">
        <v>202</v>
      </c>
      <c r="B475" t="s">
        <v>204</v>
      </c>
      <c r="C475" s="72" t="n">
        <v>2040</v>
      </c>
      <c r="D475" t="s">
        <v>190</v>
      </c>
      <c r="E475" s="73" t="n">
        <v>771088.634696569</v>
      </c>
      <c r="F475" s="74" t="n">
        <v>481999.274783814</v>
      </c>
      <c r="G475" s="75" t="n">
        <v>777088.496702091</v>
      </c>
      <c r="H475" s="76" t="n">
        <v>484947.105425179</v>
      </c>
      <c r="I475" s="77" t="str">
        <f>H475-F475</f>
      </c>
      <c r="J475" s="78" t="str">
        <f>G475-E475</f>
      </c>
    </row>
    <row r="476">
      <c r="A476" t="s">
        <v>202</v>
      </c>
      <c r="B476" t="s">
        <v>204</v>
      </c>
      <c r="C476" s="72" t="n">
        <v>2040</v>
      </c>
      <c r="D476" t="s">
        <v>193</v>
      </c>
      <c r="E476" s="73" t="n">
        <v>584931.693189683</v>
      </c>
      <c r="F476" s="74" t="n">
        <v>336023.74325677</v>
      </c>
      <c r="G476" s="75" t="n">
        <v>589359.733832842</v>
      </c>
      <c r="H476" s="76" t="n">
        <v>338039.010430446</v>
      </c>
      <c r="I476" s="77" t="str">
        <f>H476-F476</f>
      </c>
      <c r="J476" s="78" t="str">
        <f>G476-E476</f>
      </c>
    </row>
    <row r="477">
      <c r="A477" t="s">
        <v>202</v>
      </c>
      <c r="B477" t="s">
        <v>204</v>
      </c>
      <c r="C477" s="72" t="n">
        <v>2040</v>
      </c>
      <c r="D477" t="s">
        <v>424</v>
      </c>
      <c r="E477" s="73" t="n">
        <v>43467.5952013652</v>
      </c>
      <c r="F477" s="74" t="n">
        <v>7573.83223555485</v>
      </c>
      <c r="G477" s="75" t="n">
        <v>43464.8596818836</v>
      </c>
      <c r="H477" s="76" t="n">
        <v>7573.72556082699</v>
      </c>
      <c r="I477" s="77" t="str">
        <f>H477-F477</f>
      </c>
      <c r="J477" s="78" t="str">
        <f>G477-E477</f>
      </c>
    </row>
    <row r="478">
      <c r="A478" t="s">
        <v>202</v>
      </c>
      <c r="B478" t="s">
        <v>204</v>
      </c>
      <c r="C478" s="72" t="n">
        <v>2041</v>
      </c>
      <c r="D478" t="s">
        <v>176</v>
      </c>
      <c r="E478" s="73" t="n">
        <v>19754.081979987</v>
      </c>
      <c r="F478" s="74" t="n">
        <v>14002.3367530389</v>
      </c>
      <c r="G478" s="75" t="n">
        <v>19727.283486384</v>
      </c>
      <c r="H478" s="76" t="n">
        <v>13991.6066902828</v>
      </c>
      <c r="I478" s="77" t="str">
        <f>H478-F478</f>
      </c>
      <c r="J478" s="78" t="str">
        <f>G478-E478</f>
      </c>
    </row>
    <row r="479">
      <c r="A479" t="s">
        <v>202</v>
      </c>
      <c r="B479" t="s">
        <v>204</v>
      </c>
      <c r="C479" s="72" t="n">
        <v>2041</v>
      </c>
      <c r="D479" t="s">
        <v>238</v>
      </c>
      <c r="E479" s="73" t="n">
        <v>1200516.21450895</v>
      </c>
      <c r="F479" s="74" t="n">
        <v>257641.98846085</v>
      </c>
      <c r="G479" s="75" t="n">
        <v>1199988.17586749</v>
      </c>
      <c r="H479" s="76" t="n">
        <v>257599.044002988</v>
      </c>
      <c r="I479" s="77" t="str">
        <f>H479-F479</f>
      </c>
      <c r="J479" s="78" t="str">
        <f>G479-E479</f>
      </c>
    </row>
    <row r="480">
      <c r="A480" t="s">
        <v>202</v>
      </c>
      <c r="B480" t="s">
        <v>204</v>
      </c>
      <c r="C480" s="72" t="n">
        <v>2041</v>
      </c>
      <c r="D480" t="s">
        <v>184</v>
      </c>
      <c r="E480" s="73" t="n">
        <v>140377.846950401</v>
      </c>
      <c r="F480" s="74" t="n">
        <v>94772.5424410983</v>
      </c>
      <c r="G480" s="75" t="n">
        <v>141475.570851386</v>
      </c>
      <c r="H480" s="76" t="n">
        <v>95527.0063786807</v>
      </c>
      <c r="I480" s="77" t="str">
        <f>H480-F480</f>
      </c>
      <c r="J480" s="78" t="str">
        <f>G480-E480</f>
      </c>
    </row>
    <row r="481">
      <c r="A481" t="s">
        <v>202</v>
      </c>
      <c r="B481" t="s">
        <v>204</v>
      </c>
      <c r="C481" s="72" t="n">
        <v>2041</v>
      </c>
      <c r="D481" t="s">
        <v>187</v>
      </c>
      <c r="E481" s="73" t="n">
        <v>453996.744825501</v>
      </c>
      <c r="F481" s="74" t="n">
        <v>421629.493985534</v>
      </c>
      <c r="G481" s="75" t="n">
        <v>457698.128134802</v>
      </c>
      <c r="H481" s="76" t="n">
        <v>425005.77720965</v>
      </c>
      <c r="I481" s="77" t="str">
        <f>H481-F481</f>
      </c>
      <c r="J481" s="78" t="str">
        <f>G481-E481</f>
      </c>
    </row>
    <row r="482">
      <c r="A482" t="s">
        <v>202</v>
      </c>
      <c r="B482" t="s">
        <v>204</v>
      </c>
      <c r="C482" s="72" t="n">
        <v>2041</v>
      </c>
      <c r="D482" t="s">
        <v>190</v>
      </c>
      <c r="E482" s="73" t="n">
        <v>782284.661590749</v>
      </c>
      <c r="F482" s="74" t="n">
        <v>491299.257295349</v>
      </c>
      <c r="G482" s="75" t="n">
        <v>788293.242756689</v>
      </c>
      <c r="H482" s="76" t="n">
        <v>494390.873248259</v>
      </c>
      <c r="I482" s="77" t="str">
        <f>H482-F482</f>
      </c>
      <c r="J482" s="78" t="str">
        <f>G482-E482</f>
      </c>
    </row>
    <row r="483">
      <c r="A483" t="s">
        <v>202</v>
      </c>
      <c r="B483" t="s">
        <v>204</v>
      </c>
      <c r="C483" s="72" t="n">
        <v>2041</v>
      </c>
      <c r="D483" t="s">
        <v>193</v>
      </c>
      <c r="E483" s="73" t="n">
        <v>596713.198968353</v>
      </c>
      <c r="F483" s="74" t="n">
        <v>345816.63072066</v>
      </c>
      <c r="G483" s="75" t="n">
        <v>601155.340946961</v>
      </c>
      <c r="H483" s="76" t="n">
        <v>347924.766327078</v>
      </c>
      <c r="I483" s="77" t="str">
        <f>H483-F483</f>
      </c>
      <c r="J483" s="78" t="str">
        <f>G483-E483</f>
      </c>
    </row>
    <row r="484">
      <c r="A484" t="s">
        <v>202</v>
      </c>
      <c r="B484" t="s">
        <v>204</v>
      </c>
      <c r="C484" s="72" t="n">
        <v>2041</v>
      </c>
      <c r="D484" t="s">
        <v>424</v>
      </c>
      <c r="E484" s="73" t="n">
        <v>43364.000701199</v>
      </c>
      <c r="F484" s="74" t="n">
        <v>7596.12209298116</v>
      </c>
      <c r="G484" s="75" t="n">
        <v>43360.9356755525</v>
      </c>
      <c r="H484" s="76" t="n">
        <v>7595.99533386821</v>
      </c>
      <c r="I484" s="77" t="str">
        <f>H484-F484</f>
      </c>
      <c r="J484" s="78" t="str">
        <f>G484-E484</f>
      </c>
    </row>
    <row r="485">
      <c r="A485" t="s">
        <v>202</v>
      </c>
      <c r="B485" t="s">
        <v>204</v>
      </c>
      <c r="C485" s="72" t="n">
        <v>2042</v>
      </c>
      <c r="D485" t="s">
        <v>176</v>
      </c>
      <c r="E485" s="73" t="n">
        <v>20252.4575466667</v>
      </c>
      <c r="F485" s="74" t="n">
        <v>14297.0762373193</v>
      </c>
      <c r="G485" s="75" t="n">
        <v>20222.2683991647</v>
      </c>
      <c r="H485" s="76" t="n">
        <v>14284.6169088399</v>
      </c>
      <c r="I485" s="77" t="str">
        <f>H485-F485</f>
      </c>
      <c r="J485" s="78" t="str">
        <f>G485-E485</f>
      </c>
    </row>
    <row r="486">
      <c r="A486" t="s">
        <v>202</v>
      </c>
      <c r="B486" t="s">
        <v>204</v>
      </c>
      <c r="C486" s="72" t="n">
        <v>2042</v>
      </c>
      <c r="D486" t="s">
        <v>238</v>
      </c>
      <c r="E486" s="73" t="n">
        <v>1207381.68661545</v>
      </c>
      <c r="F486" s="74" t="n">
        <v>265340.545311579</v>
      </c>
      <c r="G486" s="75" t="n">
        <v>1206799.58929471</v>
      </c>
      <c r="H486" s="76" t="n">
        <v>265289.409116733</v>
      </c>
      <c r="I486" s="77" t="str">
        <f>H486-F486</f>
      </c>
      <c r="J486" s="78" t="str">
        <f>G486-E486</f>
      </c>
    </row>
    <row r="487">
      <c r="A487" t="s">
        <v>202</v>
      </c>
      <c r="B487" t="s">
        <v>204</v>
      </c>
      <c r="C487" s="72" t="n">
        <v>2042</v>
      </c>
      <c r="D487" t="s">
        <v>184</v>
      </c>
      <c r="E487" s="73" t="n">
        <v>143143.99896377</v>
      </c>
      <c r="F487" s="74" t="n">
        <v>96636.795861454</v>
      </c>
      <c r="G487" s="75" t="n">
        <v>144248.066926011</v>
      </c>
      <c r="H487" s="76" t="n">
        <v>97406.1569770963</v>
      </c>
      <c r="I487" s="77" t="str">
        <f>H487-F487</f>
      </c>
      <c r="J487" s="78" t="str">
        <f>G487-E487</f>
      </c>
    </row>
    <row r="488">
      <c r="A488" t="s">
        <v>202</v>
      </c>
      <c r="B488" t="s">
        <v>204</v>
      </c>
      <c r="C488" s="72" t="n">
        <v>2042</v>
      </c>
      <c r="D488" t="s">
        <v>187</v>
      </c>
      <c r="E488" s="73" t="n">
        <v>460766.141659218</v>
      </c>
      <c r="F488" s="74" t="n">
        <v>427983.751863407</v>
      </c>
      <c r="G488" s="75" t="n">
        <v>464487.038990191</v>
      </c>
      <c r="H488" s="76" t="n">
        <v>431397.042999706</v>
      </c>
      <c r="I488" s="77" t="str">
        <f>H488-F488</f>
      </c>
      <c r="J488" s="78" t="str">
        <f>G488-E488</f>
      </c>
    </row>
    <row r="489">
      <c r="A489" t="s">
        <v>202</v>
      </c>
      <c r="B489" t="s">
        <v>204</v>
      </c>
      <c r="C489" s="72" t="n">
        <v>2042</v>
      </c>
      <c r="D489" t="s">
        <v>190</v>
      </c>
      <c r="E489" s="73" t="n">
        <v>793211.478363934</v>
      </c>
      <c r="F489" s="74" t="n">
        <v>500380.939759704</v>
      </c>
      <c r="G489" s="75" t="n">
        <v>799225.499121645</v>
      </c>
      <c r="H489" s="76" t="n">
        <v>503603.803809569</v>
      </c>
      <c r="I489" s="77" t="str">
        <f>H489-F489</f>
      </c>
      <c r="J489" s="78" t="str">
        <f>G489-E489</f>
      </c>
    </row>
    <row r="490">
      <c r="A490" t="s">
        <v>202</v>
      </c>
      <c r="B490" t="s">
        <v>204</v>
      </c>
      <c r="C490" s="72" t="n">
        <v>2042</v>
      </c>
      <c r="D490" t="s">
        <v>193</v>
      </c>
      <c r="E490" s="73" t="n">
        <v>608212.045399952</v>
      </c>
      <c r="F490" s="74" t="n">
        <v>355735.976924233</v>
      </c>
      <c r="G490" s="75" t="n">
        <v>612664.177038008</v>
      </c>
      <c r="H490" s="76" t="n">
        <v>357930.939504437</v>
      </c>
      <c r="I490" s="77" t="str">
        <f>H490-F490</f>
      </c>
      <c r="J490" s="78" t="str">
        <f>G490-E490</f>
      </c>
    </row>
    <row r="491">
      <c r="A491" t="s">
        <v>202</v>
      </c>
      <c r="B491" t="s">
        <v>204</v>
      </c>
      <c r="C491" s="72" t="n">
        <v>2042</v>
      </c>
      <c r="D491" t="s">
        <v>424</v>
      </c>
      <c r="E491" s="73" t="n">
        <v>43282.1287806737</v>
      </c>
      <c r="F491" s="74" t="n">
        <v>7616.74111647177</v>
      </c>
      <c r="G491" s="75" t="n">
        <v>43278.7284816073</v>
      </c>
      <c r="H491" s="76" t="n">
        <v>7616.59280355029</v>
      </c>
      <c r="I491" s="77" t="str">
        <f>H491-F491</f>
      </c>
      <c r="J491" s="78" t="str">
        <f>G491-E491</f>
      </c>
    </row>
    <row r="492">
      <c r="A492" t="s">
        <v>202</v>
      </c>
      <c r="B492" t="s">
        <v>204</v>
      </c>
      <c r="C492" s="72" t="n">
        <v>2043</v>
      </c>
      <c r="D492" t="s">
        <v>176</v>
      </c>
      <c r="E492" s="73" t="n">
        <v>20754.2866110454</v>
      </c>
      <c r="F492" s="74" t="n">
        <v>14587.1763472528</v>
      </c>
      <c r="G492" s="75" t="n">
        <v>20720.5482054553</v>
      </c>
      <c r="H492" s="76" t="n">
        <v>14572.8831532714</v>
      </c>
      <c r="I492" s="77" t="str">
        <f>H492-F492</f>
      </c>
      <c r="J492" s="78" t="str">
        <f>G492-E492</f>
      </c>
    </row>
    <row r="493">
      <c r="A493" t="s">
        <v>202</v>
      </c>
      <c r="B493" t="s">
        <v>204</v>
      </c>
      <c r="C493" s="72" t="n">
        <v>2043</v>
      </c>
      <c r="D493" t="s">
        <v>238</v>
      </c>
      <c r="E493" s="73" t="n">
        <v>1213685.34413948</v>
      </c>
      <c r="F493" s="74" t="n">
        <v>273010.439416521</v>
      </c>
      <c r="G493" s="75" t="n">
        <v>1213049.26096591</v>
      </c>
      <c r="H493" s="76" t="n">
        <v>272950.435419178</v>
      </c>
      <c r="I493" s="77" t="str">
        <f>H493-F493</f>
      </c>
      <c r="J493" s="78" t="str">
        <f>G493-E493</f>
      </c>
    </row>
    <row r="494">
      <c r="A494" t="s">
        <v>202</v>
      </c>
      <c r="B494" t="s">
        <v>204</v>
      </c>
      <c r="C494" s="72" t="n">
        <v>2043</v>
      </c>
      <c r="D494" t="s">
        <v>184</v>
      </c>
      <c r="E494" s="73" t="n">
        <v>145884.148999566</v>
      </c>
      <c r="F494" s="74" t="n">
        <v>98488.9786986602</v>
      </c>
      <c r="G494" s="75" t="n">
        <v>146993.814208207</v>
      </c>
      <c r="H494" s="76" t="n">
        <v>99271.3911680729</v>
      </c>
      <c r="I494" s="77" t="str">
        <f>H494-F494</f>
      </c>
      <c r="J494" s="78" t="str">
        <f>G494-E494</f>
      </c>
    </row>
    <row r="495">
      <c r="A495" t="s">
        <v>202</v>
      </c>
      <c r="B495" t="s">
        <v>204</v>
      </c>
      <c r="C495" s="72" t="n">
        <v>2043</v>
      </c>
      <c r="D495" t="s">
        <v>187</v>
      </c>
      <c r="E495" s="73" t="n">
        <v>467416.38061271</v>
      </c>
      <c r="F495" s="74" t="n">
        <v>434233.71491524</v>
      </c>
      <c r="G495" s="75" t="n">
        <v>471154.839580669</v>
      </c>
      <c r="H495" s="76" t="n">
        <v>437679.988471842</v>
      </c>
      <c r="I495" s="77" t="str">
        <f>H495-F495</f>
      </c>
      <c r="J495" s="78" t="str">
        <f>G495-E495</f>
      </c>
    </row>
    <row r="496">
      <c r="A496" t="s">
        <v>202</v>
      </c>
      <c r="B496" t="s">
        <v>204</v>
      </c>
      <c r="C496" s="72" t="n">
        <v>2043</v>
      </c>
      <c r="D496" t="s">
        <v>190</v>
      </c>
      <c r="E496" s="73" t="n">
        <v>803997.701534683</v>
      </c>
      <c r="F496" s="74" t="n">
        <v>509267.87000168</v>
      </c>
      <c r="G496" s="75" t="n">
        <v>810014.772834319</v>
      </c>
      <c r="H496" s="76" t="n">
        <v>512610.449179313</v>
      </c>
      <c r="I496" s="77" t="str">
        <f>H496-F496</f>
      </c>
      <c r="J496" s="78" t="str">
        <f>G496-E496</f>
      </c>
    </row>
    <row r="497">
      <c r="A497" t="s">
        <v>202</v>
      </c>
      <c r="B497" t="s">
        <v>204</v>
      </c>
      <c r="C497" s="72" t="n">
        <v>2043</v>
      </c>
      <c r="D497" t="s">
        <v>193</v>
      </c>
      <c r="E497" s="73" t="n">
        <v>619494.622425783</v>
      </c>
      <c r="F497" s="74" t="n">
        <v>365683.529125292</v>
      </c>
      <c r="G497" s="75" t="n">
        <v>623953.356494139</v>
      </c>
      <c r="H497" s="76" t="n">
        <v>367959.059248153</v>
      </c>
      <c r="I497" s="77" t="str">
        <f>H497-F497</f>
      </c>
      <c r="J497" s="78" t="str">
        <f>G497-E497</f>
      </c>
    </row>
    <row r="498">
      <c r="A498" t="s">
        <v>202</v>
      </c>
      <c r="B498" t="s">
        <v>204</v>
      </c>
      <c r="C498" s="72" t="n">
        <v>2043</v>
      </c>
      <c r="D498" t="s">
        <v>424</v>
      </c>
      <c r="E498" s="73" t="n">
        <v>43235.8795463175</v>
      </c>
      <c r="F498" s="74" t="n">
        <v>7634.80943548179</v>
      </c>
      <c r="G498" s="75" t="n">
        <v>43232.1385441846</v>
      </c>
      <c r="H498" s="76" t="n">
        <v>7634.63809790975</v>
      </c>
      <c r="I498" s="77" t="str">
        <f>H498-F498</f>
      </c>
      <c r="J498" s="78" t="str">
        <f>G498-E498</f>
      </c>
    </row>
    <row r="499">
      <c r="A499" t="s">
        <v>202</v>
      </c>
      <c r="B499" t="s">
        <v>204</v>
      </c>
      <c r="C499" s="72" t="n">
        <v>2044</v>
      </c>
      <c r="D499" t="s">
        <v>176</v>
      </c>
      <c r="E499" s="73" t="n">
        <v>21257.6973263965</v>
      </c>
      <c r="F499" s="74" t="n">
        <v>14877.6585106644</v>
      </c>
      <c r="G499" s="75" t="n">
        <v>21220.2473713984</v>
      </c>
      <c r="H499" s="76" t="n">
        <v>14861.4315691186</v>
      </c>
      <c r="I499" s="77" t="str">
        <f>H499-F499</f>
      </c>
      <c r="J499" s="78" t="str">
        <f>G499-E499</f>
      </c>
    </row>
    <row r="500">
      <c r="A500" t="s">
        <v>202</v>
      </c>
      <c r="B500" t="s">
        <v>204</v>
      </c>
      <c r="C500" s="72" t="n">
        <v>2044</v>
      </c>
      <c r="D500" t="s">
        <v>238</v>
      </c>
      <c r="E500" s="73" t="n">
        <v>1219678.35974356</v>
      </c>
      <c r="F500" s="74" t="n">
        <v>280575.965165018</v>
      </c>
      <c r="G500" s="75" t="n">
        <v>1218988.4670045</v>
      </c>
      <c r="H500" s="76" t="n">
        <v>280506.441535508</v>
      </c>
      <c r="I500" s="77" t="str">
        <f>H500-F500</f>
      </c>
      <c r="J500" s="78" t="str">
        <f>G500-E500</f>
      </c>
    </row>
    <row r="501">
      <c r="A501" t="s">
        <v>202</v>
      </c>
      <c r="B501" t="s">
        <v>204</v>
      </c>
      <c r="C501" s="72" t="n">
        <v>2044</v>
      </c>
      <c r="D501" t="s">
        <v>184</v>
      </c>
      <c r="E501" s="73" t="n">
        <v>148581.839486553</v>
      </c>
      <c r="F501" s="74" t="n">
        <v>100318.492682895</v>
      </c>
      <c r="G501" s="75" t="n">
        <v>149696.213967301</v>
      </c>
      <c r="H501" s="76" t="n">
        <v>101112.290089553</v>
      </c>
      <c r="I501" s="77" t="str">
        <f>H501-F501</f>
      </c>
      <c r="J501" s="78" t="str">
        <f>G501-E501</f>
      </c>
    </row>
    <row r="502">
      <c r="A502" t="s">
        <v>202</v>
      </c>
      <c r="B502" t="s">
        <v>204</v>
      </c>
      <c r="C502" s="72" t="n">
        <v>2044</v>
      </c>
      <c r="D502" t="s">
        <v>187</v>
      </c>
      <c r="E502" s="73" t="n">
        <v>473828.125693842</v>
      </c>
      <c r="F502" s="74" t="n">
        <v>440325.370738983</v>
      </c>
      <c r="G502" s="75" t="n">
        <v>477581.314836645</v>
      </c>
      <c r="H502" s="76" t="n">
        <v>443800.637197395</v>
      </c>
      <c r="I502" s="77" t="str">
        <f>H502-F502</f>
      </c>
      <c r="J502" s="78" t="str">
        <f>G502-E502</f>
      </c>
    </row>
    <row r="503">
      <c r="A503" t="s">
        <v>202</v>
      </c>
      <c r="B503" t="s">
        <v>204</v>
      </c>
      <c r="C503" s="72" t="n">
        <v>2044</v>
      </c>
      <c r="D503" t="s">
        <v>190</v>
      </c>
      <c r="E503" s="73" t="n">
        <v>814724.13097547</v>
      </c>
      <c r="F503" s="74" t="n">
        <v>517968.325454786</v>
      </c>
      <c r="G503" s="75" t="n">
        <v>820742.370121934</v>
      </c>
      <c r="H503" s="76" t="n">
        <v>521420.170330997</v>
      </c>
      <c r="I503" s="77" t="str">
        <f>H503-F503</f>
      </c>
      <c r="J503" s="78" t="str">
        <f>G503-E503</f>
      </c>
    </row>
    <row r="504">
      <c r="A504" t="s">
        <v>202</v>
      </c>
      <c r="B504" t="s">
        <v>204</v>
      </c>
      <c r="C504" s="72" t="n">
        <v>2044</v>
      </c>
      <c r="D504" t="s">
        <v>193</v>
      </c>
      <c r="E504" s="73" t="n">
        <v>630562.339152777</v>
      </c>
      <c r="F504" s="74" t="n">
        <v>375568.83473023</v>
      </c>
      <c r="G504" s="75" t="n">
        <v>635024.546467649</v>
      </c>
      <c r="H504" s="76" t="n">
        <v>377918.589898958</v>
      </c>
      <c r="I504" s="77" t="str">
        <f>H504-F504</f>
      </c>
      <c r="J504" s="78" t="str">
        <f>G504-E504</f>
      </c>
    </row>
    <row r="505">
      <c r="A505" t="s">
        <v>202</v>
      </c>
      <c r="B505" t="s">
        <v>204</v>
      </c>
      <c r="C505" s="72" t="n">
        <v>2044</v>
      </c>
      <c r="D505" t="s">
        <v>424</v>
      </c>
      <c r="E505" s="73" t="n">
        <v>43206.7163355277</v>
      </c>
      <c r="F505" s="74" t="n">
        <v>7652.91766220507</v>
      </c>
      <c r="G505" s="75" t="n">
        <v>43202.6300388595</v>
      </c>
      <c r="H505" s="76" t="n">
        <v>7652.72182573668</v>
      </c>
      <c r="I505" s="77" t="str">
        <f>H505-F505</f>
      </c>
      <c r="J505" s="78" t="str">
        <f>G505-E505</f>
      </c>
    </row>
    <row r="506">
      <c r="A506" t="s">
        <v>202</v>
      </c>
      <c r="B506" t="s">
        <v>204</v>
      </c>
      <c r="C506" s="72" t="n">
        <v>2045</v>
      </c>
      <c r="D506" t="s">
        <v>176</v>
      </c>
      <c r="E506" s="73" t="n">
        <v>21758.9316044675</v>
      </c>
      <c r="F506" s="74" t="n">
        <v>15166.553656192</v>
      </c>
      <c r="G506" s="75" t="n">
        <v>21717.6165215297</v>
      </c>
      <c r="H506" s="76" t="n">
        <v>15148.2979562423</v>
      </c>
      <c r="I506" s="77" t="str">
        <f>H506-F506</f>
      </c>
      <c r="J506" s="78" t="str">
        <f>G506-E506</f>
      </c>
    </row>
    <row r="507">
      <c r="A507" t="s">
        <v>202</v>
      </c>
      <c r="B507" t="s">
        <v>204</v>
      </c>
      <c r="C507" s="72" t="n">
        <v>2045</v>
      </c>
      <c r="D507" t="s">
        <v>238</v>
      </c>
      <c r="E507" s="73" t="n">
        <v>1225412.29212703</v>
      </c>
      <c r="F507" s="74" t="n">
        <v>288004.714105086</v>
      </c>
      <c r="G507" s="75" t="n">
        <v>1224668.96644768</v>
      </c>
      <c r="H507" s="76" t="n">
        <v>287925.043222784</v>
      </c>
      <c r="I507" s="77" t="str">
        <f>H507-F507</f>
      </c>
      <c r="J507" s="78" t="str">
        <f>G507-E507</f>
      </c>
    </row>
    <row r="508">
      <c r="A508" t="s">
        <v>202</v>
      </c>
      <c r="B508" t="s">
        <v>204</v>
      </c>
      <c r="C508" s="72" t="n">
        <v>2045</v>
      </c>
      <c r="D508" t="s">
        <v>184</v>
      </c>
      <c r="E508" s="73" t="n">
        <v>151219.973362139</v>
      </c>
      <c r="F508" s="74" t="n">
        <v>102131.535248389</v>
      </c>
      <c r="G508" s="75" t="n">
        <v>152338.052815886</v>
      </c>
      <c r="H508" s="76" t="n">
        <v>102935.314985138</v>
      </c>
      <c r="I508" s="77" t="str">
        <f>H508-F508</f>
      </c>
      <c r="J508" s="78" t="str">
        <f>G508-E508</f>
      </c>
    </row>
    <row r="509">
      <c r="A509" t="s">
        <v>202</v>
      </c>
      <c r="B509" t="s">
        <v>204</v>
      </c>
      <c r="C509" s="72" t="n">
        <v>2045</v>
      </c>
      <c r="D509" t="s">
        <v>187</v>
      </c>
      <c r="E509" s="73" t="n">
        <v>479958.607489343</v>
      </c>
      <c r="F509" s="74" t="n">
        <v>446217.253235171</v>
      </c>
      <c r="G509" s="75" t="n">
        <v>483723.516122198</v>
      </c>
      <c r="H509" s="76" t="n">
        <v>449717.558047709</v>
      </c>
      <c r="I509" s="77" t="str">
        <f>H509-F509</f>
      </c>
      <c r="J509" s="78" t="str">
        <f>G509-E509</f>
      </c>
    </row>
    <row r="510">
      <c r="A510" t="s">
        <v>202</v>
      </c>
      <c r="B510" t="s">
        <v>204</v>
      </c>
      <c r="C510" s="72" t="n">
        <v>2045</v>
      </c>
      <c r="D510" t="s">
        <v>190</v>
      </c>
      <c r="E510" s="73" t="n">
        <v>825452.430766058</v>
      </c>
      <c r="F510" s="74" t="n">
        <v>526443.175580324</v>
      </c>
      <c r="G510" s="75" t="n">
        <v>831470.210098177</v>
      </c>
      <c r="H510" s="76" t="n">
        <v>529994.226959208</v>
      </c>
      <c r="I510" s="77" t="str">
        <f>H510-F510</f>
      </c>
      <c r="J510" s="78" t="str">
        <f>G510-E510</f>
      </c>
    </row>
    <row r="511">
      <c r="A511" t="s">
        <v>202</v>
      </c>
      <c r="B511" t="s">
        <v>204</v>
      </c>
      <c r="C511" s="72" t="n">
        <v>2045</v>
      </c>
      <c r="D511" t="s">
        <v>193</v>
      </c>
      <c r="E511" s="73" t="n">
        <v>641268.727142576</v>
      </c>
      <c r="F511" s="74" t="n">
        <v>385333.052456062</v>
      </c>
      <c r="G511" s="75" t="n">
        <v>645730.44769896</v>
      </c>
      <c r="H511" s="76" t="n">
        <v>387750.678781898</v>
      </c>
      <c r="I511" s="77" t="str">
        <f>H511-F511</f>
      </c>
      <c r="J511" s="78" t="str">
        <f>G511-E511</f>
      </c>
    </row>
    <row r="512">
      <c r="A512" t="s">
        <v>202</v>
      </c>
      <c r="B512" t="s">
        <v>204</v>
      </c>
      <c r="C512" s="72" t="n">
        <v>2045</v>
      </c>
      <c r="D512" t="s">
        <v>424</v>
      </c>
      <c r="E512" s="73" t="n">
        <v>43195.0391622153</v>
      </c>
      <c r="F512" s="74" t="n">
        <v>7672.29002087461</v>
      </c>
      <c r="G512" s="75" t="n">
        <v>43190.6037513161</v>
      </c>
      <c r="H512" s="76" t="n">
        <v>7672.06822678464</v>
      </c>
      <c r="I512" s="77" t="str">
        <f>H512-F512</f>
      </c>
      <c r="J512" s="78" t="str">
        <f>G512-E512</f>
      </c>
    </row>
    <row r="513">
      <c r="A513" t="s">
        <v>202</v>
      </c>
      <c r="B513" t="s">
        <v>204</v>
      </c>
      <c r="C513" s="72" t="n">
        <v>2046</v>
      </c>
      <c r="D513" t="s">
        <v>176</v>
      </c>
      <c r="E513" s="73" t="n">
        <v>22256.3016978699</v>
      </c>
      <c r="F513" s="74" t="n">
        <v>15457.2801253232</v>
      </c>
      <c r="G513" s="75" t="n">
        <v>22210.9745219107</v>
      </c>
      <c r="H513" s="76" t="n">
        <v>15436.8918612077</v>
      </c>
      <c r="I513" s="77" t="str">
        <f>H513-F513</f>
      </c>
      <c r="J513" s="78" t="str">
        <f>G513-E513</f>
      </c>
    </row>
    <row r="514">
      <c r="A514" t="s">
        <v>202</v>
      </c>
      <c r="B514" t="s">
        <v>204</v>
      </c>
      <c r="C514" s="72" t="n">
        <v>2046</v>
      </c>
      <c r="D514" t="s">
        <v>238</v>
      </c>
      <c r="E514" s="73" t="n">
        <v>1230921.26583661</v>
      </c>
      <c r="F514" s="74" t="n">
        <v>295256.308813537</v>
      </c>
      <c r="G514" s="75" t="n">
        <v>1230125.0687767</v>
      </c>
      <c r="H514" s="76" t="n">
        <v>295165.877208802</v>
      </c>
      <c r="I514" s="77" t="str">
        <f>H514-F514</f>
      </c>
      <c r="J514" s="78" t="str">
        <f>G514-E514</f>
      </c>
    </row>
    <row r="515">
      <c r="A515" t="s">
        <v>202</v>
      </c>
      <c r="B515" t="s">
        <v>204</v>
      </c>
      <c r="C515" s="72" t="n">
        <v>2046</v>
      </c>
      <c r="D515" t="s">
        <v>184</v>
      </c>
      <c r="E515" s="73" t="n">
        <v>153798.399251781</v>
      </c>
      <c r="F515" s="74" t="n">
        <v>103918.691136263</v>
      </c>
      <c r="G515" s="75" t="n">
        <v>154919.185199882</v>
      </c>
      <c r="H515" s="76" t="n">
        <v>104731.133984312</v>
      </c>
      <c r="I515" s="77" t="str">
        <f>H515-F515</f>
      </c>
      <c r="J515" s="78" t="str">
        <f>G515-E515</f>
      </c>
    </row>
    <row r="516">
      <c r="A516" t="s">
        <v>202</v>
      </c>
      <c r="B516" t="s">
        <v>204</v>
      </c>
      <c r="C516" s="72" t="n">
        <v>2046</v>
      </c>
      <c r="D516" t="s">
        <v>187</v>
      </c>
      <c r="E516" s="73" t="n">
        <v>485786.036658314</v>
      </c>
      <c r="F516" s="74" t="n">
        <v>451789.281656216</v>
      </c>
      <c r="G516" s="75" t="n">
        <v>489559.569488497</v>
      </c>
      <c r="H516" s="76" t="n">
        <v>455310.080020589</v>
      </c>
      <c r="I516" s="77" t="str">
        <f>H516-F516</f>
      </c>
      <c r="J516" s="78" t="str">
        <f>G516-E516</f>
      </c>
    </row>
    <row r="517">
      <c r="A517" t="s">
        <v>202</v>
      </c>
      <c r="B517" t="s">
        <v>204</v>
      </c>
      <c r="C517" s="72" t="n">
        <v>2046</v>
      </c>
      <c r="D517" t="s">
        <v>190</v>
      </c>
      <c r="E517" s="73" t="n">
        <v>836007.735437001</v>
      </c>
      <c r="F517" s="74" t="n">
        <v>534799.004092065</v>
      </c>
      <c r="G517" s="75" t="n">
        <v>842022.211146035</v>
      </c>
      <c r="H517" s="76" t="n">
        <v>538440.168228285</v>
      </c>
      <c r="I517" s="77" t="str">
        <f>H517-F517</f>
      </c>
      <c r="J517" s="78" t="str">
        <f>G517-E517</f>
      </c>
    </row>
    <row r="518">
      <c r="A518" t="s">
        <v>202</v>
      </c>
      <c r="B518" t="s">
        <v>204</v>
      </c>
      <c r="C518" s="72" t="n">
        <v>2046</v>
      </c>
      <c r="D518" t="s">
        <v>193</v>
      </c>
      <c r="E518" s="73" t="n">
        <v>651566.241284977</v>
      </c>
      <c r="F518" s="74" t="n">
        <v>394952.644764578</v>
      </c>
      <c r="G518" s="75" t="n">
        <v>656023.203848247</v>
      </c>
      <c r="H518" s="76" t="n">
        <v>397431.950602612</v>
      </c>
      <c r="I518" s="77" t="str">
        <f>H518-F518</f>
      </c>
      <c r="J518" s="78" t="str">
        <f>G518-E518</f>
      </c>
    </row>
    <row r="519">
      <c r="A519" t="s">
        <v>202</v>
      </c>
      <c r="B519" t="s">
        <v>204</v>
      </c>
      <c r="C519" s="72" t="n">
        <v>2046</v>
      </c>
      <c r="D519" t="s">
        <v>424</v>
      </c>
      <c r="E519" s="73" t="n">
        <v>43201.0988806451</v>
      </c>
      <c r="F519" s="74" t="n">
        <v>7693.80617886652</v>
      </c>
      <c r="G519" s="75" t="n">
        <v>43196.3103231123</v>
      </c>
      <c r="H519" s="76" t="n">
        <v>7693.55704865625</v>
      </c>
      <c r="I519" s="77" t="str">
        <f>H519-F519</f>
      </c>
      <c r="J519" s="78" t="str">
        <f>G519-E519</f>
      </c>
    </row>
    <row r="520">
      <c r="A520" t="s">
        <v>202</v>
      </c>
      <c r="B520" t="s">
        <v>204</v>
      </c>
      <c r="C520" s="72" t="n">
        <v>2047</v>
      </c>
      <c r="D520" t="s">
        <v>176</v>
      </c>
      <c r="E520" s="73" t="n">
        <v>22749.1430206821</v>
      </c>
      <c r="F520" s="74" t="n">
        <v>15751.1174321326</v>
      </c>
      <c r="G520" s="75" t="n">
        <v>22699.6629629007</v>
      </c>
      <c r="H520" s="76" t="n">
        <v>15728.4854947303</v>
      </c>
      <c r="I520" s="77" t="str">
        <f>H520-F520</f>
      </c>
      <c r="J520" s="78" t="str">
        <f>G520-E520</f>
      </c>
    </row>
    <row r="521">
      <c r="A521" t="s">
        <v>202</v>
      </c>
      <c r="B521" t="s">
        <v>204</v>
      </c>
      <c r="C521" s="72" t="n">
        <v>2047</v>
      </c>
      <c r="D521" t="s">
        <v>238</v>
      </c>
      <c r="E521" s="73" t="n">
        <v>1236122.98690613</v>
      </c>
      <c r="F521" s="74" t="n">
        <v>302282.349520139</v>
      </c>
      <c r="G521" s="75" t="n">
        <v>1235274.66521773</v>
      </c>
      <c r="H521" s="76" t="n">
        <v>302180.550312501</v>
      </c>
      <c r="I521" s="77" t="str">
        <f>H521-F521</f>
      </c>
      <c r="J521" s="78" t="str">
        <f>G521-E521</f>
      </c>
    </row>
    <row r="522">
      <c r="A522" t="s">
        <v>202</v>
      </c>
      <c r="B522" t="s">
        <v>204</v>
      </c>
      <c r="C522" s="72" t="n">
        <v>2047</v>
      </c>
      <c r="D522" t="s">
        <v>184</v>
      </c>
      <c r="E522" s="73" t="n">
        <v>156313.461495445</v>
      </c>
      <c r="F522" s="74" t="n">
        <v>105667.834749714</v>
      </c>
      <c r="G522" s="75" t="n">
        <v>157435.937342911</v>
      </c>
      <c r="H522" s="76" t="n">
        <v>106487.677760342</v>
      </c>
      <c r="I522" s="77" t="str">
        <f>H522-F522</f>
      </c>
      <c r="J522" s="78" t="str">
        <f>G522-E522</f>
      </c>
    </row>
    <row r="523">
      <c r="A523" t="s">
        <v>202</v>
      </c>
      <c r="B523" t="s">
        <v>204</v>
      </c>
      <c r="C523" s="72" t="n">
        <v>2047</v>
      </c>
      <c r="D523" t="s">
        <v>187</v>
      </c>
      <c r="E523" s="73" t="n">
        <v>491268.543653788</v>
      </c>
      <c r="F523" s="74" t="n">
        <v>457002.6583161</v>
      </c>
      <c r="G523" s="75" t="n">
        <v>495047.331680699</v>
      </c>
      <c r="H523" s="76" t="n">
        <v>460539.427749469</v>
      </c>
      <c r="I523" s="77" t="str">
        <f>H523-F523</f>
      </c>
      <c r="J523" s="78" t="str">
        <f>G523-E523</f>
      </c>
    </row>
    <row r="524">
      <c r="A524" t="s">
        <v>202</v>
      </c>
      <c r="B524" t="s">
        <v>204</v>
      </c>
      <c r="C524" s="72" t="n">
        <v>2047</v>
      </c>
      <c r="D524" t="s">
        <v>190</v>
      </c>
      <c r="E524" s="73" t="n">
        <v>846348.450972227</v>
      </c>
      <c r="F524" s="74" t="n">
        <v>543169.52447685</v>
      </c>
      <c r="G524" s="75" t="n">
        <v>852357.036896631</v>
      </c>
      <c r="H524" s="76" t="n">
        <v>546892.884748123</v>
      </c>
      <c r="I524" s="77" t="str">
        <f>H524-F524</f>
      </c>
      <c r="J524" s="78" t="str">
        <f>G524-E524</f>
      </c>
    </row>
    <row r="525">
      <c r="A525" t="s">
        <v>202</v>
      </c>
      <c r="B525" t="s">
        <v>204</v>
      </c>
      <c r="C525" s="72" t="n">
        <v>2047</v>
      </c>
      <c r="D525" t="s">
        <v>193</v>
      </c>
      <c r="E525" s="73" t="n">
        <v>661512.190608297</v>
      </c>
      <c r="F525" s="74" t="n">
        <v>404403.651198923</v>
      </c>
      <c r="G525" s="75" t="n">
        <v>665960.530537607</v>
      </c>
      <c r="H525" s="76" t="n">
        <v>406938.309858621</v>
      </c>
      <c r="I525" s="77" t="str">
        <f>H525-F525</f>
      </c>
      <c r="J525" s="78" t="str">
        <f>G525-E525</f>
      </c>
    </row>
    <row r="526">
      <c r="A526" t="s">
        <v>202</v>
      </c>
      <c r="B526" t="s">
        <v>204</v>
      </c>
      <c r="C526" s="72" t="n">
        <v>2047</v>
      </c>
      <c r="D526" t="s">
        <v>424</v>
      </c>
      <c r="E526" s="73" t="n">
        <v>43222.7803205307</v>
      </c>
      <c r="F526" s="74" t="n">
        <v>7716.54230950604</v>
      </c>
      <c r="G526" s="75" t="n">
        <v>43217.6341923504</v>
      </c>
      <c r="H526" s="76" t="n">
        <v>7716.26452507886</v>
      </c>
      <c r="I526" s="77" t="str">
        <f>H526-F526</f>
      </c>
      <c r="J526" s="78" t="str">
        <f>G526-E526</f>
      </c>
    </row>
    <row r="527">
      <c r="A527" t="s">
        <v>202</v>
      </c>
      <c r="B527" t="s">
        <v>204</v>
      </c>
      <c r="C527" s="72" t="n">
        <v>2048</v>
      </c>
      <c r="D527" t="s">
        <v>176</v>
      </c>
      <c r="E527" s="73" t="n">
        <v>23233.5350168592</v>
      </c>
      <c r="F527" s="74" t="n">
        <v>16050.1896465235</v>
      </c>
      <c r="G527" s="75" t="n">
        <v>23179.7775298232</v>
      </c>
      <c r="H527" s="76" t="n">
        <v>16025.2187605858</v>
      </c>
      <c r="I527" s="77" t="str">
        <f>H527-F527</f>
      </c>
      <c r="J527" s="78" t="str">
        <f>G527-E527</f>
      </c>
    </row>
    <row r="528">
      <c r="A528" t="s">
        <v>202</v>
      </c>
      <c r="B528" t="s">
        <v>204</v>
      </c>
      <c r="C528" s="72" t="n">
        <v>2048</v>
      </c>
      <c r="D528" t="s">
        <v>238</v>
      </c>
      <c r="E528" s="73" t="n">
        <v>1241108.68880957</v>
      </c>
      <c r="F528" s="74" t="n">
        <v>309078.045293103</v>
      </c>
      <c r="G528" s="75" t="n">
        <v>1240209.10376068</v>
      </c>
      <c r="H528" s="76" t="n">
        <v>308964.310377282</v>
      </c>
      <c r="I528" s="77" t="str">
        <f>H528-F528</f>
      </c>
      <c r="J528" s="78" t="str">
        <f>G528-E528</f>
      </c>
    </row>
    <row r="529">
      <c r="A529" t="s">
        <v>202</v>
      </c>
      <c r="B529" t="s">
        <v>204</v>
      </c>
      <c r="C529" s="72" t="n">
        <v>2048</v>
      </c>
      <c r="D529" t="s">
        <v>184</v>
      </c>
      <c r="E529" s="73" t="n">
        <v>158753.940513667</v>
      </c>
      <c r="F529" s="74" t="n">
        <v>107379.170942918</v>
      </c>
      <c r="G529" s="75" t="n">
        <v>159877.069557409</v>
      </c>
      <c r="H529" s="76" t="n">
        <v>108205.309376064</v>
      </c>
      <c r="I529" s="77" t="str">
        <f>H529-F529</f>
      </c>
      <c r="J529" s="78" t="str">
        <f>G529-E529</f>
      </c>
    </row>
    <row r="530">
      <c r="A530" t="s">
        <v>202</v>
      </c>
      <c r="B530" t="s">
        <v>204</v>
      </c>
      <c r="C530" s="72" t="n">
        <v>2048</v>
      </c>
      <c r="D530" t="s">
        <v>187</v>
      </c>
      <c r="E530" s="73" t="n">
        <v>496470.561484791</v>
      </c>
      <c r="F530" s="74" t="n">
        <v>462008.702622872</v>
      </c>
      <c r="G530" s="75" t="n">
        <v>500251.963676638</v>
      </c>
      <c r="H530" s="76" t="n">
        <v>465558.478994868</v>
      </c>
      <c r="I530" s="77" t="str">
        <f>H530-F530</f>
      </c>
      <c r="J530" s="78" t="str">
        <f>G530-E530</f>
      </c>
    </row>
    <row r="531">
      <c r="A531" t="s">
        <v>202</v>
      </c>
      <c r="B531" t="s">
        <v>204</v>
      </c>
      <c r="C531" s="72" t="n">
        <v>2048</v>
      </c>
      <c r="D531" t="s">
        <v>190</v>
      </c>
      <c r="E531" s="73" t="n">
        <v>856421.331341845</v>
      </c>
      <c r="F531" s="74" t="n">
        <v>551421.842419979</v>
      </c>
      <c r="G531" s="75" t="n">
        <v>862421.197666068</v>
      </c>
      <c r="H531" s="76" t="n">
        <v>555219.254274076</v>
      </c>
      <c r="I531" s="77" t="str">
        <f>H531-F531</f>
      </c>
      <c r="J531" s="78" t="str">
        <f>G531-E531</f>
      </c>
    </row>
    <row r="532">
      <c r="A532" t="s">
        <v>202</v>
      </c>
      <c r="B532" t="s">
        <v>204</v>
      </c>
      <c r="C532" s="72" t="n">
        <v>2048</v>
      </c>
      <c r="D532" t="s">
        <v>193</v>
      </c>
      <c r="E532" s="73" t="n">
        <v>671101.900215937</v>
      </c>
      <c r="F532" s="74" t="n">
        <v>413637.6493367</v>
      </c>
      <c r="G532" s="75" t="n">
        <v>675538.067131439</v>
      </c>
      <c r="H532" s="76" t="n">
        <v>416221.145643516</v>
      </c>
      <c r="I532" s="77" t="str">
        <f>H532-F532</f>
      </c>
      <c r="J532" s="78" t="str">
        <f>G532-E532</f>
      </c>
    </row>
    <row r="533">
      <c r="A533" t="s">
        <v>202</v>
      </c>
      <c r="B533" t="s">
        <v>204</v>
      </c>
      <c r="C533" s="72" t="n">
        <v>2048</v>
      </c>
      <c r="D533" t="s">
        <v>424</v>
      </c>
      <c r="E533" s="73" t="n">
        <v>43252.6234034836</v>
      </c>
      <c r="F533" s="74" t="n">
        <v>7741.27600052417</v>
      </c>
      <c r="G533" s="75" t="n">
        <v>43247.1165682685</v>
      </c>
      <c r="H533" s="76" t="n">
        <v>7740.96823230914</v>
      </c>
      <c r="I533" s="77" t="str">
        <f>H533-F533</f>
      </c>
      <c r="J533" s="78" t="str">
        <f>G533-E533</f>
      </c>
    </row>
    <row r="534">
      <c r="A534" t="s">
        <v>202</v>
      </c>
      <c r="B534" t="s">
        <v>204</v>
      </c>
      <c r="C534" s="72" t="n">
        <v>2049</v>
      </c>
      <c r="D534" t="s">
        <v>176</v>
      </c>
      <c r="E534" s="73" t="n">
        <v>23708.4988049462</v>
      </c>
      <c r="F534" s="74" t="n">
        <v>16350.0090429257</v>
      </c>
      <c r="G534" s="75" t="n">
        <v>23650.3614840449</v>
      </c>
      <c r="H534" s="76" t="n">
        <v>16322.61151708</v>
      </c>
      <c r="I534" s="77" t="str">
        <f>H534-F534</f>
      </c>
      <c r="J534" s="78" t="str">
        <f>G534-E534</f>
      </c>
    </row>
    <row r="535">
      <c r="A535" t="s">
        <v>202</v>
      </c>
      <c r="B535" t="s">
        <v>204</v>
      </c>
      <c r="C535" s="72" t="n">
        <v>2049</v>
      </c>
      <c r="D535" t="s">
        <v>238</v>
      </c>
      <c r="E535" s="73" t="n">
        <v>1245908.34308755</v>
      </c>
      <c r="F535" s="74" t="n">
        <v>315654.850626126</v>
      </c>
      <c r="G535" s="75" t="n">
        <v>1244958.37630862</v>
      </c>
      <c r="H535" s="76" t="n">
        <v>315528.654574656</v>
      </c>
      <c r="I535" s="77" t="str">
        <f>H535-F535</f>
      </c>
      <c r="J535" s="78" t="str">
        <f>G535-E535</f>
      </c>
    </row>
    <row r="536">
      <c r="A536" t="s">
        <v>202</v>
      </c>
      <c r="B536" t="s">
        <v>204</v>
      </c>
      <c r="C536" s="72" t="n">
        <v>2049</v>
      </c>
      <c r="D536" t="s">
        <v>184</v>
      </c>
      <c r="E536" s="73" t="n">
        <v>161115.345384217</v>
      </c>
      <c r="F536" s="74" t="n">
        <v>109050.916008586</v>
      </c>
      <c r="G536" s="75" t="n">
        <v>162238.134685625</v>
      </c>
      <c r="H536" s="76" t="n">
        <v>109882.371148655</v>
      </c>
      <c r="I536" s="77" t="str">
        <f>H536-F536</f>
      </c>
      <c r="J536" s="78" t="str">
        <f>G536-E536</f>
      </c>
    </row>
    <row r="537">
      <c r="A537" t="s">
        <v>202</v>
      </c>
      <c r="B537" t="s">
        <v>204</v>
      </c>
      <c r="C537" s="72" t="n">
        <v>2049</v>
      </c>
      <c r="D537" t="s">
        <v>187</v>
      </c>
      <c r="E537" s="73" t="n">
        <v>501434.014248191</v>
      </c>
      <c r="F537" s="74" t="n">
        <v>466823.573990618</v>
      </c>
      <c r="G537" s="75" t="n">
        <v>505215.900508139</v>
      </c>
      <c r="H537" s="76" t="n">
        <v>470383.880162835</v>
      </c>
      <c r="I537" s="77" t="str">
        <f>H537-F537</f>
      </c>
      <c r="J537" s="78" t="str">
        <f>G537-E537</f>
      </c>
    </row>
    <row r="538">
      <c r="A538" t="s">
        <v>202</v>
      </c>
      <c r="B538" t="s">
        <v>204</v>
      </c>
      <c r="C538" s="72" t="n">
        <v>2049</v>
      </c>
      <c r="D538" t="s">
        <v>190</v>
      </c>
      <c r="E538" s="73" t="n">
        <v>866052.276393498</v>
      </c>
      <c r="F538" s="74" t="n">
        <v>559474.572326241</v>
      </c>
      <c r="G538" s="75" t="n">
        <v>872039.412561908</v>
      </c>
      <c r="H538" s="76" t="n">
        <v>563337.765593671</v>
      </c>
      <c r="I538" s="77" t="str">
        <f>H538-F538</f>
      </c>
      <c r="J538" s="78" t="str">
        <f>G538-E538</f>
      </c>
    </row>
    <row r="539">
      <c r="A539" t="s">
        <v>202</v>
      </c>
      <c r="B539" t="s">
        <v>204</v>
      </c>
      <c r="C539" s="72" t="n">
        <v>2049</v>
      </c>
      <c r="D539" t="s">
        <v>193</v>
      </c>
      <c r="E539" s="73" t="n">
        <v>680378.418018644</v>
      </c>
      <c r="F539" s="74" t="n">
        <v>422585.641439191</v>
      </c>
      <c r="G539" s="75" t="n">
        <v>684799.519243418</v>
      </c>
      <c r="H539" s="76" t="n">
        <v>425211.294806661</v>
      </c>
      <c r="I539" s="77" t="str">
        <f>H539-F539</f>
      </c>
      <c r="J539" s="78" t="str">
        <f>G539-E539</f>
      </c>
    </row>
    <row r="540">
      <c r="A540" t="s">
        <v>202</v>
      </c>
      <c r="B540" t="s">
        <v>204</v>
      </c>
      <c r="C540" s="72" t="n">
        <v>2049</v>
      </c>
      <c r="D540" t="s">
        <v>424</v>
      </c>
      <c r="E540" s="73" t="n">
        <v>43293.5630186718</v>
      </c>
      <c r="F540" s="74" t="n">
        <v>7764.76412212673</v>
      </c>
      <c r="G540" s="75" t="n">
        <v>43287.6941181752</v>
      </c>
      <c r="H540" s="76" t="n">
        <v>7764.42505773382</v>
      </c>
      <c r="I540" s="77" t="str">
        <f>H540-F540</f>
      </c>
      <c r="J540" s="78" t="str">
        <f>G540-E540</f>
      </c>
    </row>
    <row r="541">
      <c r="A541" t="s">
        <v>202</v>
      </c>
      <c r="B541" t="s">
        <v>204</v>
      </c>
      <c r="C541" s="72" t="n">
        <v>2050</v>
      </c>
      <c r="D541" t="s">
        <v>176</v>
      </c>
      <c r="E541" s="73" t="n">
        <v>24173.0311549876</v>
      </c>
      <c r="F541" s="74" t="n">
        <v>16648.8247082482</v>
      </c>
      <c r="G541" s="75" t="n">
        <v>24110.4306261692</v>
      </c>
      <c r="H541" s="76" t="n">
        <v>16618.9237091261</v>
      </c>
      <c r="I541" s="77" t="str">
        <f>H541-F541</f>
      </c>
      <c r="J541" s="78" t="str">
        <f>G541-E541</f>
      </c>
    </row>
    <row r="542">
      <c r="A542" t="s">
        <v>202</v>
      </c>
      <c r="B542" t="s">
        <v>204</v>
      </c>
      <c r="C542" s="72" t="n">
        <v>2050</v>
      </c>
      <c r="D542" t="s">
        <v>238</v>
      </c>
      <c r="E542" s="73" t="n">
        <v>1250574.41865804</v>
      </c>
      <c r="F542" s="74" t="n">
        <v>322005.28455884</v>
      </c>
      <c r="G542" s="75" t="n">
        <v>1249574.98129843</v>
      </c>
      <c r="H542" s="76" t="n">
        <v>321866.145423905</v>
      </c>
      <c r="I542" s="77" t="str">
        <f>H542-F542</f>
      </c>
      <c r="J542" s="78" t="str">
        <f>G542-E542</f>
      </c>
    </row>
    <row r="543">
      <c r="A543" t="s">
        <v>202</v>
      </c>
      <c r="B543" t="s">
        <v>204</v>
      </c>
      <c r="C543" s="72" t="n">
        <v>2050</v>
      </c>
      <c r="D543" t="s">
        <v>184</v>
      </c>
      <c r="E543" s="73" t="n">
        <v>163405.367429726</v>
      </c>
      <c r="F543" s="74" t="n">
        <v>110660.52597905</v>
      </c>
      <c r="G543" s="75" t="n">
        <v>164526.94959842</v>
      </c>
      <c r="H543" s="76" t="n">
        <v>111496.260054028</v>
      </c>
      <c r="I543" s="77" t="str">
        <f>H543-F543</f>
      </c>
      <c r="J543" s="78" t="str">
        <f>G543-E543</f>
      </c>
    </row>
    <row r="544">
      <c r="A544" t="s">
        <v>202</v>
      </c>
      <c r="B544" t="s">
        <v>204</v>
      </c>
      <c r="C544" s="72" t="n">
        <v>2050</v>
      </c>
      <c r="D544" t="s">
        <v>187</v>
      </c>
      <c r="E544" s="73" t="n">
        <v>506143.565626465</v>
      </c>
      <c r="F544" s="74" t="n">
        <v>471325.640578567</v>
      </c>
      <c r="G544" s="75" t="n">
        <v>509923.794653266</v>
      </c>
      <c r="H544" s="76" t="n">
        <v>474893.254554943</v>
      </c>
      <c r="I544" s="77" t="str">
        <f>H544-F544</f>
      </c>
      <c r="J544" s="78" t="str">
        <f>G544-E544</f>
      </c>
    </row>
    <row r="545">
      <c r="A545" t="s">
        <v>202</v>
      </c>
      <c r="B545" t="s">
        <v>204</v>
      </c>
      <c r="C545" s="72" t="n">
        <v>2050</v>
      </c>
      <c r="D545" t="s">
        <v>190</v>
      </c>
      <c r="E545" s="73" t="n">
        <v>875249.352552069</v>
      </c>
      <c r="F545" s="74" t="n">
        <v>567383.394687509</v>
      </c>
      <c r="G545" s="75" t="n">
        <v>881220.210178615</v>
      </c>
      <c r="H545" s="76" t="n">
        <v>571305.130665456</v>
      </c>
      <c r="I545" s="77" t="str">
        <f>H545-F545</f>
      </c>
      <c r="J545" s="78" t="str">
        <f>G545-E545</f>
      </c>
    </row>
    <row r="546">
      <c r="A546" t="s">
        <v>202</v>
      </c>
      <c r="B546" t="s">
        <v>204</v>
      </c>
      <c r="C546" s="72" t="n">
        <v>2050</v>
      </c>
      <c r="D546" t="s">
        <v>193</v>
      </c>
      <c r="E546" s="73" t="n">
        <v>689429.27792256</v>
      </c>
      <c r="F546" s="74" t="n">
        <v>431266.53770508</v>
      </c>
      <c r="G546" s="75" t="n">
        <v>693833.375810026</v>
      </c>
      <c r="H546" s="76" t="n">
        <v>433928.116842437</v>
      </c>
      <c r="I546" s="77" t="str">
        <f>H546-F546</f>
      </c>
      <c r="J546" s="78" t="str">
        <f>G546-E546</f>
      </c>
    </row>
    <row r="547">
      <c r="A547" t="s">
        <v>202</v>
      </c>
      <c r="B547" t="s">
        <v>204</v>
      </c>
      <c r="C547" s="72" t="n">
        <v>2050</v>
      </c>
      <c r="D547" t="s">
        <v>424</v>
      </c>
      <c r="E547" s="73" t="n">
        <v>43343.5650347297</v>
      </c>
      <c r="F547" s="74" t="n">
        <v>7785.96411950121</v>
      </c>
      <c r="G547" s="75" t="n">
        <v>43337.3340718481</v>
      </c>
      <c r="H547" s="76" t="n">
        <v>7785.59251624651</v>
      </c>
      <c r="I547" s="77" t="str">
        <f>H547-F547</f>
      </c>
      <c r="J547" s="78" t="str">
        <f>G547-E547</f>
      </c>
    </row>
    <row r="548">
      <c r="A548" t="s">
        <v>212</v>
      </c>
      <c r="B548" t="s">
        <v>214</v>
      </c>
      <c r="C548" s="72" t="n">
        <v>2025</v>
      </c>
      <c r="D548" t="s">
        <v>176</v>
      </c>
      <c r="E548" s="73" t="n">
        <v>12347.3896757033</v>
      </c>
      <c r="F548" s="74" t="n">
        <v>8975.30849722876</v>
      </c>
      <c r="G548" s="75" t="n">
        <v>12347.3896757033</v>
      </c>
      <c r="H548" s="76" t="n">
        <v>8975.30849722876</v>
      </c>
      <c r="I548" s="77" t="str">
        <f>H548-F548</f>
      </c>
      <c r="J548" s="78" t="str">
        <f>G548-E548</f>
      </c>
    </row>
    <row r="549">
      <c r="A549" t="s">
        <v>212</v>
      </c>
      <c r="B549" t="s">
        <v>214</v>
      </c>
      <c r="C549" s="72" t="n">
        <v>2025</v>
      </c>
      <c r="D549" t="s">
        <v>238</v>
      </c>
      <c r="E549" s="73" t="n">
        <v>1026043.97207164</v>
      </c>
      <c r="F549" s="74" t="n">
        <v>129403.022830672</v>
      </c>
      <c r="G549" s="75" t="n">
        <v>1026043.97207164</v>
      </c>
      <c r="H549" s="76" t="n">
        <v>129403.022830672</v>
      </c>
      <c r="I549" s="77" t="str">
        <f>H549-F549</f>
      </c>
      <c r="J549" s="78" t="str">
        <f>G549-E549</f>
      </c>
    </row>
    <row r="550">
      <c r="A550" t="s">
        <v>212</v>
      </c>
      <c r="B550" t="s">
        <v>214</v>
      </c>
      <c r="C550" s="72" t="n">
        <v>2025</v>
      </c>
      <c r="D550" t="s">
        <v>184</v>
      </c>
      <c r="E550" s="73" t="n">
        <v>91684.5090142746</v>
      </c>
      <c r="F550" s="74" t="n">
        <v>63318.7518252021</v>
      </c>
      <c r="G550" s="75" t="n">
        <v>91684.5090142746</v>
      </c>
      <c r="H550" s="76" t="n">
        <v>63318.7518252021</v>
      </c>
      <c r="I550" s="77" t="str">
        <f>H550-F550</f>
      </c>
      <c r="J550" s="78" t="str">
        <f>G550-E550</f>
      </c>
    </row>
    <row r="551">
      <c r="A551" t="s">
        <v>212</v>
      </c>
      <c r="B551" t="s">
        <v>214</v>
      </c>
      <c r="C551" s="72" t="n">
        <v>2025</v>
      </c>
      <c r="D551" t="s">
        <v>187</v>
      </c>
      <c r="E551" s="73" t="n">
        <v>327817.992111529</v>
      </c>
      <c r="F551" s="74" t="n">
        <v>300216.82861998</v>
      </c>
      <c r="G551" s="75" t="n">
        <v>327817.992111529</v>
      </c>
      <c r="H551" s="76" t="n">
        <v>300216.82861998</v>
      </c>
      <c r="I551" s="77" t="str">
        <f>H551-F551</f>
      </c>
      <c r="J551" s="78" t="str">
        <f>G551-E551</f>
      </c>
    </row>
    <row r="552">
      <c r="A552" t="s">
        <v>212</v>
      </c>
      <c r="B552" t="s">
        <v>214</v>
      </c>
      <c r="C552" s="72" t="n">
        <v>2025</v>
      </c>
      <c r="D552" t="s">
        <v>190</v>
      </c>
      <c r="E552" s="73" t="n">
        <v>563964.128928848</v>
      </c>
      <c r="F552" s="74" t="n">
        <v>321188.162987932</v>
      </c>
      <c r="G552" s="75" t="n">
        <v>563964.128928848</v>
      </c>
      <c r="H552" s="76" t="n">
        <v>321188.162987932</v>
      </c>
      <c r="I552" s="77" t="str">
        <f>H552-F552</f>
      </c>
      <c r="J552" s="78" t="str">
        <f>G552-E552</f>
      </c>
    </row>
    <row r="553">
      <c r="A553" t="s">
        <v>212</v>
      </c>
      <c r="B553" t="s">
        <v>214</v>
      </c>
      <c r="C553" s="72" t="n">
        <v>2025</v>
      </c>
      <c r="D553" t="s">
        <v>193</v>
      </c>
      <c r="E553" s="73" t="n">
        <v>396205.912797568</v>
      </c>
      <c r="F553" s="74" t="n">
        <v>191954.713579597</v>
      </c>
      <c r="G553" s="75" t="n">
        <v>396205.912797568</v>
      </c>
      <c r="H553" s="76" t="n">
        <v>191954.713579597</v>
      </c>
      <c r="I553" s="77" t="str">
        <f>H553-F553</f>
      </c>
      <c r="J553" s="78" t="str">
        <f>G553-E553</f>
      </c>
    </row>
    <row r="554">
      <c r="A554" t="s">
        <v>212</v>
      </c>
      <c r="B554" t="s">
        <v>214</v>
      </c>
      <c r="C554" s="72" t="n">
        <v>2025</v>
      </c>
      <c r="D554" t="s">
        <v>424</v>
      </c>
      <c r="E554" s="73" t="n">
        <v>44024.8557845561</v>
      </c>
      <c r="F554" s="74" t="n">
        <v>6961.02866951274</v>
      </c>
      <c r="G554" s="75" t="n">
        <v>44024.8557845561</v>
      </c>
      <c r="H554" s="76" t="n">
        <v>6961.02866951274</v>
      </c>
      <c r="I554" s="77" t="str">
        <f>H554-F554</f>
      </c>
      <c r="J554" s="78" t="str">
        <f>G554-E554</f>
      </c>
    </row>
    <row r="555">
      <c r="A555" t="s">
        <v>212</v>
      </c>
      <c r="B555" t="s">
        <v>214</v>
      </c>
      <c r="C555" s="72" t="n">
        <v>2026</v>
      </c>
      <c r="D555" t="s">
        <v>176</v>
      </c>
      <c r="E555" s="73" t="n">
        <v>12812.507871628</v>
      </c>
      <c r="F555" s="74" t="n">
        <v>9308.26420910955</v>
      </c>
      <c r="G555" s="75" t="n">
        <v>12812.507871628</v>
      </c>
      <c r="H555" s="76" t="n">
        <v>9308.26420910955</v>
      </c>
      <c r="I555" s="77" t="str">
        <f>H555-F555</f>
      </c>
      <c r="J555" s="78" t="str">
        <f>G555-E555</f>
      </c>
    </row>
    <row r="556">
      <c r="A556" t="s">
        <v>212</v>
      </c>
      <c r="B556" t="s">
        <v>214</v>
      </c>
      <c r="C556" s="72" t="n">
        <v>2026</v>
      </c>
      <c r="D556" t="s">
        <v>238</v>
      </c>
      <c r="E556" s="73" t="n">
        <v>1040956.74283153</v>
      </c>
      <c r="F556" s="74" t="n">
        <v>137191.896136923</v>
      </c>
      <c r="G556" s="75" t="n">
        <v>1040956.74283153</v>
      </c>
      <c r="H556" s="76" t="n">
        <v>137191.896136923</v>
      </c>
      <c r="I556" s="77" t="str">
        <f>H556-F556</f>
      </c>
      <c r="J556" s="78" t="str">
        <f>G556-E556</f>
      </c>
    </row>
    <row r="557">
      <c r="A557" t="s">
        <v>212</v>
      </c>
      <c r="B557" t="s">
        <v>214</v>
      </c>
      <c r="C557" s="72" t="n">
        <v>2026</v>
      </c>
      <c r="D557" t="s">
        <v>184</v>
      </c>
      <c r="E557" s="73" t="n">
        <v>94833.7335979701</v>
      </c>
      <c r="F557" s="74" t="n">
        <v>65164.4704134017</v>
      </c>
      <c r="G557" s="75" t="n">
        <v>95077.1833035265</v>
      </c>
      <c r="H557" s="76" t="n">
        <v>65164.4704134017</v>
      </c>
      <c r="I557" s="77" t="str">
        <f>H557-F557</f>
      </c>
      <c r="J557" s="78" t="str">
        <f>G557-E557</f>
      </c>
    </row>
    <row r="558">
      <c r="A558" t="s">
        <v>212</v>
      </c>
      <c r="B558" t="s">
        <v>214</v>
      </c>
      <c r="C558" s="72" t="n">
        <v>2026</v>
      </c>
      <c r="D558" t="s">
        <v>187</v>
      </c>
      <c r="E558" s="73" t="n">
        <v>336012.837754109</v>
      </c>
      <c r="F558" s="74" t="n">
        <v>308606.943045308</v>
      </c>
      <c r="G558" s="75" t="n">
        <v>336875.423495605</v>
      </c>
      <c r="H558" s="76" t="n">
        <v>308606.943045308</v>
      </c>
      <c r="I558" s="77" t="str">
        <f>H558-F558</f>
      </c>
      <c r="J558" s="78" t="str">
        <f>G558-E558</f>
      </c>
    </row>
    <row r="559">
      <c r="A559" t="s">
        <v>212</v>
      </c>
      <c r="B559" t="s">
        <v>214</v>
      </c>
      <c r="C559" s="72" t="n">
        <v>2026</v>
      </c>
      <c r="D559" t="s">
        <v>190</v>
      </c>
      <c r="E559" s="73" t="n">
        <v>578626.138423673</v>
      </c>
      <c r="F559" s="74" t="n">
        <v>332896.185768311</v>
      </c>
      <c r="G559" s="75" t="n">
        <v>580111.541957649</v>
      </c>
      <c r="H559" s="76" t="n">
        <v>332896.185768311</v>
      </c>
      <c r="I559" s="77" t="str">
        <f>H559-F559</f>
      </c>
      <c r="J559" s="78" t="str">
        <f>G559-E559</f>
      </c>
    </row>
    <row r="560">
      <c r="A560" t="s">
        <v>212</v>
      </c>
      <c r="B560" t="s">
        <v>214</v>
      </c>
      <c r="C560" s="72" t="n">
        <v>2026</v>
      </c>
      <c r="D560" t="s">
        <v>193</v>
      </c>
      <c r="E560" s="73" t="n">
        <v>408780.483695449</v>
      </c>
      <c r="F560" s="74" t="n">
        <v>202008.199783237</v>
      </c>
      <c r="G560" s="75" t="n">
        <v>409829.87281699</v>
      </c>
      <c r="H560" s="76" t="n">
        <v>202008.199783237</v>
      </c>
      <c r="I560" s="77" t="str">
        <f>H560-F560</f>
      </c>
      <c r="J560" s="78" t="str">
        <f>G560-E560</f>
      </c>
    </row>
    <row r="561">
      <c r="A561" t="s">
        <v>212</v>
      </c>
      <c r="B561" t="s">
        <v>214</v>
      </c>
      <c r="C561" s="72" t="n">
        <v>2026</v>
      </c>
      <c r="D561" t="s">
        <v>424</v>
      </c>
      <c r="E561" s="73" t="n">
        <v>44219.1707517653</v>
      </c>
      <c r="F561" s="74" t="n">
        <v>7023.77126872287</v>
      </c>
      <c r="G561" s="75" t="n">
        <v>44219.1707517653</v>
      </c>
      <c r="H561" s="76" t="n">
        <v>7023.77126872287</v>
      </c>
      <c r="I561" s="77" t="str">
        <f>H561-F561</f>
      </c>
      <c r="J561" s="78" t="str">
        <f>G561-E561</f>
      </c>
    </row>
    <row r="562">
      <c r="A562" t="s">
        <v>212</v>
      </c>
      <c r="B562" t="s">
        <v>214</v>
      </c>
      <c r="C562" s="72" t="n">
        <v>2027</v>
      </c>
      <c r="D562" t="s">
        <v>176</v>
      </c>
      <c r="E562" s="73" t="n">
        <v>13273.481772584</v>
      </c>
      <c r="F562" s="74" t="n">
        <v>9640.71530777017</v>
      </c>
      <c r="G562" s="75" t="n">
        <v>13273.481772584</v>
      </c>
      <c r="H562" s="76" t="n">
        <v>9640.71530777017</v>
      </c>
      <c r="I562" s="77" t="str">
        <f>H562-F562</f>
      </c>
      <c r="J562" s="78" t="str">
        <f>G562-E562</f>
      </c>
    </row>
    <row r="563">
      <c r="A563" t="s">
        <v>212</v>
      </c>
      <c r="B563" t="s">
        <v>214</v>
      </c>
      <c r="C563" s="72" t="n">
        <v>2027</v>
      </c>
      <c r="D563" t="s">
        <v>238</v>
      </c>
      <c r="E563" s="73" t="n">
        <v>1055255.40879996</v>
      </c>
      <c r="F563" s="74" t="n">
        <v>145087.130776418</v>
      </c>
      <c r="G563" s="75" t="n">
        <v>1055255.40879996</v>
      </c>
      <c r="H563" s="76" t="n">
        <v>145087.130776418</v>
      </c>
      <c r="I563" s="77" t="str">
        <f>H563-F563</f>
      </c>
      <c r="J563" s="78" t="str">
        <f>G563-E563</f>
      </c>
    </row>
    <row r="564">
      <c r="A564" t="s">
        <v>212</v>
      </c>
      <c r="B564" t="s">
        <v>214</v>
      </c>
      <c r="C564" s="72" t="n">
        <v>2027</v>
      </c>
      <c r="D564" t="s">
        <v>184</v>
      </c>
      <c r="E564" s="73" t="n">
        <v>97945.7493898254</v>
      </c>
      <c r="F564" s="74" t="n">
        <v>67026.7832116025</v>
      </c>
      <c r="G564" s="75" t="n">
        <v>98448.8278839669</v>
      </c>
      <c r="H564" s="76" t="n">
        <v>67068.0169086102</v>
      </c>
      <c r="I564" s="77" t="str">
        <f>H564-F564</f>
      </c>
      <c r="J564" s="78" t="str">
        <f>G564-E564</f>
      </c>
    </row>
    <row r="565">
      <c r="A565" t="s">
        <v>212</v>
      </c>
      <c r="B565" t="s">
        <v>214</v>
      </c>
      <c r="C565" s="72" t="n">
        <v>2027</v>
      </c>
      <c r="D565" t="s">
        <v>187</v>
      </c>
      <c r="E565" s="73" t="n">
        <v>344170.700977523</v>
      </c>
      <c r="F565" s="74" t="n">
        <v>316745.811288208</v>
      </c>
      <c r="G565" s="75" t="n">
        <v>345936.706716403</v>
      </c>
      <c r="H565" s="76" t="n">
        <v>317119.553552555</v>
      </c>
      <c r="I565" s="77" t="str">
        <f>H565-F565</f>
      </c>
      <c r="J565" s="78" t="str">
        <f>G565-E565</f>
      </c>
    </row>
    <row r="566">
      <c r="A566" t="s">
        <v>212</v>
      </c>
      <c r="B566" t="s">
        <v>214</v>
      </c>
      <c r="C566" s="72" t="n">
        <v>2027</v>
      </c>
      <c r="D566" t="s">
        <v>190</v>
      </c>
      <c r="E566" s="73" t="n">
        <v>593110.5784589</v>
      </c>
      <c r="F566" s="74" t="n">
        <v>344421.455407459</v>
      </c>
      <c r="G566" s="75" t="n">
        <v>596148.832334676</v>
      </c>
      <c r="H566" s="76" t="n">
        <v>344517.274659827</v>
      </c>
      <c r="I566" s="77" t="str">
        <f>H566-F566</f>
      </c>
      <c r="J566" s="78" t="str">
        <f>G566-E566</f>
      </c>
    </row>
    <row r="567">
      <c r="A567" t="s">
        <v>212</v>
      </c>
      <c r="B567" t="s">
        <v>214</v>
      </c>
      <c r="C567" s="72" t="n">
        <v>2027</v>
      </c>
      <c r="D567" t="s">
        <v>193</v>
      </c>
      <c r="E567" s="73" t="n">
        <v>421327.547289244</v>
      </c>
      <c r="F567" s="74" t="n">
        <v>211915.906658748</v>
      </c>
      <c r="G567" s="75" t="n">
        <v>423485.101321999</v>
      </c>
      <c r="H567" s="76" t="n">
        <v>211995.488024171</v>
      </c>
      <c r="I567" s="77" t="str">
        <f>H567-F567</f>
      </c>
      <c r="J567" s="78" t="str">
        <f>G567-E567</f>
      </c>
    </row>
    <row r="568">
      <c r="A568" t="s">
        <v>212</v>
      </c>
      <c r="B568" t="s">
        <v>214</v>
      </c>
      <c r="C568" s="72" t="n">
        <v>2027</v>
      </c>
      <c r="D568" t="s">
        <v>424</v>
      </c>
      <c r="E568" s="73" t="n">
        <v>44384.2018393689</v>
      </c>
      <c r="F568" s="74" t="n">
        <v>7080.05700568168</v>
      </c>
      <c r="G568" s="75" t="n">
        <v>44384.2018393689</v>
      </c>
      <c r="H568" s="76" t="n">
        <v>7080.05700568168</v>
      </c>
      <c r="I568" s="77" t="str">
        <f>H568-F568</f>
      </c>
      <c r="J568" s="78" t="str">
        <f>G568-E568</f>
      </c>
    </row>
    <row r="569">
      <c r="A569" t="s">
        <v>212</v>
      </c>
      <c r="B569" t="s">
        <v>214</v>
      </c>
      <c r="C569" s="72" t="n">
        <v>2028</v>
      </c>
      <c r="D569" t="s">
        <v>176</v>
      </c>
      <c r="E569" s="73" t="n">
        <v>13729.7002699623</v>
      </c>
      <c r="F569" s="74" t="n">
        <v>9971.45472163389</v>
      </c>
      <c r="G569" s="75" t="n">
        <v>13729.5005000864</v>
      </c>
      <c r="H569" s="76" t="n">
        <v>9971.45472163389</v>
      </c>
      <c r="I569" s="77" t="str">
        <f>H569-F569</f>
      </c>
      <c r="J569" s="78" t="str">
        <f>G569-E569</f>
      </c>
    </row>
    <row r="570">
      <c r="A570" t="s">
        <v>212</v>
      </c>
      <c r="B570" t="s">
        <v>214</v>
      </c>
      <c r="C570" s="72" t="n">
        <v>2028</v>
      </c>
      <c r="D570" t="s">
        <v>238</v>
      </c>
      <c r="E570" s="73" t="n">
        <v>1069009.90391142</v>
      </c>
      <c r="F570" s="74" t="n">
        <v>153077.867387244</v>
      </c>
      <c r="G570" s="75" t="n">
        <v>1069005.07088018</v>
      </c>
      <c r="H570" s="76" t="n">
        <v>153077.867387244</v>
      </c>
      <c r="I570" s="77" t="str">
        <f>H570-F570</f>
      </c>
      <c r="J570" s="78" t="str">
        <f>G570-E570</f>
      </c>
    </row>
    <row r="571">
      <c r="A571" t="s">
        <v>212</v>
      </c>
      <c r="B571" t="s">
        <v>214</v>
      </c>
      <c r="C571" s="72" t="n">
        <v>2028</v>
      </c>
      <c r="D571" t="s">
        <v>184</v>
      </c>
      <c r="E571" s="73" t="n">
        <v>101020.479235742</v>
      </c>
      <c r="F571" s="74" t="n">
        <v>68903.8298368578</v>
      </c>
      <c r="G571" s="75" t="n">
        <v>101797.96761407</v>
      </c>
      <c r="H571" s="76" t="n">
        <v>69019.933123165</v>
      </c>
      <c r="I571" s="77" t="str">
        <f>H571-F571</f>
      </c>
      <c r="J571" s="78" t="str">
        <f>G571-E571</f>
      </c>
    </row>
    <row r="572">
      <c r="A572" t="s">
        <v>212</v>
      </c>
      <c r="B572" t="s">
        <v>214</v>
      </c>
      <c r="C572" s="72" t="n">
        <v>2028</v>
      </c>
      <c r="D572" t="s">
        <v>187</v>
      </c>
      <c r="E572" s="73" t="n">
        <v>352256.99762978</v>
      </c>
      <c r="F572" s="74" t="n">
        <v>324767.499611198</v>
      </c>
      <c r="G572" s="75" t="n">
        <v>354965.535819133</v>
      </c>
      <c r="H572" s="76" t="n">
        <v>325690.683016893</v>
      </c>
      <c r="I572" s="77" t="str">
        <f>H572-F572</f>
      </c>
      <c r="J572" s="78" t="str">
        <f>G572-E572</f>
      </c>
    </row>
    <row r="573">
      <c r="A573" t="s">
        <v>212</v>
      </c>
      <c r="B573" t="s">
        <v>214</v>
      </c>
      <c r="C573" s="72" t="n">
        <v>2028</v>
      </c>
      <c r="D573" t="s">
        <v>190</v>
      </c>
      <c r="E573" s="73" t="n">
        <v>607379.999471891</v>
      </c>
      <c r="F573" s="74" t="n">
        <v>355788.467789099</v>
      </c>
      <c r="G573" s="75" t="n">
        <v>612031.659444751</v>
      </c>
      <c r="H573" s="76" t="n">
        <v>356073.571438059</v>
      </c>
      <c r="I573" s="77" t="str">
        <f>H573-F573</f>
      </c>
      <c r="J573" s="78" t="str">
        <f>G573-E573</f>
      </c>
    </row>
    <row r="574">
      <c r="A574" t="s">
        <v>212</v>
      </c>
      <c r="B574" t="s">
        <v>214</v>
      </c>
      <c r="C574" s="72" t="n">
        <v>2028</v>
      </c>
      <c r="D574" t="s">
        <v>193</v>
      </c>
      <c r="E574" s="73" t="n">
        <v>433840.07179389</v>
      </c>
      <c r="F574" s="74" t="n">
        <v>221679.083379799</v>
      </c>
      <c r="G574" s="75" t="n">
        <v>437159.755191958</v>
      </c>
      <c r="H574" s="76" t="n">
        <v>221908.958563303</v>
      </c>
      <c r="I574" s="77" t="str">
        <f>H574-F574</f>
      </c>
      <c r="J574" s="78" t="str">
        <f>G574-E574</f>
      </c>
    </row>
    <row r="575">
      <c r="A575" t="s">
        <v>212</v>
      </c>
      <c r="B575" t="s">
        <v>214</v>
      </c>
      <c r="C575" s="72" t="n">
        <v>2028</v>
      </c>
      <c r="D575" t="s">
        <v>424</v>
      </c>
      <c r="E575" s="73" t="n">
        <v>44510.0910525868</v>
      </c>
      <c r="F575" s="74" t="n">
        <v>7131.07016356498</v>
      </c>
      <c r="G575" s="75" t="n">
        <v>44510.0649629929</v>
      </c>
      <c r="H575" s="76" t="n">
        <v>7131.07016356498</v>
      </c>
      <c r="I575" s="77" t="str">
        <f>H575-F575</f>
      </c>
      <c r="J575" s="78" t="str">
        <f>G575-E575</f>
      </c>
    </row>
    <row r="576">
      <c r="A576" t="s">
        <v>212</v>
      </c>
      <c r="B576" t="s">
        <v>214</v>
      </c>
      <c r="C576" s="72" t="n">
        <v>2029</v>
      </c>
      <c r="D576" t="s">
        <v>176</v>
      </c>
      <c r="E576" s="73" t="n">
        <v>14182.1476920425</v>
      </c>
      <c r="F576" s="74" t="n">
        <v>10301.2674559304</v>
      </c>
      <c r="G576" s="75" t="n">
        <v>14181.4236375467</v>
      </c>
      <c r="H576" s="76" t="n">
        <v>10301.2295792609</v>
      </c>
      <c r="I576" s="77" t="str">
        <f>H576-F576</f>
      </c>
      <c r="J576" s="78" t="str">
        <f>G576-E576</f>
      </c>
    </row>
    <row r="577">
      <c r="A577" t="s">
        <v>212</v>
      </c>
      <c r="B577" t="s">
        <v>214</v>
      </c>
      <c r="C577" s="72" t="n">
        <v>2029</v>
      </c>
      <c r="D577" t="s">
        <v>238</v>
      </c>
      <c r="E577" s="73" t="n">
        <v>1082269.7806908</v>
      </c>
      <c r="F577" s="74" t="n">
        <v>161161.158643608</v>
      </c>
      <c r="G577" s="75" t="n">
        <v>1082252.39423074</v>
      </c>
      <c r="H577" s="76" t="n">
        <v>161161.062132093</v>
      </c>
      <c r="I577" s="77" t="str">
        <f>H577-F577</f>
      </c>
      <c r="J577" s="78" t="str">
        <f>G577-E577</f>
      </c>
    </row>
    <row r="578">
      <c r="A578" t="s">
        <v>212</v>
      </c>
      <c r="B578" t="s">
        <v>214</v>
      </c>
      <c r="C578" s="72" t="n">
        <v>2029</v>
      </c>
      <c r="D578" t="s">
        <v>184</v>
      </c>
      <c r="E578" s="73" t="n">
        <v>104049.084586799</v>
      </c>
      <c r="F578" s="74" t="n">
        <v>70823.033152409</v>
      </c>
      <c r="G578" s="75" t="n">
        <v>105114.693344183</v>
      </c>
      <c r="H578" s="76" t="n">
        <v>71042.0544294395</v>
      </c>
      <c r="I578" s="77" t="str">
        <f>H578-F578</f>
      </c>
      <c r="J578" s="78" t="str">
        <f>G578-E578</f>
      </c>
    </row>
    <row r="579">
      <c r="A579" t="s">
        <v>212</v>
      </c>
      <c r="B579" t="s">
        <v>214</v>
      </c>
      <c r="C579" s="72" t="n">
        <v>2029</v>
      </c>
      <c r="D579" t="s">
        <v>187</v>
      </c>
      <c r="E579" s="73" t="n">
        <v>360208.291877541</v>
      </c>
      <c r="F579" s="74" t="n">
        <v>332704.03315235</v>
      </c>
      <c r="G579" s="75" t="n">
        <v>363896.204247168</v>
      </c>
      <c r="H579" s="76" t="n">
        <v>334292.677138926</v>
      </c>
      <c r="I579" s="77" t="str">
        <f>H579-F579</f>
      </c>
      <c r="J579" s="78" t="str">
        <f>G579-E579</f>
      </c>
    </row>
    <row r="580">
      <c r="A580" t="s">
        <v>212</v>
      </c>
      <c r="B580" t="s">
        <v>214</v>
      </c>
      <c r="C580" s="72" t="n">
        <v>2029</v>
      </c>
      <c r="D580" t="s">
        <v>190</v>
      </c>
      <c r="E580" s="73" t="n">
        <v>621405.689712869</v>
      </c>
      <c r="F580" s="74" t="n">
        <v>367010.371435703</v>
      </c>
      <c r="G580" s="75" t="n">
        <v>627726.336898794</v>
      </c>
      <c r="H580" s="76" t="n">
        <v>367575.22274735</v>
      </c>
      <c r="I580" s="77" t="str">
        <f>H580-F580</f>
      </c>
      <c r="J580" s="78" t="str">
        <f>G580-E580</f>
      </c>
    </row>
    <row r="581">
      <c r="A581" t="s">
        <v>212</v>
      </c>
      <c r="B581" t="s">
        <v>214</v>
      </c>
      <c r="C581" s="72" t="n">
        <v>2029</v>
      </c>
      <c r="D581" t="s">
        <v>193</v>
      </c>
      <c r="E581" s="73" t="n">
        <v>446253.867797414</v>
      </c>
      <c r="F581" s="74" t="n">
        <v>231262.401794766</v>
      </c>
      <c r="G581" s="75" t="n">
        <v>450786.134013569</v>
      </c>
      <c r="H581" s="76" t="n">
        <v>231708.01887569</v>
      </c>
      <c r="I581" s="77" t="str">
        <f>H581-F581</f>
      </c>
      <c r="J581" s="78" t="str">
        <f>G581-E581</f>
      </c>
    </row>
    <row r="582">
      <c r="A582" t="s">
        <v>212</v>
      </c>
      <c r="B582" t="s">
        <v>214</v>
      </c>
      <c r="C582" s="72" t="n">
        <v>2029</v>
      </c>
      <c r="D582" t="s">
        <v>424</v>
      </c>
      <c r="E582" s="73" t="n">
        <v>44600.3560716441</v>
      </c>
      <c r="F582" s="74" t="n">
        <v>7178.21968255051</v>
      </c>
      <c r="G582" s="75" t="n">
        <v>44600.2614435955</v>
      </c>
      <c r="H582" s="76" t="n">
        <v>7178.21931597252</v>
      </c>
      <c r="I582" s="77" t="str">
        <f>H582-F582</f>
      </c>
      <c r="J582" s="78" t="str">
        <f>G582-E582</f>
      </c>
    </row>
    <row r="583">
      <c r="A583" t="s">
        <v>212</v>
      </c>
      <c r="B583" t="s">
        <v>214</v>
      </c>
      <c r="C583" s="72" t="n">
        <v>2030</v>
      </c>
      <c r="D583" t="s">
        <v>176</v>
      </c>
      <c r="E583" s="73" t="n">
        <v>14632.6062409568</v>
      </c>
      <c r="F583" s="74" t="n">
        <v>10630.4345909431</v>
      </c>
      <c r="G583" s="75" t="n">
        <v>14630.9263575645</v>
      </c>
      <c r="H583" s="76" t="n">
        <v>10630.2702680602</v>
      </c>
      <c r="I583" s="77" t="str">
        <f>H583-F583</f>
      </c>
      <c r="J583" s="78" t="str">
        <f>G583-E583</f>
      </c>
    </row>
    <row r="584">
      <c r="A584" t="s">
        <v>212</v>
      </c>
      <c r="B584" t="s">
        <v>214</v>
      </c>
      <c r="C584" s="72" t="n">
        <v>2030</v>
      </c>
      <c r="D584" t="s">
        <v>238</v>
      </c>
      <c r="E584" s="73" t="n">
        <v>1094996.68458907</v>
      </c>
      <c r="F584" s="74" t="n">
        <v>169315.274005095</v>
      </c>
      <c r="G584" s="75" t="n">
        <v>1094956.84444967</v>
      </c>
      <c r="H584" s="76" t="n">
        <v>169314.834038038</v>
      </c>
      <c r="I584" s="77" t="str">
        <f>H584-F584</f>
      </c>
      <c r="J584" s="78" t="str">
        <f>G584-E584</f>
      </c>
    </row>
    <row r="585">
      <c r="A585" t="s">
        <v>212</v>
      </c>
      <c r="B585" t="s">
        <v>214</v>
      </c>
      <c r="C585" s="72" t="n">
        <v>2030</v>
      </c>
      <c r="D585" t="s">
        <v>184</v>
      </c>
      <c r="E585" s="73" t="n">
        <v>107027.316917505</v>
      </c>
      <c r="F585" s="74" t="n">
        <v>72775.0094379708</v>
      </c>
      <c r="G585" s="75" t="n">
        <v>108393.77376612</v>
      </c>
      <c r="H585" s="76" t="n">
        <v>73120.8011068864</v>
      </c>
      <c r="I585" s="77" t="str">
        <f>H585-F585</f>
      </c>
      <c r="J585" s="78" t="str">
        <f>G585-E585</f>
      </c>
    </row>
    <row r="586">
      <c r="A586" t="s">
        <v>212</v>
      </c>
      <c r="B586" t="s">
        <v>214</v>
      </c>
      <c r="C586" s="72" t="n">
        <v>2030</v>
      </c>
      <c r="D586" t="s">
        <v>187</v>
      </c>
      <c r="E586" s="73" t="n">
        <v>368039.505394096</v>
      </c>
      <c r="F586" s="74" t="n">
        <v>340549.530107061</v>
      </c>
      <c r="G586" s="75" t="n">
        <v>372741.795461264</v>
      </c>
      <c r="H586" s="76" t="n">
        <v>342889.635366394</v>
      </c>
      <c r="I586" s="77" t="str">
        <f>H586-F586</f>
      </c>
      <c r="J586" s="78" t="str">
        <f>G586-E586</f>
      </c>
    </row>
    <row r="587">
      <c r="A587" t="s">
        <v>212</v>
      </c>
      <c r="B587" t="s">
        <v>214</v>
      </c>
      <c r="C587" s="72" t="n">
        <v>2030</v>
      </c>
      <c r="D587" t="s">
        <v>190</v>
      </c>
      <c r="E587" s="73" t="n">
        <v>635114.119289155</v>
      </c>
      <c r="F587" s="74" t="n">
        <v>378008.651715294</v>
      </c>
      <c r="G587" s="75" t="n">
        <v>643154.211305628</v>
      </c>
      <c r="H587" s="76" t="n">
        <v>378940.231267445</v>
      </c>
      <c r="I587" s="77" t="str">
        <f>H587-F587</f>
      </c>
      <c r="J587" s="78" t="str">
        <f>G587-E587</f>
      </c>
    </row>
    <row r="588">
      <c r="A588" t="s">
        <v>212</v>
      </c>
      <c r="B588" t="s">
        <v>214</v>
      </c>
      <c r="C588" s="72" t="n">
        <v>2030</v>
      </c>
      <c r="D588" t="s">
        <v>193</v>
      </c>
      <c r="E588" s="73" t="n">
        <v>458568.118379321</v>
      </c>
      <c r="F588" s="74" t="n">
        <v>240587.824344364</v>
      </c>
      <c r="G588" s="75" t="n">
        <v>464360.518103772</v>
      </c>
      <c r="H588" s="76" t="n">
        <v>241310.309903655</v>
      </c>
      <c r="I588" s="77" t="str">
        <f>H588-F588</f>
      </c>
      <c r="J588" s="78" t="str">
        <f>G588-E588</f>
      </c>
    </row>
    <row r="589">
      <c r="A589" t="s">
        <v>212</v>
      </c>
      <c r="B589" t="s">
        <v>214</v>
      </c>
      <c r="C589" s="72" t="n">
        <v>2030</v>
      </c>
      <c r="D589" t="s">
        <v>424</v>
      </c>
      <c r="E589" s="73" t="n">
        <v>44647.4874272533</v>
      </c>
      <c r="F589" s="74" t="n">
        <v>7223.11195494642</v>
      </c>
      <c r="G589" s="75" t="n">
        <v>44647.268915283</v>
      </c>
      <c r="H589" s="76" t="n">
        <v>7223.11031474236</v>
      </c>
      <c r="I589" s="77" t="str">
        <f>H589-F589</f>
      </c>
      <c r="J589" s="78" t="str">
        <f>G589-E589</f>
      </c>
    </row>
    <row r="590">
      <c r="A590" t="s">
        <v>212</v>
      </c>
      <c r="B590" t="s">
        <v>214</v>
      </c>
      <c r="C590" s="72" t="n">
        <v>2031</v>
      </c>
      <c r="D590" t="s">
        <v>176</v>
      </c>
      <c r="E590" s="73" t="n">
        <v>15083.5455971854</v>
      </c>
      <c r="F590" s="74" t="n">
        <v>10955.8611107682</v>
      </c>
      <c r="G590" s="75" t="n">
        <v>15080.3825495532</v>
      </c>
      <c r="H590" s="76" t="n">
        <v>10955.4255331558</v>
      </c>
      <c r="I590" s="77" t="str">
        <f>H590-F590</f>
      </c>
      <c r="J590" s="78" t="str">
        <f>G590-E590</f>
      </c>
    </row>
    <row r="591">
      <c r="A591" t="s">
        <v>212</v>
      </c>
      <c r="B591" t="s">
        <v>214</v>
      </c>
      <c r="C591" s="72" t="n">
        <v>2031</v>
      </c>
      <c r="D591" t="s">
        <v>238</v>
      </c>
      <c r="E591" s="73" t="n">
        <v>1107101.64609115</v>
      </c>
      <c r="F591" s="74" t="n">
        <v>177512.125527513</v>
      </c>
      <c r="G591" s="75" t="n">
        <v>1107027.69162894</v>
      </c>
      <c r="H591" s="76" t="n">
        <v>177510.906196669</v>
      </c>
      <c r="I591" s="77" t="str">
        <f>H591-F591</f>
      </c>
      <c r="J591" s="78" t="str">
        <f>G591-E591</f>
      </c>
    </row>
    <row r="592">
      <c r="A592" t="s">
        <v>212</v>
      </c>
      <c r="B592" t="s">
        <v>214</v>
      </c>
      <c r="C592" s="72" t="n">
        <v>2031</v>
      </c>
      <c r="D592" t="s">
        <v>184</v>
      </c>
      <c r="E592" s="73" t="n">
        <v>110236.087888888</v>
      </c>
      <c r="F592" s="74" t="n">
        <v>74737.0422216351</v>
      </c>
      <c r="G592" s="75" t="n">
        <v>111632.947554352</v>
      </c>
      <c r="H592" s="76" t="n">
        <v>75230.219664338</v>
      </c>
      <c r="I592" s="77" t="str">
        <f>H592-F592</f>
      </c>
      <c r="J592" s="78" t="str">
        <f>G592-E592</f>
      </c>
    </row>
    <row r="593">
      <c r="A593" t="s">
        <v>212</v>
      </c>
      <c r="B593" t="s">
        <v>214</v>
      </c>
      <c r="C593" s="72" t="n">
        <v>2031</v>
      </c>
      <c r="D593" t="s">
        <v>187</v>
      </c>
      <c r="E593" s="73" t="n">
        <v>376685.412470059</v>
      </c>
      <c r="F593" s="74" t="n">
        <v>348272.409224492</v>
      </c>
      <c r="G593" s="75" t="n">
        <v>381470.266781021</v>
      </c>
      <c r="H593" s="76" t="n">
        <v>351432.518672951</v>
      </c>
      <c r="I593" s="77" t="str">
        <f>H593-F593</f>
      </c>
      <c r="J593" s="78" t="str">
        <f>G593-E593</f>
      </c>
    </row>
    <row r="594">
      <c r="A594" t="s">
        <v>212</v>
      </c>
      <c r="B594" t="s">
        <v>214</v>
      </c>
      <c r="C594" s="72" t="n">
        <v>2031</v>
      </c>
      <c r="D594" t="s">
        <v>190</v>
      </c>
      <c r="E594" s="73" t="n">
        <v>650141.562877506</v>
      </c>
      <c r="F594" s="74" t="n">
        <v>388799.472374034</v>
      </c>
      <c r="G594" s="75" t="n">
        <v>658282.149268814</v>
      </c>
      <c r="H594" s="76" t="n">
        <v>390181.003020302</v>
      </c>
      <c r="I594" s="77" t="str">
        <f>H594-F594</f>
      </c>
      <c r="J594" s="78" t="str">
        <f>G594-E594</f>
      </c>
    </row>
    <row r="595">
      <c r="A595" t="s">
        <v>212</v>
      </c>
      <c r="B595" t="s">
        <v>214</v>
      </c>
      <c r="C595" s="72" t="n">
        <v>2031</v>
      </c>
      <c r="D595" t="s">
        <v>193</v>
      </c>
      <c r="E595" s="73" t="n">
        <v>471890.512282084</v>
      </c>
      <c r="F595" s="74" t="n">
        <v>249758.870374556</v>
      </c>
      <c r="G595" s="75" t="n">
        <v>477778.146047482</v>
      </c>
      <c r="H595" s="76" t="n">
        <v>250815.782662592</v>
      </c>
      <c r="I595" s="77" t="str">
        <f>H595-F595</f>
      </c>
      <c r="J595" s="78" t="str">
        <f>G595-E595</f>
      </c>
    </row>
    <row r="596">
      <c r="A596" t="s">
        <v>212</v>
      </c>
      <c r="B596" t="s">
        <v>214</v>
      </c>
      <c r="C596" s="72" t="n">
        <v>2031</v>
      </c>
      <c r="D596" t="s">
        <v>424</v>
      </c>
      <c r="E596" s="73" t="n">
        <v>44640.7557172201</v>
      </c>
      <c r="F596" s="74" t="n">
        <v>7266.77045861445</v>
      </c>
      <c r="G596" s="75" t="n">
        <v>44640.3472954778</v>
      </c>
      <c r="H596" s="76" t="n">
        <v>7266.76600020754</v>
      </c>
      <c r="I596" s="77" t="str">
        <f>H596-F596</f>
      </c>
      <c r="J596" s="78" t="str">
        <f>G596-E596</f>
      </c>
    </row>
    <row r="597">
      <c r="A597" t="s">
        <v>212</v>
      </c>
      <c r="B597" t="s">
        <v>214</v>
      </c>
      <c r="C597" s="72" t="n">
        <v>2032</v>
      </c>
      <c r="D597" t="s">
        <v>176</v>
      </c>
      <c r="E597" s="73" t="n">
        <v>15536.5241392166</v>
      </c>
      <c r="F597" s="74" t="n">
        <v>11275.4038824066</v>
      </c>
      <c r="G597" s="75" t="n">
        <v>15531.2601955666</v>
      </c>
      <c r="H597" s="76" t="n">
        <v>11274.4954497352</v>
      </c>
      <c r="I597" s="77" t="str">
        <f>H597-F597</f>
      </c>
      <c r="J597" s="78" t="str">
        <f>G597-E597</f>
      </c>
    </row>
    <row r="598">
      <c r="A598" t="s">
        <v>212</v>
      </c>
      <c r="B598" t="s">
        <v>214</v>
      </c>
      <c r="C598" s="72" t="n">
        <v>2032</v>
      </c>
      <c r="D598" t="s">
        <v>238</v>
      </c>
      <c r="E598" s="73" t="n">
        <v>1118598.50057611</v>
      </c>
      <c r="F598" s="74" t="n">
        <v>185728.646660514</v>
      </c>
      <c r="G598" s="75" t="n">
        <v>1118477.32749824</v>
      </c>
      <c r="H598" s="76" t="n">
        <v>185725.999058801</v>
      </c>
      <c r="I598" s="77" t="str">
        <f>H598-F598</f>
      </c>
      <c r="J598" s="78" t="str">
        <f>G598-E598</f>
      </c>
    </row>
    <row r="599">
      <c r="A599" t="s">
        <v>212</v>
      </c>
      <c r="B599" t="s">
        <v>214</v>
      </c>
      <c r="C599" s="72" t="n">
        <v>2032</v>
      </c>
      <c r="D599" t="s">
        <v>184</v>
      </c>
      <c r="E599" s="73" t="n">
        <v>113411.868091796</v>
      </c>
      <c r="F599" s="74" t="n">
        <v>76741.7091089728</v>
      </c>
      <c r="G599" s="75" t="n">
        <v>114835.221802653</v>
      </c>
      <c r="H599" s="76" t="n">
        <v>77353.0610239329</v>
      </c>
      <c r="I599" s="77" t="str">
        <f>H599-F599</f>
      </c>
      <c r="J599" s="78" t="str">
        <f>G599-E599</f>
      </c>
    </row>
    <row r="600">
      <c r="A600" t="s">
        <v>212</v>
      </c>
      <c r="B600" t="s">
        <v>214</v>
      </c>
      <c r="C600" s="72" t="n">
        <v>2032</v>
      </c>
      <c r="D600" t="s">
        <v>187</v>
      </c>
      <c r="E600" s="73" t="n">
        <v>385138.627643751</v>
      </c>
      <c r="F600" s="74" t="n">
        <v>356231.137255986</v>
      </c>
      <c r="G600" s="75" t="n">
        <v>389998.376688754</v>
      </c>
      <c r="H600" s="76" t="n">
        <v>359834.546852866</v>
      </c>
      <c r="I600" s="77" t="str">
        <f>H600-F600</f>
      </c>
      <c r="J600" s="78" t="str">
        <f>G600-E600</f>
      </c>
    </row>
    <row r="601">
      <c r="A601" t="s">
        <v>212</v>
      </c>
      <c r="B601" t="s">
        <v>214</v>
      </c>
      <c r="C601" s="72" t="n">
        <v>2032</v>
      </c>
      <c r="D601" t="s">
        <v>190</v>
      </c>
      <c r="E601" s="73" t="n">
        <v>664908.996527169</v>
      </c>
      <c r="F601" s="74" t="n">
        <v>399520.631461653</v>
      </c>
      <c r="G601" s="75" t="n">
        <v>673133.888273266</v>
      </c>
      <c r="H601" s="76" t="n">
        <v>401318.286193472</v>
      </c>
      <c r="I601" s="77" t="str">
        <f>H601-F601</f>
      </c>
      <c r="J601" s="78" t="str">
        <f>G601-E601</f>
      </c>
    </row>
    <row r="602">
      <c r="A602" t="s">
        <v>212</v>
      </c>
      <c r="B602" t="s">
        <v>214</v>
      </c>
      <c r="C602" s="72" t="n">
        <v>2032</v>
      </c>
      <c r="D602" t="s">
        <v>193</v>
      </c>
      <c r="E602" s="73" t="n">
        <v>484937.318108695</v>
      </c>
      <c r="F602" s="74" t="n">
        <v>259003.722554151</v>
      </c>
      <c r="G602" s="75" t="n">
        <v>490904.70344578</v>
      </c>
      <c r="H602" s="76" t="n">
        <v>260346.937343717</v>
      </c>
      <c r="I602" s="77" t="str">
        <f>H602-F602</f>
      </c>
      <c r="J602" s="78" t="str">
        <f>G602-E602</f>
      </c>
    </row>
    <row r="603">
      <c r="A603" t="s">
        <v>212</v>
      </c>
      <c r="B603" t="s">
        <v>214</v>
      </c>
      <c r="C603" s="72" t="n">
        <v>2032</v>
      </c>
      <c r="D603" t="s">
        <v>424</v>
      </c>
      <c r="E603" s="73" t="n">
        <v>44583.9187558384</v>
      </c>
      <c r="F603" s="74" t="n">
        <v>7308.6990664582</v>
      </c>
      <c r="G603" s="75" t="n">
        <v>44583.2455015959</v>
      </c>
      <c r="H603" s="76" t="n">
        <v>7308.68956833998</v>
      </c>
      <c r="I603" s="77" t="str">
        <f>H603-F603</f>
      </c>
      <c r="J603" s="78" t="str">
        <f>G603-E603</f>
      </c>
    </row>
    <row r="604">
      <c r="A604" t="s">
        <v>212</v>
      </c>
      <c r="B604" t="s">
        <v>214</v>
      </c>
      <c r="C604" s="72" t="n">
        <v>2033</v>
      </c>
      <c r="D604" t="s">
        <v>176</v>
      </c>
      <c r="E604" s="73" t="n">
        <v>15991.5149714082</v>
      </c>
      <c r="F604" s="74" t="n">
        <v>11588.5731518417</v>
      </c>
      <c r="G604" s="75" t="n">
        <v>15983.7175379286</v>
      </c>
      <c r="H604" s="76" t="n">
        <v>11586.9335708044</v>
      </c>
      <c r="I604" s="77" t="str">
        <f>H604-F604</f>
      </c>
      <c r="J604" s="78" t="str">
        <f>G604-E604</f>
      </c>
    </row>
    <row r="605">
      <c r="A605" t="s">
        <v>212</v>
      </c>
      <c r="B605" t="s">
        <v>214</v>
      </c>
      <c r="C605" s="72" t="n">
        <v>2033</v>
      </c>
      <c r="D605" t="s">
        <v>238</v>
      </c>
      <c r="E605" s="73" t="n">
        <v>1129410.41490892</v>
      </c>
      <c r="F605" s="74" t="n">
        <v>193958.181219363</v>
      </c>
      <c r="G605" s="75" t="n">
        <v>1129233.47845058</v>
      </c>
      <c r="H605" s="76" t="n">
        <v>193953.224223645</v>
      </c>
      <c r="I605" s="77" t="str">
        <f>H605-F605</f>
      </c>
      <c r="J605" s="78" t="str">
        <f>G605-E605</f>
      </c>
    </row>
    <row r="606">
      <c r="A606" t="s">
        <v>212</v>
      </c>
      <c r="B606" t="s">
        <v>214</v>
      </c>
      <c r="C606" s="72" t="n">
        <v>2033</v>
      </c>
      <c r="D606" t="s">
        <v>184</v>
      </c>
      <c r="E606" s="73" t="n">
        <v>116551.761790466</v>
      </c>
      <c r="F606" s="74" t="n">
        <v>78773.1048560228</v>
      </c>
      <c r="G606" s="75" t="n">
        <v>117998.738437442</v>
      </c>
      <c r="H606" s="76" t="n">
        <v>79480.4761690429</v>
      </c>
      <c r="I606" s="77" t="str">
        <f>H606-F606</f>
      </c>
      <c r="J606" s="78" t="str">
        <f>G606-E606</f>
      </c>
    </row>
    <row r="607">
      <c r="A607" t="s">
        <v>212</v>
      </c>
      <c r="B607" t="s">
        <v>214</v>
      </c>
      <c r="C607" s="72" t="n">
        <v>2033</v>
      </c>
      <c r="D607" t="s">
        <v>187</v>
      </c>
      <c r="E607" s="73" t="n">
        <v>393426.247443483</v>
      </c>
      <c r="F607" s="74" t="n">
        <v>364151.180536191</v>
      </c>
      <c r="G607" s="75" t="n">
        <v>398354.344992358</v>
      </c>
      <c r="H607" s="76" t="n">
        <v>368051.624575443</v>
      </c>
      <c r="I607" s="77" t="str">
        <f>H607-F607</f>
      </c>
      <c r="J607" s="78" t="str">
        <f>G607-E607</f>
      </c>
    </row>
    <row r="608">
      <c r="A608" t="s">
        <v>212</v>
      </c>
      <c r="B608" t="s">
        <v>214</v>
      </c>
      <c r="C608" s="72" t="n">
        <v>2033</v>
      </c>
      <c r="D608" t="s">
        <v>190</v>
      </c>
      <c r="E608" s="73" t="n">
        <v>679337.576805535</v>
      </c>
      <c r="F608" s="74" t="n">
        <v>410165.168527431</v>
      </c>
      <c r="G608" s="75" t="n">
        <v>687634.699546926</v>
      </c>
      <c r="H608" s="76" t="n">
        <v>412348.075678578</v>
      </c>
      <c r="I608" s="77" t="str">
        <f>H608-F608</f>
      </c>
      <c r="J608" s="78" t="str">
        <f>G608-E608</f>
      </c>
    </row>
    <row r="609">
      <c r="A609" t="s">
        <v>212</v>
      </c>
      <c r="B609" t="s">
        <v>214</v>
      </c>
      <c r="C609" s="72" t="n">
        <v>2033</v>
      </c>
      <c r="D609" t="s">
        <v>193</v>
      </c>
      <c r="E609" s="73" t="n">
        <v>497715.449764668</v>
      </c>
      <c r="F609" s="74" t="n">
        <v>268285.449951883</v>
      </c>
      <c r="G609" s="75" t="n">
        <v>503751.109420694</v>
      </c>
      <c r="H609" s="76" t="n">
        <v>269883.407599987</v>
      </c>
      <c r="I609" s="77" t="str">
        <f>H609-F609</f>
      </c>
      <c r="J609" s="78" t="str">
        <f>G609-E609</f>
      </c>
    </row>
    <row r="610">
      <c r="A610" t="s">
        <v>212</v>
      </c>
      <c r="B610" t="s">
        <v>214</v>
      </c>
      <c r="C610" s="72" t="n">
        <v>2033</v>
      </c>
      <c r="D610" t="s">
        <v>424</v>
      </c>
      <c r="E610" s="73" t="n">
        <v>44484.6720580295</v>
      </c>
      <c r="F610" s="74" t="n">
        <v>7348.09158652916</v>
      </c>
      <c r="G610" s="75" t="n">
        <v>44483.6835898413</v>
      </c>
      <c r="H610" s="76" t="n">
        <v>7348.07414732206</v>
      </c>
      <c r="I610" s="77" t="str">
        <f>H610-F610</f>
      </c>
      <c r="J610" s="78" t="str">
        <f>G610-E610</f>
      </c>
    </row>
    <row r="611">
      <c r="A611" t="s">
        <v>212</v>
      </c>
      <c r="B611" t="s">
        <v>214</v>
      </c>
      <c r="C611" s="72" t="n">
        <v>2034</v>
      </c>
      <c r="D611" t="s">
        <v>176</v>
      </c>
      <c r="E611" s="73" t="n">
        <v>16447.6168754324</v>
      </c>
      <c r="F611" s="74" t="n">
        <v>11899.0124479731</v>
      </c>
      <c r="G611" s="75" t="n">
        <v>16436.9312806497</v>
      </c>
      <c r="H611" s="76" t="n">
        <v>11896.3823187386</v>
      </c>
      <c r="I611" s="77" t="str">
        <f>H611-F611</f>
      </c>
      <c r="J611" s="78" t="str">
        <f>G611-E611</f>
      </c>
    </row>
    <row r="612">
      <c r="A612" t="s">
        <v>212</v>
      </c>
      <c r="B612" t="s">
        <v>214</v>
      </c>
      <c r="C612" s="72" t="n">
        <v>2034</v>
      </c>
      <c r="D612" t="s">
        <v>238</v>
      </c>
      <c r="E612" s="73" t="n">
        <v>1139595.97468652</v>
      </c>
      <c r="F612" s="74" t="n">
        <v>202155.533849275</v>
      </c>
      <c r="G612" s="75" t="n">
        <v>1139357.01951607</v>
      </c>
      <c r="H612" s="76" t="n">
        <v>202147.27044605</v>
      </c>
      <c r="I612" s="77" t="str">
        <f>H612-F612</f>
      </c>
      <c r="J612" s="78" t="str">
        <f>G612-E612</f>
      </c>
    </row>
    <row r="613">
      <c r="A613" t="s">
        <v>212</v>
      </c>
      <c r="B613" t="s">
        <v>214</v>
      </c>
      <c r="C613" s="72" t="n">
        <v>2034</v>
      </c>
      <c r="D613" t="s">
        <v>184</v>
      </c>
      <c r="E613" s="73" t="n">
        <v>119637.459935723</v>
      </c>
      <c r="F613" s="74" t="n">
        <v>80808.6647974098</v>
      </c>
      <c r="G613" s="75" t="n">
        <v>121105.471839437</v>
      </c>
      <c r="H613" s="76" t="n">
        <v>81594.9482339212</v>
      </c>
      <c r="I613" s="77" t="str">
        <f>H613-F613</f>
      </c>
      <c r="J613" s="78" t="str">
        <f>G613-E613</f>
      </c>
    </row>
    <row r="614">
      <c r="A614" t="s">
        <v>212</v>
      </c>
      <c r="B614" t="s">
        <v>214</v>
      </c>
      <c r="C614" s="72" t="n">
        <v>2034</v>
      </c>
      <c r="D614" t="s">
        <v>187</v>
      </c>
      <c r="E614" s="73" t="n">
        <v>401569.111400128</v>
      </c>
      <c r="F614" s="74" t="n">
        <v>371911.466684102</v>
      </c>
      <c r="G614" s="75" t="n">
        <v>406559.867353788</v>
      </c>
      <c r="H614" s="76" t="n">
        <v>376028.132278335</v>
      </c>
      <c r="I614" s="77" t="str">
        <f>H614-F614</f>
      </c>
      <c r="J614" s="78" t="str">
        <f>G614-E614</f>
      </c>
    </row>
    <row r="615">
      <c r="A615" t="s">
        <v>212</v>
      </c>
      <c r="B615" t="s">
        <v>214</v>
      </c>
      <c r="C615" s="72" t="n">
        <v>2034</v>
      </c>
      <c r="D615" t="s">
        <v>190</v>
      </c>
      <c r="E615" s="73" t="n">
        <v>693333.277061883</v>
      </c>
      <c r="F615" s="74" t="n">
        <v>420718.813084962</v>
      </c>
      <c r="G615" s="75" t="n">
        <v>701691.677358768</v>
      </c>
      <c r="H615" s="76" t="n">
        <v>423259.100590806</v>
      </c>
      <c r="I615" s="77" t="str">
        <f>H615-F615</f>
      </c>
      <c r="J615" s="78" t="str">
        <f>G615-E615</f>
      </c>
    </row>
    <row r="616">
      <c r="A616" t="s">
        <v>212</v>
      </c>
      <c r="B616" t="s">
        <v>214</v>
      </c>
      <c r="C616" s="72" t="n">
        <v>2034</v>
      </c>
      <c r="D616" t="s">
        <v>193</v>
      </c>
      <c r="E616" s="73" t="n">
        <v>510311.490525379</v>
      </c>
      <c r="F616" s="74" t="n">
        <v>277656.24254996</v>
      </c>
      <c r="G616" s="75" t="n">
        <v>516406.53850878</v>
      </c>
      <c r="H616" s="76" t="n">
        <v>279484.980285229</v>
      </c>
      <c r="I616" s="77" t="str">
        <f>H616-F616</f>
      </c>
      <c r="J616" s="78" t="str">
        <f>G616-E616</f>
      </c>
    </row>
    <row r="617">
      <c r="A617" t="s">
        <v>212</v>
      </c>
      <c r="B617" t="s">
        <v>214</v>
      </c>
      <c r="C617" s="72" t="n">
        <v>2034</v>
      </c>
      <c r="D617" t="s">
        <v>424</v>
      </c>
      <c r="E617" s="73" t="n">
        <v>44356.5260097927</v>
      </c>
      <c r="F617" s="74" t="n">
        <v>7385.0694053333</v>
      </c>
      <c r="G617" s="75" t="n">
        <v>44355.184450179</v>
      </c>
      <c r="H617" s="76" t="n">
        <v>7385.04094675217</v>
      </c>
      <c r="I617" s="77" t="str">
        <f>H617-F617</f>
      </c>
      <c r="J617" s="78" t="str">
        <f>G617-E617</f>
      </c>
    </row>
    <row r="618">
      <c r="A618" t="s">
        <v>212</v>
      </c>
      <c r="B618" t="s">
        <v>214</v>
      </c>
      <c r="C618" s="72" t="n">
        <v>2035</v>
      </c>
      <c r="D618" t="s">
        <v>176</v>
      </c>
      <c r="E618" s="73" t="n">
        <v>16906.0953129016</v>
      </c>
      <c r="F618" s="74" t="n">
        <v>12206.9225355636</v>
      </c>
      <c r="G618" s="75" t="n">
        <v>16892.2141390053</v>
      </c>
      <c r="H618" s="76" t="n">
        <v>12203.0577178634</v>
      </c>
      <c r="I618" s="77" t="str">
        <f>H618-F618</f>
      </c>
      <c r="J618" s="78" t="str">
        <f>G618-E618</f>
      </c>
    </row>
    <row r="619">
      <c r="A619" t="s">
        <v>212</v>
      </c>
      <c r="B619" t="s">
        <v>214</v>
      </c>
      <c r="C619" s="72" t="n">
        <v>2035</v>
      </c>
      <c r="D619" t="s">
        <v>238</v>
      </c>
      <c r="E619" s="73" t="n">
        <v>1149277.83579444</v>
      </c>
      <c r="F619" s="74" t="n">
        <v>210303.607517134</v>
      </c>
      <c r="G619" s="75" t="n">
        <v>1148972.16574985</v>
      </c>
      <c r="H619" s="76" t="n">
        <v>210290.980527925</v>
      </c>
      <c r="I619" s="77" t="str">
        <f>H619-F619</f>
      </c>
      <c r="J619" s="78" t="str">
        <f>G619-E619</f>
      </c>
    </row>
    <row r="620">
      <c r="A620" t="s">
        <v>212</v>
      </c>
      <c r="B620" t="s">
        <v>214</v>
      </c>
      <c r="C620" s="72" t="n">
        <v>2035</v>
      </c>
      <c r="D620" t="s">
        <v>184</v>
      </c>
      <c r="E620" s="73" t="n">
        <v>122661.489837432</v>
      </c>
      <c r="F620" s="74" t="n">
        <v>82843.3461108609</v>
      </c>
      <c r="G620" s="75" t="n">
        <v>124148.207195844</v>
      </c>
      <c r="H620" s="76" t="n">
        <v>83695.1178728798</v>
      </c>
      <c r="I620" s="77" t="str">
        <f>H620-F620</f>
      </c>
      <c r="J620" s="78" t="str">
        <f>G620-E620</f>
      </c>
    </row>
    <row r="621">
      <c r="A621" t="s">
        <v>212</v>
      </c>
      <c r="B621" t="s">
        <v>214</v>
      </c>
      <c r="C621" s="72" t="n">
        <v>2035</v>
      </c>
      <c r="D621" t="s">
        <v>187</v>
      </c>
      <c r="E621" s="73" t="n">
        <v>409485.972688568</v>
      </c>
      <c r="F621" s="74" t="n">
        <v>379505.593267728</v>
      </c>
      <c r="G621" s="75" t="n">
        <v>414533.160603145</v>
      </c>
      <c r="H621" s="76" t="n">
        <v>383788.762526672</v>
      </c>
      <c r="I621" s="77" t="str">
        <f>H621-F621</f>
      </c>
      <c r="J621" s="78" t="str">
        <f>G621-E621</f>
      </c>
    </row>
    <row r="622">
      <c r="A622" t="s">
        <v>212</v>
      </c>
      <c r="B622" t="s">
        <v>214</v>
      </c>
      <c r="C622" s="72" t="n">
        <v>2035</v>
      </c>
      <c r="D622" t="s">
        <v>190</v>
      </c>
      <c r="E622" s="73" t="n">
        <v>706921.297887144</v>
      </c>
      <c r="F622" s="74" t="n">
        <v>431209.277411036</v>
      </c>
      <c r="G622" s="75" t="n">
        <v>715331.788822102</v>
      </c>
      <c r="H622" s="76" t="n">
        <v>434082.031551195</v>
      </c>
      <c r="I622" s="77" t="str">
        <f>H622-F622</f>
      </c>
      <c r="J622" s="78" t="str">
        <f>G622-E622</f>
      </c>
    </row>
    <row r="623">
      <c r="A623" t="s">
        <v>212</v>
      </c>
      <c r="B623" t="s">
        <v>214</v>
      </c>
      <c r="C623" s="72" t="n">
        <v>2035</v>
      </c>
      <c r="D623" t="s">
        <v>193</v>
      </c>
      <c r="E623" s="73" t="n">
        <v>522672.457155843</v>
      </c>
      <c r="F623" s="74" t="n">
        <v>287111.038770293</v>
      </c>
      <c r="G623" s="75" t="n">
        <v>528818.371883953</v>
      </c>
      <c r="H623" s="76" t="n">
        <v>289150.802435983</v>
      </c>
      <c r="I623" s="77" t="str">
        <f>H623-F623</f>
      </c>
      <c r="J623" s="78" t="str">
        <f>G623-E623</f>
      </c>
    </row>
    <row r="624">
      <c r="A624" t="s">
        <v>212</v>
      </c>
      <c r="B624" t="s">
        <v>214</v>
      </c>
      <c r="C624" s="72" t="n">
        <v>2035</v>
      </c>
      <c r="D624" t="s">
        <v>424</v>
      </c>
      <c r="E624" s="73" t="n">
        <v>44208.4313780582</v>
      </c>
      <c r="F624" s="74" t="n">
        <v>7420.02136805316</v>
      </c>
      <c r="G624" s="75" t="n">
        <v>44206.7073067121</v>
      </c>
      <c r="H624" s="76" t="n">
        <v>7419.97885519321</v>
      </c>
      <c r="I624" s="77" t="str">
        <f>H624-F624</f>
      </c>
      <c r="J624" s="78" t="str">
        <f>G624-E624</f>
      </c>
    </row>
    <row r="625">
      <c r="A625" t="s">
        <v>212</v>
      </c>
      <c r="B625" t="s">
        <v>214</v>
      </c>
      <c r="C625" s="72" t="n">
        <v>2036</v>
      </c>
      <c r="D625" t="s">
        <v>176</v>
      </c>
      <c r="E625" s="73" t="n">
        <v>17368.0087110611</v>
      </c>
      <c r="F625" s="74" t="n">
        <v>12512.2250816862</v>
      </c>
      <c r="G625" s="75" t="n">
        <v>17350.6546269342</v>
      </c>
      <c r="H625" s="76" t="n">
        <v>12506.9021026876</v>
      </c>
      <c r="I625" s="77" t="str">
        <f>H625-F625</f>
      </c>
      <c r="J625" s="78" t="str">
        <f>G625-E625</f>
      </c>
    </row>
    <row r="626">
      <c r="A626" t="s">
        <v>212</v>
      </c>
      <c r="B626" t="s">
        <v>214</v>
      </c>
      <c r="C626" s="72" t="n">
        <v>2036</v>
      </c>
      <c r="D626" t="s">
        <v>238</v>
      </c>
      <c r="E626" s="73" t="n">
        <v>1158642.05769648</v>
      </c>
      <c r="F626" s="74" t="n">
        <v>218388.75900351</v>
      </c>
      <c r="G626" s="75" t="n">
        <v>1158266.13775829</v>
      </c>
      <c r="H626" s="76" t="n">
        <v>218370.687575925</v>
      </c>
      <c r="I626" s="77" t="str">
        <f>H626-F626</f>
      </c>
      <c r="J626" s="78" t="str">
        <f>G626-E626</f>
      </c>
    </row>
    <row r="627">
      <c r="A627" t="s">
        <v>212</v>
      </c>
      <c r="B627" t="s">
        <v>214</v>
      </c>
      <c r="C627" s="72" t="n">
        <v>2036</v>
      </c>
      <c r="D627" t="s">
        <v>184</v>
      </c>
      <c r="E627" s="73" t="n">
        <v>125634.963787264</v>
      </c>
      <c r="F627" s="74" t="n">
        <v>84859.1747450493</v>
      </c>
      <c r="G627" s="75" t="n">
        <v>127138.451085333</v>
      </c>
      <c r="H627" s="76" t="n">
        <v>85765.5647353171</v>
      </c>
      <c r="I627" s="77" t="str">
        <f>H627-F627</f>
      </c>
      <c r="J627" s="78" t="str">
        <f>G627-E627</f>
      </c>
    </row>
    <row r="628">
      <c r="A628" t="s">
        <v>212</v>
      </c>
      <c r="B628" t="s">
        <v>214</v>
      </c>
      <c r="C628" s="72" t="n">
        <v>2036</v>
      </c>
      <c r="D628" t="s">
        <v>187</v>
      </c>
      <c r="E628" s="73" t="n">
        <v>417135.344057618</v>
      </c>
      <c r="F628" s="74" t="n">
        <v>386870.235209083</v>
      </c>
      <c r="G628" s="75" t="n">
        <v>422232.659922133</v>
      </c>
      <c r="H628" s="76" t="n">
        <v>391285.955739587</v>
      </c>
      <c r="I628" s="77" t="str">
        <f>H628-F628</f>
      </c>
      <c r="J628" s="78" t="str">
        <f>G628-E628</f>
      </c>
    </row>
    <row r="629">
      <c r="A629" t="s">
        <v>212</v>
      </c>
      <c r="B629" t="s">
        <v>214</v>
      </c>
      <c r="C629" s="72" t="n">
        <v>2036</v>
      </c>
      <c r="D629" t="s">
        <v>190</v>
      </c>
      <c r="E629" s="73" t="n">
        <v>720077.534196367</v>
      </c>
      <c r="F629" s="74" t="n">
        <v>441565.42522531</v>
      </c>
      <c r="G629" s="75" t="n">
        <v>728531.610160843</v>
      </c>
      <c r="H629" s="76" t="n">
        <v>444747.907566169</v>
      </c>
      <c r="I629" s="77" t="str">
        <f>H629-F629</f>
      </c>
      <c r="J629" s="78" t="str">
        <f>G629-E629</f>
      </c>
    </row>
    <row r="630">
      <c r="A630" t="s">
        <v>212</v>
      </c>
      <c r="B630" t="s">
        <v>214</v>
      </c>
      <c r="C630" s="72" t="n">
        <v>2036</v>
      </c>
      <c r="D630" t="s">
        <v>193</v>
      </c>
      <c r="E630" s="73" t="n">
        <v>534862.574260796</v>
      </c>
      <c r="F630" s="74" t="n">
        <v>296645.797866782</v>
      </c>
      <c r="G630" s="75" t="n">
        <v>541052.28077363</v>
      </c>
      <c r="H630" s="76" t="n">
        <v>298879.611309733</v>
      </c>
      <c r="I630" s="77" t="str">
        <f>H630-F630</f>
      </c>
      <c r="J630" s="78" t="str">
        <f>G630-E630</f>
      </c>
    </row>
    <row r="631">
      <c r="A631" t="s">
        <v>212</v>
      </c>
      <c r="B631" t="s">
        <v>214</v>
      </c>
      <c r="C631" s="72" t="n">
        <v>2036</v>
      </c>
      <c r="D631" t="s">
        <v>424</v>
      </c>
      <c r="E631" s="73" t="n">
        <v>44052.1279785696</v>
      </c>
      <c r="F631" s="74" t="n">
        <v>7453.39456673162</v>
      </c>
      <c r="G631" s="75" t="n">
        <v>44049.9983782722</v>
      </c>
      <c r="H631" s="76" t="n">
        <v>7453.3351271514</v>
      </c>
      <c r="I631" s="77" t="str">
        <f>H631-F631</f>
      </c>
      <c r="J631" s="78" t="str">
        <f>G631-E631</f>
      </c>
    </row>
    <row r="632">
      <c r="A632" t="s">
        <v>212</v>
      </c>
      <c r="B632" t="s">
        <v>214</v>
      </c>
      <c r="C632" s="72" t="n">
        <v>2037</v>
      </c>
      <c r="D632" t="s">
        <v>176</v>
      </c>
      <c r="E632" s="73" t="n">
        <v>17833.5796602071</v>
      </c>
      <c r="F632" s="74" t="n">
        <v>12814.4837463591</v>
      </c>
      <c r="G632" s="75" t="n">
        <v>17812.5035281772</v>
      </c>
      <c r="H632" s="76" t="n">
        <v>12807.5012683992</v>
      </c>
      <c r="I632" s="77" t="str">
        <f>H632-F632</f>
      </c>
      <c r="J632" s="78" t="str">
        <f>G632-E632</f>
      </c>
    </row>
    <row r="633">
      <c r="A633" t="s">
        <v>212</v>
      </c>
      <c r="B633" t="s">
        <v>214</v>
      </c>
      <c r="C633" s="72" t="n">
        <v>2037</v>
      </c>
      <c r="D633" t="s">
        <v>238</v>
      </c>
      <c r="E633" s="73" t="n">
        <v>1167813.46072386</v>
      </c>
      <c r="F633" s="74" t="n">
        <v>226397.967852814</v>
      </c>
      <c r="G633" s="75" t="n">
        <v>1167364.66541375</v>
      </c>
      <c r="H633" s="76" t="n">
        <v>226373.365626062</v>
      </c>
      <c r="I633" s="77" t="str">
        <f>H633-F633</f>
      </c>
      <c r="J633" s="78" t="str">
        <f>G633-E633</f>
      </c>
    </row>
    <row r="634">
      <c r="A634" t="s">
        <v>212</v>
      </c>
      <c r="B634" t="s">
        <v>214</v>
      </c>
      <c r="C634" s="72" t="n">
        <v>2037</v>
      </c>
      <c r="D634" t="s">
        <v>184</v>
      </c>
      <c r="E634" s="73" t="n">
        <v>128573.409355611</v>
      </c>
      <c r="F634" s="74" t="n">
        <v>86833.7764886961</v>
      </c>
      <c r="G634" s="75" t="n">
        <v>130092.112965313</v>
      </c>
      <c r="H634" s="76" t="n">
        <v>87785.8739142287</v>
      </c>
      <c r="I634" s="77" t="str">
        <f>H634-F634</f>
      </c>
      <c r="J634" s="78" t="str">
        <f>G634-E634</f>
      </c>
    </row>
    <row r="635">
      <c r="A635" t="s">
        <v>212</v>
      </c>
      <c r="B635" t="s">
        <v>214</v>
      </c>
      <c r="C635" s="72" t="n">
        <v>2037</v>
      </c>
      <c r="D635" t="s">
        <v>187</v>
      </c>
      <c r="E635" s="73" t="n">
        <v>424532.910281581</v>
      </c>
      <c r="F635" s="74" t="n">
        <v>393949.932105363</v>
      </c>
      <c r="G635" s="75" t="n">
        <v>429674.679324948</v>
      </c>
      <c r="H635" s="76" t="n">
        <v>398473.813386608</v>
      </c>
      <c r="I635" s="77" t="str">
        <f>H635-F635</f>
      </c>
      <c r="J635" s="78" t="str">
        <f>G635-E635</f>
      </c>
    </row>
    <row r="636">
      <c r="A636" t="s">
        <v>212</v>
      </c>
      <c r="B636" t="s">
        <v>214</v>
      </c>
      <c r="C636" s="72" t="n">
        <v>2037</v>
      </c>
      <c r="D636" t="s">
        <v>190</v>
      </c>
      <c r="E636" s="73" t="n">
        <v>732771.828518362</v>
      </c>
      <c r="F636" s="74" t="n">
        <v>451698.280118732</v>
      </c>
      <c r="G636" s="75" t="n">
        <v>741261.427234993</v>
      </c>
      <c r="H636" s="76" t="n">
        <v>455168.184528758</v>
      </c>
      <c r="I636" s="77" t="str">
        <f>H636-F636</f>
      </c>
      <c r="J636" s="78" t="str">
        <f>G636-E636</f>
      </c>
    </row>
    <row r="637">
      <c r="A637" t="s">
        <v>212</v>
      </c>
      <c r="B637" t="s">
        <v>214</v>
      </c>
      <c r="C637" s="72" t="n">
        <v>2037</v>
      </c>
      <c r="D637" t="s">
        <v>193</v>
      </c>
      <c r="E637" s="73" t="n">
        <v>547029.749681037</v>
      </c>
      <c r="F637" s="74" t="n">
        <v>306252.937877355</v>
      </c>
      <c r="G637" s="75" t="n">
        <v>553258.517761357</v>
      </c>
      <c r="H637" s="76" t="n">
        <v>308666.043562302</v>
      </c>
      <c r="I637" s="77" t="str">
        <f>H637-F637</f>
      </c>
      <c r="J637" s="78" t="str">
        <f>G637-E637</f>
      </c>
    </row>
    <row r="638">
      <c r="A638" t="s">
        <v>212</v>
      </c>
      <c r="B638" t="s">
        <v>214</v>
      </c>
      <c r="C638" s="72" t="n">
        <v>2037</v>
      </c>
      <c r="D638" t="s">
        <v>424</v>
      </c>
      <c r="E638" s="73" t="n">
        <v>43889.0497362375</v>
      </c>
      <c r="F638" s="74" t="n">
        <v>7485.71852099633</v>
      </c>
      <c r="G638" s="75" t="n">
        <v>43886.4966397613</v>
      </c>
      <c r="H638" s="76" t="n">
        <v>7485.63945861012</v>
      </c>
      <c r="I638" s="77" t="str">
        <f>H638-F638</f>
      </c>
      <c r="J638" s="78" t="str">
        <f>G638-E638</f>
      </c>
    </row>
    <row r="639">
      <c r="A639" t="s">
        <v>212</v>
      </c>
      <c r="B639" t="s">
        <v>214</v>
      </c>
      <c r="C639" s="72" t="n">
        <v>2038</v>
      </c>
      <c r="D639" t="s">
        <v>176</v>
      </c>
      <c r="E639" s="73" t="n">
        <v>18303.6480416191</v>
      </c>
      <c r="F639" s="74" t="n">
        <v>13117.0829110339</v>
      </c>
      <c r="G639" s="75" t="n">
        <v>18278.6195315823</v>
      </c>
      <c r="H639" s="76" t="n">
        <v>13108.2586821674</v>
      </c>
      <c r="I639" s="77" t="str">
        <f>H639-F639</f>
      </c>
      <c r="J639" s="78" t="str">
        <f>G639-E639</f>
      </c>
    </row>
    <row r="640">
      <c r="A640" t="s">
        <v>212</v>
      </c>
      <c r="B640" t="s">
        <v>214</v>
      </c>
      <c r="C640" s="72" t="n">
        <v>2038</v>
      </c>
      <c r="D640" t="s">
        <v>238</v>
      </c>
      <c r="E640" s="73" t="n">
        <v>1176809.74877918</v>
      </c>
      <c r="F640" s="74" t="n">
        <v>234318.513348368</v>
      </c>
      <c r="G640" s="75" t="n">
        <v>1176286.23006217</v>
      </c>
      <c r="H640" s="76" t="n">
        <v>234286.302403295</v>
      </c>
      <c r="I640" s="77" t="str">
        <f>H640-F640</f>
      </c>
      <c r="J640" s="78" t="str">
        <f>G640-E640</f>
      </c>
    </row>
    <row r="641">
      <c r="A641" t="s">
        <v>212</v>
      </c>
      <c r="B641" t="s">
        <v>214</v>
      </c>
      <c r="C641" s="72" t="n">
        <v>2038</v>
      </c>
      <c r="D641" t="s">
        <v>184</v>
      </c>
      <c r="E641" s="73" t="n">
        <v>131472.299608033</v>
      </c>
      <c r="F641" s="74" t="n">
        <v>88772.258454334</v>
      </c>
      <c r="G641" s="75" t="n">
        <v>133004.77137127</v>
      </c>
      <c r="H641" s="76" t="n">
        <v>89762.9085046272</v>
      </c>
      <c r="I641" s="77" t="str">
        <f>H641-F641</f>
      </c>
      <c r="J641" s="78" t="str">
        <f>G641-E641</f>
      </c>
    </row>
    <row r="642">
      <c r="A642" t="s">
        <v>212</v>
      </c>
      <c r="B642" t="s">
        <v>214</v>
      </c>
      <c r="C642" s="72" t="n">
        <v>2038</v>
      </c>
      <c r="D642" t="s">
        <v>187</v>
      </c>
      <c r="E642" s="73" t="n">
        <v>431697.208906226</v>
      </c>
      <c r="F642" s="74" t="n">
        <v>400770.829414223</v>
      </c>
      <c r="G642" s="75" t="n">
        <v>436878.359538317</v>
      </c>
      <c r="H642" s="76" t="n">
        <v>405384.957772321</v>
      </c>
      <c r="I642" s="77" t="str">
        <f>H642-F642</f>
      </c>
      <c r="J642" s="78" t="str">
        <f>G642-E642</f>
      </c>
    </row>
    <row r="643">
      <c r="A643" t="s">
        <v>212</v>
      </c>
      <c r="B643" t="s">
        <v>214</v>
      </c>
      <c r="C643" s="72" t="n">
        <v>2038</v>
      </c>
      <c r="D643" t="s">
        <v>190</v>
      </c>
      <c r="E643" s="73" t="n">
        <v>745042.661779233</v>
      </c>
      <c r="F643" s="74" t="n">
        <v>461607.200857647</v>
      </c>
      <c r="G643" s="75" t="n">
        <v>753560.822146793</v>
      </c>
      <c r="H643" s="76" t="n">
        <v>465342.91786371</v>
      </c>
      <c r="I643" s="77" t="str">
        <f>H643-F643</f>
      </c>
      <c r="J643" s="78" t="str">
        <f>G643-E643</f>
      </c>
    </row>
    <row r="644">
      <c r="A644" t="s">
        <v>212</v>
      </c>
      <c r="B644" t="s">
        <v>214</v>
      </c>
      <c r="C644" s="72" t="n">
        <v>2038</v>
      </c>
      <c r="D644" t="s">
        <v>193</v>
      </c>
      <c r="E644" s="73" t="n">
        <v>559140.587465805</v>
      </c>
      <c r="F644" s="74" t="n">
        <v>315881.99695889</v>
      </c>
      <c r="G644" s="75" t="n">
        <v>565403.758799385</v>
      </c>
      <c r="H644" s="76" t="n">
        <v>318461.022248122</v>
      </c>
      <c r="I644" s="77" t="str">
        <f>H644-F644</f>
      </c>
      <c r="J644" s="78" t="str">
        <f>G644-E644</f>
      </c>
    </row>
    <row r="645">
      <c r="A645" t="s">
        <v>212</v>
      </c>
      <c r="B645" t="s">
        <v>214</v>
      </c>
      <c r="C645" s="72" t="n">
        <v>2038</v>
      </c>
      <c r="D645" t="s">
        <v>424</v>
      </c>
      <c r="E645" s="73" t="n">
        <v>43733.7358649253</v>
      </c>
      <c r="F645" s="74" t="n">
        <v>7517.8715366957</v>
      </c>
      <c r="G645" s="75" t="n">
        <v>43730.7448506382</v>
      </c>
      <c r="H645" s="76" t="n">
        <v>7517.77035327065</v>
      </c>
      <c r="I645" s="77" t="str">
        <f>H645-F645</f>
      </c>
      <c r="J645" s="78" t="str">
        <f>G645-E645</f>
      </c>
    </row>
    <row r="646">
      <c r="A646" t="s">
        <v>212</v>
      </c>
      <c r="B646" t="s">
        <v>214</v>
      </c>
      <c r="C646" s="72" t="n">
        <v>2039</v>
      </c>
      <c r="D646" t="s">
        <v>176</v>
      </c>
      <c r="E646" s="73" t="n">
        <v>18781.2958471388</v>
      </c>
      <c r="F646" s="74" t="n">
        <v>13415.5004785619</v>
      </c>
      <c r="G646" s="75" t="n">
        <v>18752.090499403</v>
      </c>
      <c r="H646" s="76" t="n">
        <v>13404.6696202756</v>
      </c>
      <c r="I646" s="77" t="str">
        <f>H646-F646</f>
      </c>
      <c r="J646" s="78" t="str">
        <f>G646-E646</f>
      </c>
    </row>
    <row r="647">
      <c r="A647" t="s">
        <v>212</v>
      </c>
      <c r="B647" t="s">
        <v>214</v>
      </c>
      <c r="C647" s="72" t="n">
        <v>2039</v>
      </c>
      <c r="D647" t="s">
        <v>238</v>
      </c>
      <c r="E647" s="73" t="n">
        <v>1185337.83625594</v>
      </c>
      <c r="F647" s="74" t="n">
        <v>242173.065891339</v>
      </c>
      <c r="G647" s="75" t="n">
        <v>1184738.39184491</v>
      </c>
      <c r="H647" s="76" t="n">
        <v>242132.191153164</v>
      </c>
      <c r="I647" s="77" t="str">
        <f>H647-F647</f>
      </c>
      <c r="J647" s="78" t="str">
        <f>G647-E647</f>
      </c>
    </row>
    <row r="648">
      <c r="A648" t="s">
        <v>212</v>
      </c>
      <c r="B648" t="s">
        <v>214</v>
      </c>
      <c r="C648" s="72" t="n">
        <v>2039</v>
      </c>
      <c r="D648" t="s">
        <v>184</v>
      </c>
      <c r="E648" s="73" t="n">
        <v>134327.262528747</v>
      </c>
      <c r="F648" s="74" t="n">
        <v>90692.8194801677</v>
      </c>
      <c r="G648" s="75" t="n">
        <v>135872.13136763</v>
      </c>
      <c r="H648" s="76" t="n">
        <v>91716.3663536023</v>
      </c>
      <c r="I648" s="77" t="str">
        <f>H648-F648</f>
      </c>
      <c r="J648" s="78" t="str">
        <f>G648-E648</f>
      </c>
    </row>
    <row r="649">
      <c r="A649" t="s">
        <v>212</v>
      </c>
      <c r="B649" t="s">
        <v>214</v>
      </c>
      <c r="C649" s="72" t="n">
        <v>2039</v>
      </c>
      <c r="D649" t="s">
        <v>187</v>
      </c>
      <c r="E649" s="73" t="n">
        <v>438689.440903485</v>
      </c>
      <c r="F649" s="74" t="n">
        <v>407428.974435584</v>
      </c>
      <c r="G649" s="75" t="n">
        <v>443905.980748337</v>
      </c>
      <c r="H649" s="76" t="n">
        <v>412120.21350488</v>
      </c>
      <c r="I649" s="77" t="str">
        <f>H649-F649</f>
      </c>
      <c r="J649" s="78" t="str">
        <f>G649-E649</f>
      </c>
    </row>
    <row r="650">
      <c r="A650" t="s">
        <v>212</v>
      </c>
      <c r="B650" t="s">
        <v>214</v>
      </c>
      <c r="C650" s="72" t="n">
        <v>2039</v>
      </c>
      <c r="D650" t="s">
        <v>190</v>
      </c>
      <c r="E650" s="73" t="n">
        <v>756986.936110054</v>
      </c>
      <c r="F650" s="74" t="n">
        <v>471289.451170345</v>
      </c>
      <c r="G650" s="75" t="n">
        <v>765528.467838857</v>
      </c>
      <c r="H650" s="76" t="n">
        <v>475269.787528918</v>
      </c>
      <c r="I650" s="77" t="str">
        <f>H650-F650</f>
      </c>
      <c r="J650" s="78" t="str">
        <f>G650-E650</f>
      </c>
    </row>
    <row r="651">
      <c r="A651" t="s">
        <v>212</v>
      </c>
      <c r="B651" t="s">
        <v>214</v>
      </c>
      <c r="C651" s="72" t="n">
        <v>2039</v>
      </c>
      <c r="D651" t="s">
        <v>193</v>
      </c>
      <c r="E651" s="73" t="n">
        <v>571122.063957073</v>
      </c>
      <c r="F651" s="74" t="n">
        <v>325513.715158671</v>
      </c>
      <c r="G651" s="75" t="n">
        <v>577414.514396235</v>
      </c>
      <c r="H651" s="76" t="n">
        <v>328246.401276368</v>
      </c>
      <c r="I651" s="77" t="str">
        <f>H651-F651</f>
      </c>
      <c r="J651" s="78" t="str">
        <f>G651-E651</f>
      </c>
    </row>
    <row r="652">
      <c r="A652" t="s">
        <v>212</v>
      </c>
      <c r="B652" t="s">
        <v>214</v>
      </c>
      <c r="C652" s="72" t="n">
        <v>2039</v>
      </c>
      <c r="D652" t="s">
        <v>424</v>
      </c>
      <c r="E652" s="73" t="n">
        <v>43592.2865900276</v>
      </c>
      <c r="F652" s="74" t="n">
        <v>7547.68547476556</v>
      </c>
      <c r="G652" s="75" t="n">
        <v>43588.845456637</v>
      </c>
      <c r="H652" s="76" t="n">
        <v>7547.5598608641</v>
      </c>
      <c r="I652" s="77" t="str">
        <f>H652-F652</f>
      </c>
      <c r="J652" s="78" t="str">
        <f>G652-E652</f>
      </c>
    </row>
    <row r="653">
      <c r="A653" t="s">
        <v>212</v>
      </c>
      <c r="B653" t="s">
        <v>214</v>
      </c>
      <c r="C653" s="72" t="n">
        <v>2040</v>
      </c>
      <c r="D653" t="s">
        <v>176</v>
      </c>
      <c r="E653" s="73" t="n">
        <v>19269.3447269072</v>
      </c>
      <c r="F653" s="74" t="n">
        <v>13711.9655039521</v>
      </c>
      <c r="G653" s="75" t="n">
        <v>19235.7365429273</v>
      </c>
      <c r="H653" s="76" t="n">
        <v>13698.9721681132</v>
      </c>
      <c r="I653" s="77" t="str">
        <f>H653-F653</f>
      </c>
      <c r="J653" s="78" t="str">
        <f>G653-E653</f>
      </c>
    </row>
    <row r="654">
      <c r="A654" t="s">
        <v>212</v>
      </c>
      <c r="B654" t="s">
        <v>214</v>
      </c>
      <c r="C654" s="72" t="n">
        <v>2040</v>
      </c>
      <c r="D654" t="s">
        <v>238</v>
      </c>
      <c r="E654" s="73" t="n">
        <v>1193310.53830575</v>
      </c>
      <c r="F654" s="74" t="n">
        <v>249945.043677823</v>
      </c>
      <c r="G654" s="75" t="n">
        <v>1192634.43006365</v>
      </c>
      <c r="H654" s="76" t="n">
        <v>249894.478827588</v>
      </c>
      <c r="I654" s="77" t="str">
        <f>H654-F654</f>
      </c>
      <c r="J654" s="78" t="str">
        <f>G654-E654</f>
      </c>
    </row>
    <row r="655">
      <c r="A655" t="s">
        <v>212</v>
      </c>
      <c r="B655" t="s">
        <v>214</v>
      </c>
      <c r="C655" s="72" t="n">
        <v>2040</v>
      </c>
      <c r="D655" t="s">
        <v>184</v>
      </c>
      <c r="E655" s="73" t="n">
        <v>137133.849142443</v>
      </c>
      <c r="F655" s="74" t="n">
        <v>92585.1670942533</v>
      </c>
      <c r="G655" s="75" t="n">
        <v>138689.796610277</v>
      </c>
      <c r="H655" s="76" t="n">
        <v>93636.8967600593</v>
      </c>
      <c r="I655" s="77" t="str">
        <f>H655-F655</f>
      </c>
      <c r="J655" s="78" t="str">
        <f>G655-E655</f>
      </c>
    </row>
    <row r="656">
      <c r="A656" t="s">
        <v>212</v>
      </c>
      <c r="B656" t="s">
        <v>214</v>
      </c>
      <c r="C656" s="72" t="n">
        <v>2040</v>
      </c>
      <c r="D656" t="s">
        <v>187</v>
      </c>
      <c r="E656" s="73" t="n">
        <v>445592.555836079</v>
      </c>
      <c r="F656" s="74" t="n">
        <v>413863.637429185</v>
      </c>
      <c r="G656" s="75" t="n">
        <v>450841.764596063</v>
      </c>
      <c r="H656" s="76" t="n">
        <v>418620.908948174</v>
      </c>
      <c r="I656" s="77" t="str">
        <f>H656-F656</f>
      </c>
      <c r="J656" s="78" t="str">
        <f>G656-E656</f>
      </c>
    </row>
    <row r="657">
      <c r="A657" t="s">
        <v>212</v>
      </c>
      <c r="B657" t="s">
        <v>214</v>
      </c>
      <c r="C657" s="72" t="n">
        <v>2040</v>
      </c>
      <c r="D657" t="s">
        <v>190</v>
      </c>
      <c r="E657" s="73" t="n">
        <v>768529.158436492</v>
      </c>
      <c r="F657" s="74" t="n">
        <v>480742.405642039</v>
      </c>
      <c r="G657" s="75" t="n">
        <v>777088.496702091</v>
      </c>
      <c r="H657" s="76" t="n">
        <v>484947.105425179</v>
      </c>
      <c r="I657" s="77" t="str">
        <f>H657-F657</f>
      </c>
      <c r="J657" s="78" t="str">
        <f>G657-E657</f>
      </c>
    </row>
    <row r="658">
      <c r="A658" t="s">
        <v>212</v>
      </c>
      <c r="B658" t="s">
        <v>214</v>
      </c>
      <c r="C658" s="72" t="n">
        <v>2040</v>
      </c>
      <c r="D658" t="s">
        <v>193</v>
      </c>
      <c r="E658" s="73" t="n">
        <v>583042.072217798</v>
      </c>
      <c r="F658" s="74" t="n">
        <v>335163.969805775</v>
      </c>
      <c r="G658" s="75" t="n">
        <v>589359.733832842</v>
      </c>
      <c r="H658" s="76" t="n">
        <v>338039.010430446</v>
      </c>
      <c r="I658" s="77" t="str">
        <f>H658-F658</f>
      </c>
      <c r="J658" s="78" t="str">
        <f>G658-E658</f>
      </c>
    </row>
    <row r="659">
      <c r="A659" t="s">
        <v>212</v>
      </c>
      <c r="B659" t="s">
        <v>214</v>
      </c>
      <c r="C659" s="72" t="n">
        <v>2040</v>
      </c>
      <c r="D659" t="s">
        <v>424</v>
      </c>
      <c r="E659" s="73" t="n">
        <v>43468.7615721652</v>
      </c>
      <c r="F659" s="74" t="n">
        <v>7573.87774108532</v>
      </c>
      <c r="G659" s="75" t="n">
        <v>43464.8596818836</v>
      </c>
      <c r="H659" s="76" t="n">
        <v>7573.72556082699</v>
      </c>
      <c r="I659" s="77" t="str">
        <f>H659-F659</f>
      </c>
      <c r="J659" s="78" t="str">
        <f>G659-E659</f>
      </c>
    </row>
    <row r="660">
      <c r="A660" t="s">
        <v>212</v>
      </c>
      <c r="B660" t="s">
        <v>214</v>
      </c>
      <c r="C660" s="72" t="n">
        <v>2041</v>
      </c>
      <c r="D660" t="s">
        <v>176</v>
      </c>
      <c r="E660" s="73" t="n">
        <v>19765.5137816834</v>
      </c>
      <c r="F660" s="74" t="n">
        <v>14006.9139590064</v>
      </c>
      <c r="G660" s="75" t="n">
        <v>19727.283486384</v>
      </c>
      <c r="H660" s="76" t="n">
        <v>13991.6066902828</v>
      </c>
      <c r="I660" s="77" t="str">
        <f>H660-F660</f>
      </c>
      <c r="J660" s="78" t="str">
        <f>G660-E660</f>
      </c>
    </row>
    <row r="661">
      <c r="A661" t="s">
        <v>212</v>
      </c>
      <c r="B661" t="s">
        <v>214</v>
      </c>
      <c r="C661" s="72" t="n">
        <v>2041</v>
      </c>
      <c r="D661" t="s">
        <v>238</v>
      </c>
      <c r="E661" s="73" t="n">
        <v>1200741.310437</v>
      </c>
      <c r="F661" s="74" t="n">
        <v>257660.302735254</v>
      </c>
      <c r="G661" s="75" t="n">
        <v>1199988.17586749</v>
      </c>
      <c r="H661" s="76" t="n">
        <v>257599.044002988</v>
      </c>
      <c r="I661" s="77" t="str">
        <f>H661-F661</f>
      </c>
      <c r="J661" s="78" t="str">
        <f>G661-E661</f>
      </c>
    </row>
    <row r="662">
      <c r="A662" t="s">
        <v>212</v>
      </c>
      <c r="B662" t="s">
        <v>214</v>
      </c>
      <c r="C662" s="72" t="n">
        <v>2041</v>
      </c>
      <c r="D662" t="s">
        <v>184</v>
      </c>
      <c r="E662" s="73" t="n">
        <v>139909.606158832</v>
      </c>
      <c r="F662" s="74" t="n">
        <v>94450.9553979178</v>
      </c>
      <c r="G662" s="75" t="n">
        <v>141475.570851386</v>
      </c>
      <c r="H662" s="76" t="n">
        <v>95527.0063786807</v>
      </c>
      <c r="I662" s="77" t="str">
        <f>H662-F662</f>
      </c>
      <c r="J662" s="78" t="str">
        <f>G662-E662</f>
      </c>
    </row>
    <row r="663">
      <c r="A663" t="s">
        <v>212</v>
      </c>
      <c r="B663" t="s">
        <v>214</v>
      </c>
      <c r="C663" s="72" t="n">
        <v>2041</v>
      </c>
      <c r="D663" t="s">
        <v>187</v>
      </c>
      <c r="E663" s="73" t="n">
        <v>452418.683252815</v>
      </c>
      <c r="F663" s="74" t="n">
        <v>420190.293211841</v>
      </c>
      <c r="G663" s="75" t="n">
        <v>457698.128134802</v>
      </c>
      <c r="H663" s="76" t="n">
        <v>425005.77720965</v>
      </c>
      <c r="I663" s="77" t="str">
        <f>H663-F663</f>
      </c>
      <c r="J663" s="78" t="str">
        <f>G663-E663</f>
      </c>
    </row>
    <row r="664">
      <c r="A664" t="s">
        <v>212</v>
      </c>
      <c r="B664" t="s">
        <v>214</v>
      </c>
      <c r="C664" s="72" t="n">
        <v>2041</v>
      </c>
      <c r="D664" t="s">
        <v>190</v>
      </c>
      <c r="E664" s="73" t="n">
        <v>779721.060781866</v>
      </c>
      <c r="F664" s="74" t="n">
        <v>489980.982931434</v>
      </c>
      <c r="G664" s="75" t="n">
        <v>788293.242756689</v>
      </c>
      <c r="H664" s="76" t="n">
        <v>494390.873248259</v>
      </c>
      <c r="I664" s="77" t="str">
        <f>H664-F664</f>
      </c>
      <c r="J664" s="78" t="str">
        <f>G664-E664</f>
      </c>
    </row>
    <row r="665">
      <c r="A665" t="s">
        <v>212</v>
      </c>
      <c r="B665" t="s">
        <v>214</v>
      </c>
      <c r="C665" s="72" t="n">
        <v>2041</v>
      </c>
      <c r="D665" t="s">
        <v>193</v>
      </c>
      <c r="E665" s="73" t="n">
        <v>594817.162774227</v>
      </c>
      <c r="F665" s="74" t="n">
        <v>344917.102925182</v>
      </c>
      <c r="G665" s="75" t="n">
        <v>601155.340946961</v>
      </c>
      <c r="H665" s="76" t="n">
        <v>347924.766327078</v>
      </c>
      <c r="I665" s="77" t="str">
        <f>H665-F665</f>
      </c>
      <c r="J665" s="78" t="str">
        <f>G665-E665</f>
      </c>
    </row>
    <row r="666">
      <c r="A666" t="s">
        <v>212</v>
      </c>
      <c r="B666" t="s">
        <v>214</v>
      </c>
      <c r="C666" s="72" t="n">
        <v>2041</v>
      </c>
      <c r="D666" t="s">
        <v>424</v>
      </c>
      <c r="E666" s="73" t="n">
        <v>43365.3076146826</v>
      </c>
      <c r="F666" s="74" t="n">
        <v>7596.17616708654</v>
      </c>
      <c r="G666" s="75" t="n">
        <v>43360.9356755525</v>
      </c>
      <c r="H666" s="76" t="n">
        <v>7595.99533386821</v>
      </c>
      <c r="I666" s="77" t="str">
        <f>H666-F666</f>
      </c>
      <c r="J666" s="78" t="str">
        <f>G666-E666</f>
      </c>
    </row>
    <row r="667">
      <c r="A667" t="s">
        <v>212</v>
      </c>
      <c r="B667" t="s">
        <v>214</v>
      </c>
      <c r="C667" s="72" t="n">
        <v>2042</v>
      </c>
      <c r="D667" t="s">
        <v>176</v>
      </c>
      <c r="E667" s="73" t="n">
        <v>20265.33663703</v>
      </c>
      <c r="F667" s="74" t="n">
        <v>14302.3913348919</v>
      </c>
      <c r="G667" s="75" t="n">
        <v>20222.2683991647</v>
      </c>
      <c r="H667" s="76" t="n">
        <v>14284.6169088399</v>
      </c>
      <c r="I667" s="77" t="str">
        <f>H667-F667</f>
      </c>
      <c r="J667" s="78" t="str">
        <f>G667-E667</f>
      </c>
    </row>
    <row r="668">
      <c r="A668" t="s">
        <v>212</v>
      </c>
      <c r="B668" t="s">
        <v>214</v>
      </c>
      <c r="C668" s="72" t="n">
        <v>2042</v>
      </c>
      <c r="D668" t="s">
        <v>238</v>
      </c>
      <c r="E668" s="73" t="n">
        <v>1207629.83193598</v>
      </c>
      <c r="F668" s="74" t="n">
        <v>265362.352760336</v>
      </c>
      <c r="G668" s="75" t="n">
        <v>1206799.58929471</v>
      </c>
      <c r="H668" s="76" t="n">
        <v>265289.409116733</v>
      </c>
      <c r="I668" s="77" t="str">
        <f>H668-F668</f>
      </c>
      <c r="J668" s="78" t="str">
        <f>G668-E668</f>
      </c>
    </row>
    <row r="669">
      <c r="A669" t="s">
        <v>212</v>
      </c>
      <c r="B669" t="s">
        <v>214</v>
      </c>
      <c r="C669" s="72" t="n">
        <v>2042</v>
      </c>
      <c r="D669" t="s">
        <v>184</v>
      </c>
      <c r="E669" s="73" t="n">
        <v>142672.97372431</v>
      </c>
      <c r="F669" s="74" t="n">
        <v>96308.8250344443</v>
      </c>
      <c r="G669" s="75" t="n">
        <v>144248.066926011</v>
      </c>
      <c r="H669" s="76" t="n">
        <v>97406.1569770963</v>
      </c>
      <c r="I669" s="77" t="str">
        <f>H669-F669</f>
      </c>
      <c r="J669" s="78" t="str">
        <f>G669-E669</f>
      </c>
    </row>
    <row r="670">
      <c r="A670" t="s">
        <v>212</v>
      </c>
      <c r="B670" t="s">
        <v>214</v>
      </c>
      <c r="C670" s="72" t="n">
        <v>2042</v>
      </c>
      <c r="D670" t="s">
        <v>187</v>
      </c>
      <c r="E670" s="73" t="n">
        <v>459179.578497245</v>
      </c>
      <c r="F670" s="74" t="n">
        <v>426528.626427023</v>
      </c>
      <c r="G670" s="75" t="n">
        <v>464487.038990191</v>
      </c>
      <c r="H670" s="76" t="n">
        <v>431397.042999706</v>
      </c>
      <c r="I670" s="77" t="str">
        <f>H670-F670</f>
      </c>
      <c r="J670" s="78" t="str">
        <f>G670-E670</f>
      </c>
    </row>
    <row r="671">
      <c r="A671" t="s">
        <v>212</v>
      </c>
      <c r="B671" t="s">
        <v>214</v>
      </c>
      <c r="C671" s="72" t="n">
        <v>2042</v>
      </c>
      <c r="D671" t="s">
        <v>190</v>
      </c>
      <c r="E671" s="73" t="n">
        <v>790645.152907384</v>
      </c>
      <c r="F671" s="74" t="n">
        <v>499006.589267552</v>
      </c>
      <c r="G671" s="75" t="n">
        <v>799225.499121645</v>
      </c>
      <c r="H671" s="76" t="n">
        <v>503603.803809569</v>
      </c>
      <c r="I671" s="77" t="str">
        <f>H671-F671</f>
      </c>
      <c r="J671" s="78" t="str">
        <f>G671-E671</f>
      </c>
    </row>
    <row r="672">
      <c r="A672" t="s">
        <v>212</v>
      </c>
      <c r="B672" t="s">
        <v>214</v>
      </c>
      <c r="C672" s="72" t="n">
        <v>2042</v>
      </c>
      <c r="D672" t="s">
        <v>193</v>
      </c>
      <c r="E672" s="73" t="n">
        <v>606311.344704193</v>
      </c>
      <c r="F672" s="74" t="n">
        <v>354799.254370243</v>
      </c>
      <c r="G672" s="75" t="n">
        <v>612664.177038008</v>
      </c>
      <c r="H672" s="76" t="n">
        <v>357930.939504437</v>
      </c>
      <c r="I672" s="77" t="str">
        <f>H672-F672</f>
      </c>
      <c r="J672" s="78" t="str">
        <f>G672-E672</f>
      </c>
    </row>
    <row r="673">
      <c r="A673" t="s">
        <v>212</v>
      </c>
      <c r="B673" t="s">
        <v>214</v>
      </c>
      <c r="C673" s="72" t="n">
        <v>2042</v>
      </c>
      <c r="D673" t="s">
        <v>424</v>
      </c>
      <c r="E673" s="73" t="n">
        <v>43283.5787178112</v>
      </c>
      <c r="F673" s="74" t="n">
        <v>7616.80438685741</v>
      </c>
      <c r="G673" s="75" t="n">
        <v>43278.7284816073</v>
      </c>
      <c r="H673" s="76" t="n">
        <v>7616.59280355029</v>
      </c>
      <c r="I673" s="77" t="str">
        <f>H673-F673</f>
      </c>
      <c r="J673" s="78" t="str">
        <f>G673-E673</f>
      </c>
    </row>
    <row r="674">
      <c r="A674" t="s">
        <v>212</v>
      </c>
      <c r="B674" t="s">
        <v>214</v>
      </c>
      <c r="C674" s="72" t="n">
        <v>2043</v>
      </c>
      <c r="D674" t="s">
        <v>176</v>
      </c>
      <c r="E674" s="73" t="n">
        <v>20768.6809158536</v>
      </c>
      <c r="F674" s="74" t="n">
        <v>14593.2740633859</v>
      </c>
      <c r="G674" s="75" t="n">
        <v>20720.5482054553</v>
      </c>
      <c r="H674" s="76" t="n">
        <v>14572.8831532714</v>
      </c>
      <c r="I674" s="77" t="str">
        <f>H674-F674</f>
      </c>
      <c r="J674" s="78" t="str">
        <f>G674-E674</f>
      </c>
    </row>
    <row r="675">
      <c r="A675" t="s">
        <v>212</v>
      </c>
      <c r="B675" t="s">
        <v>214</v>
      </c>
      <c r="C675" s="72" t="n">
        <v>2043</v>
      </c>
      <c r="D675" t="s">
        <v>238</v>
      </c>
      <c r="E675" s="73" t="n">
        <v>1213956.51072192</v>
      </c>
      <c r="F675" s="74" t="n">
        <v>273036.028477711</v>
      </c>
      <c r="G675" s="75" t="n">
        <v>1213049.26096591</v>
      </c>
      <c r="H675" s="76" t="n">
        <v>272950.435419178</v>
      </c>
      <c r="I675" s="77" t="str">
        <f>H675-F675</f>
      </c>
      <c r="J675" s="78" t="str">
        <f>G675-E675</f>
      </c>
    </row>
    <row r="676">
      <c r="A676" t="s">
        <v>212</v>
      </c>
      <c r="B676" t="s">
        <v>214</v>
      </c>
      <c r="C676" s="72" t="n">
        <v>2043</v>
      </c>
      <c r="D676" t="s">
        <v>184</v>
      </c>
      <c r="E676" s="73" t="n">
        <v>145410.656342169</v>
      </c>
      <c r="F676" s="74" t="n">
        <v>98155.4080195773</v>
      </c>
      <c r="G676" s="75" t="n">
        <v>146993.814208207</v>
      </c>
      <c r="H676" s="76" t="n">
        <v>99271.3911680729</v>
      </c>
      <c r="I676" s="77" t="str">
        <f>H676-F676</f>
      </c>
      <c r="J676" s="78" t="str">
        <f>G676-E676</f>
      </c>
    </row>
    <row r="677">
      <c r="A677" t="s">
        <v>212</v>
      </c>
      <c r="B677" t="s">
        <v>214</v>
      </c>
      <c r="C677" s="72" t="n">
        <v>2043</v>
      </c>
      <c r="D677" t="s">
        <v>187</v>
      </c>
      <c r="E677" s="73" t="n">
        <v>465822.145642135</v>
      </c>
      <c r="F677" s="74" t="n">
        <v>432764.376072748</v>
      </c>
      <c r="G677" s="75" t="n">
        <v>471154.839580669</v>
      </c>
      <c r="H677" s="76" t="n">
        <v>437679.988471842</v>
      </c>
      <c r="I677" s="77" t="str">
        <f>H677-F677</f>
      </c>
      <c r="J677" s="78" t="str">
        <f>G677-E677</f>
      </c>
    </row>
    <row r="678">
      <c r="A678" t="s">
        <v>212</v>
      </c>
      <c r="B678" t="s">
        <v>214</v>
      </c>
      <c r="C678" s="72" t="n">
        <v>2043</v>
      </c>
      <c r="D678" t="s">
        <v>190</v>
      </c>
      <c r="E678" s="73" t="n">
        <v>801429.671154389</v>
      </c>
      <c r="F678" s="74" t="n">
        <v>507842.345451255</v>
      </c>
      <c r="G678" s="75" t="n">
        <v>810014.772834319</v>
      </c>
      <c r="H678" s="76" t="n">
        <v>512610.449179313</v>
      </c>
      <c r="I678" s="77" t="str">
        <f>H678-F678</f>
      </c>
      <c r="J678" s="78" t="str">
        <f>G678-E678</f>
      </c>
    </row>
    <row r="679">
      <c r="A679" t="s">
        <v>212</v>
      </c>
      <c r="B679" t="s">
        <v>214</v>
      </c>
      <c r="C679" s="72" t="n">
        <v>2043</v>
      </c>
      <c r="D679" t="s">
        <v>193</v>
      </c>
      <c r="E679" s="73" t="n">
        <v>617590.700051906</v>
      </c>
      <c r="F679" s="74" t="n">
        <v>364712.264924169</v>
      </c>
      <c r="G679" s="75" t="n">
        <v>623953.356494139</v>
      </c>
      <c r="H679" s="76" t="n">
        <v>367959.059248153</v>
      </c>
      <c r="I679" s="77" t="str">
        <f>H679-F679</f>
      </c>
      <c r="J679" s="78" t="str">
        <f>G679-E679</f>
      </c>
    </row>
    <row r="680">
      <c r="A680" t="s">
        <v>212</v>
      </c>
      <c r="B680" t="s">
        <v>214</v>
      </c>
      <c r="C680" s="72" t="n">
        <v>2043</v>
      </c>
      <c r="D680" t="s">
        <v>424</v>
      </c>
      <c r="E680" s="73" t="n">
        <v>43237.4748448893</v>
      </c>
      <c r="F680" s="74" t="n">
        <v>7634.88253051689</v>
      </c>
      <c r="G680" s="75" t="n">
        <v>43232.1385441846</v>
      </c>
      <c r="H680" s="76" t="n">
        <v>7634.63809790975</v>
      </c>
      <c r="I680" s="77" t="str">
        <f>H680-F680</f>
      </c>
      <c r="J680" s="78" t="str">
        <f>G680-E680</f>
      </c>
    </row>
    <row r="681">
      <c r="A681" t="s">
        <v>212</v>
      </c>
      <c r="B681" t="s">
        <v>214</v>
      </c>
      <c r="C681" s="72" t="n">
        <v>2044</v>
      </c>
      <c r="D681" t="s">
        <v>176</v>
      </c>
      <c r="E681" s="73" t="n">
        <v>21273.6763644227</v>
      </c>
      <c r="F681" s="74" t="n">
        <v>14884.5815708599</v>
      </c>
      <c r="G681" s="75" t="n">
        <v>21220.2473713984</v>
      </c>
      <c r="H681" s="76" t="n">
        <v>14861.4315691186</v>
      </c>
      <c r="I681" s="77" t="str">
        <f>H681-F681</f>
      </c>
      <c r="J681" s="78" t="str">
        <f>G681-E681</f>
      </c>
    </row>
    <row r="682">
      <c r="A682" t="s">
        <v>212</v>
      </c>
      <c r="B682" t="s">
        <v>214</v>
      </c>
      <c r="C682" s="72" t="n">
        <v>2044</v>
      </c>
      <c r="D682" t="s">
        <v>238</v>
      </c>
      <c r="E682" s="73" t="n">
        <v>1219972.47547403</v>
      </c>
      <c r="F682" s="74" t="n">
        <v>280605.613983682</v>
      </c>
      <c r="G682" s="75" t="n">
        <v>1218988.4670045</v>
      </c>
      <c r="H682" s="76" t="n">
        <v>280506.441535508</v>
      </c>
      <c r="I682" s="77" t="str">
        <f>H682-F682</f>
      </c>
      <c r="J682" s="78" t="str">
        <f>G682-E682</f>
      </c>
    </row>
    <row r="683">
      <c r="A683" t="s">
        <v>212</v>
      </c>
      <c r="B683" t="s">
        <v>214</v>
      </c>
      <c r="C683" s="72" t="n">
        <v>2044</v>
      </c>
      <c r="D683" t="s">
        <v>184</v>
      </c>
      <c r="E683" s="73" t="n">
        <v>148106.256670638</v>
      </c>
      <c r="F683" s="74" t="n">
        <v>99980.0300267488</v>
      </c>
      <c r="G683" s="75" t="n">
        <v>149696.213967301</v>
      </c>
      <c r="H683" s="76" t="n">
        <v>101112.290089553</v>
      </c>
      <c r="I683" s="77" t="str">
        <f>H683-F683</f>
      </c>
      <c r="J683" s="78" t="str">
        <f>G683-E683</f>
      </c>
    </row>
    <row r="684">
      <c r="A684" t="s">
        <v>212</v>
      </c>
      <c r="B684" t="s">
        <v>214</v>
      </c>
      <c r="C684" s="72" t="n">
        <v>2044</v>
      </c>
      <c r="D684" t="s">
        <v>187</v>
      </c>
      <c r="E684" s="73" t="n">
        <v>472227.424119087</v>
      </c>
      <c r="F684" s="74" t="n">
        <v>438843.515399351</v>
      </c>
      <c r="G684" s="75" t="n">
        <v>477581.314836645</v>
      </c>
      <c r="H684" s="76" t="n">
        <v>443800.637197395</v>
      </c>
      <c r="I684" s="77" t="str">
        <f>H684-F684</f>
      </c>
      <c r="J684" s="78" t="str">
        <f>G684-E684</f>
      </c>
    </row>
    <row r="685">
      <c r="A685" t="s">
        <v>212</v>
      </c>
      <c r="B685" t="s">
        <v>214</v>
      </c>
      <c r="C685" s="72" t="n">
        <v>2044</v>
      </c>
      <c r="D685" t="s">
        <v>190</v>
      </c>
      <c r="E685" s="73" t="n">
        <v>812155.199120031</v>
      </c>
      <c r="F685" s="74" t="n">
        <v>516496.068423681</v>
      </c>
      <c r="G685" s="75" t="n">
        <v>820742.370121934</v>
      </c>
      <c r="H685" s="76" t="n">
        <v>521420.170330997</v>
      </c>
      <c r="I685" s="77" t="str">
        <f>H685-F685</f>
      </c>
      <c r="J685" s="78" t="str">
        <f>G685-E685</f>
      </c>
    </row>
    <row r="686">
      <c r="A686" t="s">
        <v>212</v>
      </c>
      <c r="B686" t="s">
        <v>214</v>
      </c>
      <c r="C686" s="72" t="n">
        <v>2044</v>
      </c>
      <c r="D686" t="s">
        <v>193</v>
      </c>
      <c r="E686" s="73" t="n">
        <v>628656.529233284</v>
      </c>
      <c r="F686" s="74" t="n">
        <v>374565.718414854</v>
      </c>
      <c r="G686" s="75" t="n">
        <v>635024.546467649</v>
      </c>
      <c r="H686" s="76" t="n">
        <v>377918.589898958</v>
      </c>
      <c r="I686" s="77" t="str">
        <f>H686-F686</f>
      </c>
      <c r="J686" s="78" t="str">
        <f>G686-E686</f>
      </c>
    </row>
    <row r="687">
      <c r="A687" t="s">
        <v>212</v>
      </c>
      <c r="B687" t="s">
        <v>214</v>
      </c>
      <c r="C687" s="72" t="n">
        <v>2044</v>
      </c>
      <c r="D687" t="s">
        <v>424</v>
      </c>
      <c r="E687" s="73" t="n">
        <v>43208.4589766857</v>
      </c>
      <c r="F687" s="74" t="n">
        <v>7653.00121178538</v>
      </c>
      <c r="G687" s="75" t="n">
        <v>43202.6300388595</v>
      </c>
      <c r="H687" s="76" t="n">
        <v>7652.72182573668</v>
      </c>
      <c r="I687" s="77" t="str">
        <f>H687-F687</f>
      </c>
      <c r="J687" s="78" t="str">
        <f>G687-E687</f>
      </c>
    </row>
    <row r="688">
      <c r="A688" t="s">
        <v>212</v>
      </c>
      <c r="B688" t="s">
        <v>214</v>
      </c>
      <c r="C688" s="72" t="n">
        <v>2045</v>
      </c>
      <c r="D688" t="s">
        <v>176</v>
      </c>
      <c r="E688" s="73" t="n">
        <v>21776.5611983901</v>
      </c>
      <c r="F688" s="74" t="n">
        <v>15174.3427215251</v>
      </c>
      <c r="G688" s="75" t="n">
        <v>21717.6165215297</v>
      </c>
      <c r="H688" s="76" t="n">
        <v>15148.2979562423</v>
      </c>
      <c r="I688" s="77" t="str">
        <f>H688-F688</f>
      </c>
      <c r="J688" s="78" t="str">
        <f>G688-E688</f>
      </c>
    </row>
    <row r="689">
      <c r="A689" t="s">
        <v>212</v>
      </c>
      <c r="B689" t="s">
        <v>214</v>
      </c>
      <c r="C689" s="72" t="n">
        <v>2045</v>
      </c>
      <c r="D689" t="s">
        <v>238</v>
      </c>
      <c r="E689" s="73" t="n">
        <v>1225729.19957888</v>
      </c>
      <c r="F689" s="74" t="n">
        <v>288038.690551635</v>
      </c>
      <c r="G689" s="75" t="n">
        <v>1224668.96644768</v>
      </c>
      <c r="H689" s="76" t="n">
        <v>287925.043222784</v>
      </c>
      <c r="I689" s="77" t="str">
        <f>H689-F689</f>
      </c>
      <c r="J689" s="78" t="str">
        <f>G689-E689</f>
      </c>
    </row>
    <row r="690">
      <c r="A690" t="s">
        <v>212</v>
      </c>
      <c r="B690" t="s">
        <v>214</v>
      </c>
      <c r="C690" s="72" t="n">
        <v>2045</v>
      </c>
      <c r="D690" t="s">
        <v>184</v>
      </c>
      <c r="E690" s="73" t="n">
        <v>150742.727434244</v>
      </c>
      <c r="F690" s="74" t="n">
        <v>101788.776415548</v>
      </c>
      <c r="G690" s="75" t="n">
        <v>152338.052815886</v>
      </c>
      <c r="H690" s="76" t="n">
        <v>102935.314985138</v>
      </c>
      <c r="I690" s="77" t="str">
        <f>H690-F690</f>
      </c>
      <c r="J690" s="78" t="str">
        <f>G690-E690</f>
      </c>
    </row>
    <row r="691">
      <c r="A691" t="s">
        <v>212</v>
      </c>
      <c r="B691" t="s">
        <v>214</v>
      </c>
      <c r="C691" s="72" t="n">
        <v>2045</v>
      </c>
      <c r="D691" t="s">
        <v>187</v>
      </c>
      <c r="E691" s="73" t="n">
        <v>478352.72193144</v>
      </c>
      <c r="F691" s="74" t="n">
        <v>444724.564401368</v>
      </c>
      <c r="G691" s="75" t="n">
        <v>483723.516122198</v>
      </c>
      <c r="H691" s="76" t="n">
        <v>449717.558047709</v>
      </c>
      <c r="I691" s="77" t="str">
        <f>H691-F691</f>
      </c>
      <c r="J691" s="78" t="str">
        <f>G691-E691</f>
      </c>
    </row>
    <row r="692">
      <c r="A692" t="s">
        <v>212</v>
      </c>
      <c r="B692" t="s">
        <v>214</v>
      </c>
      <c r="C692" s="72" t="n">
        <v>2045</v>
      </c>
      <c r="D692" t="s">
        <v>190</v>
      </c>
      <c r="E692" s="73" t="n">
        <v>822883.291254057</v>
      </c>
      <c r="F692" s="74" t="n">
        <v>524928.462598082</v>
      </c>
      <c r="G692" s="75" t="n">
        <v>831470.210098177</v>
      </c>
      <c r="H692" s="76" t="n">
        <v>529994.226959208</v>
      </c>
      <c r="I692" s="77" t="str">
        <f>H692-F692</f>
      </c>
      <c r="J692" s="78" t="str">
        <f>G692-E692</f>
      </c>
    </row>
    <row r="693">
      <c r="A693" t="s">
        <v>212</v>
      </c>
      <c r="B693" t="s">
        <v>214</v>
      </c>
      <c r="C693" s="72" t="n">
        <v>2045</v>
      </c>
      <c r="D693" t="s">
        <v>193</v>
      </c>
      <c r="E693" s="73" t="n">
        <v>639362.720022147</v>
      </c>
      <c r="F693" s="74" t="n">
        <v>384300.779922556</v>
      </c>
      <c r="G693" s="75" t="n">
        <v>645730.44769896</v>
      </c>
      <c r="H693" s="76" t="n">
        <v>387750.678781898</v>
      </c>
      <c r="I693" s="77" t="str">
        <f>H693-F693</f>
      </c>
      <c r="J693" s="78" t="str">
        <f>G693-E693</f>
      </c>
    </row>
    <row r="694">
      <c r="A694" t="s">
        <v>212</v>
      </c>
      <c r="B694" t="s">
        <v>214</v>
      </c>
      <c r="C694" s="72" t="n">
        <v>2045</v>
      </c>
      <c r="D694" t="s">
        <v>424</v>
      </c>
      <c r="E694" s="73" t="n">
        <v>43196.93079855</v>
      </c>
      <c r="F694" s="74" t="n">
        <v>7672.38464837745</v>
      </c>
      <c r="G694" s="75" t="n">
        <v>43190.6037513161</v>
      </c>
      <c r="H694" s="76" t="n">
        <v>7672.06822678464</v>
      </c>
      <c r="I694" s="77" t="str">
        <f>H694-F694</f>
      </c>
      <c r="J694" s="78" t="str">
        <f>G694-E694</f>
      </c>
    </row>
    <row r="695">
      <c r="A695" t="s">
        <v>212</v>
      </c>
      <c r="B695" t="s">
        <v>214</v>
      </c>
      <c r="C695" s="72" t="n">
        <v>2046</v>
      </c>
      <c r="D695" t="s">
        <v>176</v>
      </c>
      <c r="E695" s="73" t="n">
        <v>22275.6448689725</v>
      </c>
      <c r="F695" s="74" t="n">
        <v>15465.9796280926</v>
      </c>
      <c r="G695" s="75" t="n">
        <v>22210.9745219107</v>
      </c>
      <c r="H695" s="76" t="n">
        <v>15436.8918612077</v>
      </c>
      <c r="I695" s="77" t="str">
        <f>H695-F695</f>
      </c>
      <c r="J695" s="78" t="str">
        <f>G695-E695</f>
      </c>
    </row>
    <row r="696">
      <c r="A696" t="s">
        <v>212</v>
      </c>
      <c r="B696" t="s">
        <v>214</v>
      </c>
      <c r="C696" s="72" t="n">
        <v>2046</v>
      </c>
      <c r="D696" t="s">
        <v>238</v>
      </c>
      <c r="E696" s="73" t="n">
        <v>1231260.72876878</v>
      </c>
      <c r="F696" s="74" t="n">
        <v>295294.874789752</v>
      </c>
      <c r="G696" s="75" t="n">
        <v>1230125.0687767</v>
      </c>
      <c r="H696" s="76" t="n">
        <v>295165.877208802</v>
      </c>
      <c r="I696" s="77" t="str">
        <f>H696-F696</f>
      </c>
      <c r="J696" s="78" t="str">
        <f>G696-E696</f>
      </c>
    </row>
    <row r="697">
      <c r="A697" t="s">
        <v>212</v>
      </c>
      <c r="B697" t="s">
        <v>214</v>
      </c>
      <c r="C697" s="72" t="n">
        <v>2046</v>
      </c>
      <c r="D697" t="s">
        <v>184</v>
      </c>
      <c r="E697" s="73" t="n">
        <v>153319.914887049</v>
      </c>
      <c r="F697" s="74" t="n">
        <v>103572.19662182</v>
      </c>
      <c r="G697" s="75" t="n">
        <v>154919.185199882</v>
      </c>
      <c r="H697" s="76" t="n">
        <v>104731.133984312</v>
      </c>
      <c r="I697" s="77" t="str">
        <f>H697-F697</f>
      </c>
      <c r="J697" s="78" t="str">
        <f>G697-E697</f>
      </c>
    </row>
    <row r="698">
      <c r="A698" t="s">
        <v>212</v>
      </c>
      <c r="B698" t="s">
        <v>214</v>
      </c>
      <c r="C698" s="72" t="n">
        <v>2046</v>
      </c>
      <c r="D698" t="s">
        <v>187</v>
      </c>
      <c r="E698" s="73" t="n">
        <v>484176.286435582</v>
      </c>
      <c r="F698" s="74" t="n">
        <v>450287.695111991</v>
      </c>
      <c r="G698" s="75" t="n">
        <v>489559.569488497</v>
      </c>
      <c r="H698" s="76" t="n">
        <v>455310.080020589</v>
      </c>
      <c r="I698" s="77" t="str">
        <f>H698-F698</f>
      </c>
      <c r="J698" s="78" t="str">
        <f>G698-E698</f>
      </c>
    </row>
    <row r="699">
      <c r="A699" t="s">
        <v>212</v>
      </c>
      <c r="B699" t="s">
        <v>214</v>
      </c>
      <c r="C699" s="72" t="n">
        <v>2046</v>
      </c>
      <c r="D699" t="s">
        <v>190</v>
      </c>
      <c r="E699" s="73" t="n">
        <v>833439.601849941</v>
      </c>
      <c r="F699" s="74" t="n">
        <v>533245.699665653</v>
      </c>
      <c r="G699" s="75" t="n">
        <v>842022.211146035</v>
      </c>
      <c r="H699" s="76" t="n">
        <v>538440.168228285</v>
      </c>
      <c r="I699" s="77" t="str">
        <f>H699-F699</f>
      </c>
      <c r="J699" s="78" t="str">
        <f>G699-E699</f>
      </c>
    </row>
    <row r="700">
      <c r="A700" t="s">
        <v>212</v>
      </c>
      <c r="B700" t="s">
        <v>214</v>
      </c>
      <c r="C700" s="72" t="n">
        <v>2046</v>
      </c>
      <c r="D700" t="s">
        <v>193</v>
      </c>
      <c r="E700" s="73" t="n">
        <v>649661.860783083</v>
      </c>
      <c r="F700" s="74" t="n">
        <v>393893.844358774</v>
      </c>
      <c r="G700" s="75" t="n">
        <v>656023.203848247</v>
      </c>
      <c r="H700" s="76" t="n">
        <v>397431.950602612</v>
      </c>
      <c r="I700" s="77" t="str">
        <f>H700-F700</f>
      </c>
      <c r="J700" s="78" t="str">
        <f>G700-E700</f>
      </c>
    </row>
    <row r="701">
      <c r="A701" t="s">
        <v>212</v>
      </c>
      <c r="B701" t="s">
        <v>214</v>
      </c>
      <c r="C701" s="72" t="n">
        <v>2046</v>
      </c>
      <c r="D701" t="s">
        <v>424</v>
      </c>
      <c r="E701" s="73" t="n">
        <v>43203.1412569206</v>
      </c>
      <c r="F701" s="74" t="n">
        <v>7693.91247359034</v>
      </c>
      <c r="G701" s="75" t="n">
        <v>43196.3103231123</v>
      </c>
      <c r="H701" s="76" t="n">
        <v>7693.55704865625</v>
      </c>
      <c r="I701" s="77" t="str">
        <f>H701-F701</f>
      </c>
      <c r="J701" s="78" t="str">
        <f>G701-E701</f>
      </c>
    </row>
    <row r="702">
      <c r="A702" t="s">
        <v>212</v>
      </c>
      <c r="B702" t="s">
        <v>214</v>
      </c>
      <c r="C702" s="72" t="n">
        <v>2047</v>
      </c>
      <c r="D702" t="s">
        <v>176</v>
      </c>
      <c r="E702" s="73" t="n">
        <v>22770.2601756502</v>
      </c>
      <c r="F702" s="74" t="n">
        <v>15760.7749404283</v>
      </c>
      <c r="G702" s="75" t="n">
        <v>22699.6629629007</v>
      </c>
      <c r="H702" s="76" t="n">
        <v>15728.4854947303</v>
      </c>
      <c r="I702" s="77" t="str">
        <f>H702-F702</f>
      </c>
      <c r="J702" s="78" t="str">
        <f>G702-E702</f>
      </c>
    </row>
    <row r="703">
      <c r="A703" t="s">
        <v>212</v>
      </c>
      <c r="B703" t="s">
        <v>214</v>
      </c>
      <c r="C703" s="72" t="n">
        <v>2047</v>
      </c>
      <c r="D703" t="s">
        <v>238</v>
      </c>
      <c r="E703" s="73" t="n">
        <v>1236484.69021183</v>
      </c>
      <c r="F703" s="74" t="n">
        <v>302325.764210446</v>
      </c>
      <c r="G703" s="75" t="n">
        <v>1235274.66521773</v>
      </c>
      <c r="H703" s="76" t="n">
        <v>302180.550312501</v>
      </c>
      <c r="I703" s="77" t="str">
        <f>H703-F703</f>
      </c>
      <c r="J703" s="78" t="str">
        <f>G703-E703</f>
      </c>
    </row>
    <row r="704">
      <c r="A704" t="s">
        <v>212</v>
      </c>
      <c r="B704" t="s">
        <v>214</v>
      </c>
      <c r="C704" s="72" t="n">
        <v>2047</v>
      </c>
      <c r="D704" t="s">
        <v>184</v>
      </c>
      <c r="E704" s="73" t="n">
        <v>155834.171306259</v>
      </c>
      <c r="F704" s="74" t="n">
        <v>105318.141285315</v>
      </c>
      <c r="G704" s="75" t="n">
        <v>157435.937342911</v>
      </c>
      <c r="H704" s="76" t="n">
        <v>106487.677760342</v>
      </c>
      <c r="I704" s="77" t="str">
        <f>H704-F704</f>
      </c>
      <c r="J704" s="78" t="str">
        <f>G704-E704</f>
      </c>
    </row>
    <row r="705">
      <c r="A705" t="s">
        <v>212</v>
      </c>
      <c r="B705" t="s">
        <v>214</v>
      </c>
      <c r="C705" s="72" t="n">
        <v>2047</v>
      </c>
      <c r="D705" t="s">
        <v>187</v>
      </c>
      <c r="E705" s="73" t="n">
        <v>489656.365330407</v>
      </c>
      <c r="F705" s="74" t="n">
        <v>455494.101014834</v>
      </c>
      <c r="G705" s="75" t="n">
        <v>495047.331680699</v>
      </c>
      <c r="H705" s="76" t="n">
        <v>460539.427749469</v>
      </c>
      <c r="I705" s="77" t="str">
        <f>H705-F705</f>
      </c>
      <c r="J705" s="78" t="str">
        <f>G705-E705</f>
      </c>
    </row>
    <row r="706">
      <c r="A706" t="s">
        <v>212</v>
      </c>
      <c r="B706" t="s">
        <v>214</v>
      </c>
      <c r="C706" s="72" t="n">
        <v>2047</v>
      </c>
      <c r="D706" t="s">
        <v>190</v>
      </c>
      <c r="E706" s="73" t="n">
        <v>843782.430590285</v>
      </c>
      <c r="F706" s="74" t="n">
        <v>541580.991257336</v>
      </c>
      <c r="G706" s="75" t="n">
        <v>852357.036896631</v>
      </c>
      <c r="H706" s="76" t="n">
        <v>546892.884748123</v>
      </c>
      <c r="I706" s="77" t="str">
        <f>H706-F706</f>
      </c>
      <c r="J706" s="78" t="str">
        <f>G706-E706</f>
      </c>
    </row>
    <row r="707">
      <c r="A707" t="s">
        <v>212</v>
      </c>
      <c r="B707" t="s">
        <v>214</v>
      </c>
      <c r="C707" s="72" t="n">
        <v>2047</v>
      </c>
      <c r="D707" t="s">
        <v>193</v>
      </c>
      <c r="E707" s="73" t="n">
        <v>659611.087496935</v>
      </c>
      <c r="F707" s="74" t="n">
        <v>403321.009641533</v>
      </c>
      <c r="G707" s="75" t="n">
        <v>665960.530537607</v>
      </c>
      <c r="H707" s="76" t="n">
        <v>406938.309858621</v>
      </c>
      <c r="I707" s="77" t="str">
        <f>H707-F707</f>
      </c>
      <c r="J707" s="78" t="str">
        <f>G707-E707</f>
      </c>
    </row>
    <row r="708">
      <c r="A708" t="s">
        <v>212</v>
      </c>
      <c r="B708" t="s">
        <v>214</v>
      </c>
      <c r="C708" s="72" t="n">
        <v>2047</v>
      </c>
      <c r="D708" t="s">
        <v>424</v>
      </c>
      <c r="E708" s="73" t="n">
        <v>43224.9753504145</v>
      </c>
      <c r="F708" s="74" t="n">
        <v>7716.66083513588</v>
      </c>
      <c r="G708" s="75" t="n">
        <v>43217.6341923504</v>
      </c>
      <c r="H708" s="76" t="n">
        <v>7716.26452507886</v>
      </c>
      <c r="I708" s="77" t="str">
        <f>H708-F708</f>
      </c>
      <c r="J708" s="78" t="str">
        <f>G708-E708</f>
      </c>
    </row>
    <row r="709">
      <c r="A709" t="s">
        <v>212</v>
      </c>
      <c r="B709" t="s">
        <v>214</v>
      </c>
      <c r="C709" s="72" t="n">
        <v>2048</v>
      </c>
      <c r="D709" t="s">
        <v>176</v>
      </c>
      <c r="E709" s="73" t="n">
        <v>23256.4796562781</v>
      </c>
      <c r="F709" s="74" t="n">
        <v>16060.8459853148</v>
      </c>
      <c r="G709" s="75" t="n">
        <v>23179.7775298232</v>
      </c>
      <c r="H709" s="76" t="n">
        <v>16025.2187605858</v>
      </c>
      <c r="I709" s="77" t="str">
        <f>H709-F709</f>
      </c>
      <c r="J709" s="78" t="str">
        <f>G709-E709</f>
      </c>
    </row>
    <row r="710">
      <c r="A710" t="s">
        <v>212</v>
      </c>
      <c r="B710" t="s">
        <v>214</v>
      </c>
      <c r="C710" s="72" t="n">
        <v>2048</v>
      </c>
      <c r="D710" t="s">
        <v>238</v>
      </c>
      <c r="E710" s="73" t="n">
        <v>1241492.26861574</v>
      </c>
      <c r="F710" s="74" t="n">
        <v>309126.551410847</v>
      </c>
      <c r="G710" s="75" t="n">
        <v>1240209.10376068</v>
      </c>
      <c r="H710" s="76" t="n">
        <v>308964.310377282</v>
      </c>
      <c r="I710" s="77" t="str">
        <f>H710-F710</f>
      </c>
      <c r="J710" s="78" t="str">
        <f>G710-E710</f>
      </c>
    </row>
    <row r="711">
      <c r="A711" t="s">
        <v>212</v>
      </c>
      <c r="B711" t="s">
        <v>214</v>
      </c>
      <c r="C711" s="72" t="n">
        <v>2048</v>
      </c>
      <c r="D711" t="s">
        <v>184</v>
      </c>
      <c r="E711" s="73" t="n">
        <v>158274.286182282</v>
      </c>
      <c r="F711" s="74" t="n">
        <v>107026.748139715</v>
      </c>
      <c r="G711" s="75" t="n">
        <v>159877.069557409</v>
      </c>
      <c r="H711" s="76" t="n">
        <v>108205.309376064</v>
      </c>
      <c r="I711" s="77" t="str">
        <f>H711-F711</f>
      </c>
      <c r="J711" s="78" t="str">
        <f>G711-E711</f>
      </c>
    </row>
    <row r="712">
      <c r="A712" t="s">
        <v>212</v>
      </c>
      <c r="B712" t="s">
        <v>214</v>
      </c>
      <c r="C712" s="72" t="n">
        <v>2048</v>
      </c>
      <c r="D712" t="s">
        <v>187</v>
      </c>
      <c r="E712" s="73" t="n">
        <v>494857.082448538</v>
      </c>
      <c r="F712" s="74" t="n">
        <v>460494.438303756</v>
      </c>
      <c r="G712" s="75" t="n">
        <v>500251.963676638</v>
      </c>
      <c r="H712" s="76" t="n">
        <v>465558.478994868</v>
      </c>
      <c r="I712" s="77" t="str">
        <f>H712-F712</f>
      </c>
      <c r="J712" s="78" t="str">
        <f>G712-E712</f>
      </c>
    </row>
    <row r="713">
      <c r="A713" t="s">
        <v>212</v>
      </c>
      <c r="B713" t="s">
        <v>214</v>
      </c>
      <c r="C713" s="72" t="n">
        <v>2048</v>
      </c>
      <c r="D713" t="s">
        <v>190</v>
      </c>
      <c r="E713" s="73" t="n">
        <v>853858.636767011</v>
      </c>
      <c r="F713" s="74" t="n">
        <v>549801.542965087</v>
      </c>
      <c r="G713" s="75" t="n">
        <v>862421.197666068</v>
      </c>
      <c r="H713" s="76" t="n">
        <v>555219.254274076</v>
      </c>
      <c r="I713" s="77" t="str">
        <f>H713-F713</f>
      </c>
      <c r="J713" s="78" t="str">
        <f>G713-E713</f>
      </c>
    </row>
    <row r="714">
      <c r="A714" t="s">
        <v>212</v>
      </c>
      <c r="B714" t="s">
        <v>214</v>
      </c>
      <c r="C714" s="72" t="n">
        <v>2048</v>
      </c>
      <c r="D714" t="s">
        <v>193</v>
      </c>
      <c r="E714" s="73" t="n">
        <v>669205.59340793</v>
      </c>
      <c r="F714" s="74" t="n">
        <v>412533.935000969</v>
      </c>
      <c r="G714" s="75" t="n">
        <v>675538.067131439</v>
      </c>
      <c r="H714" s="76" t="n">
        <v>416221.145643516</v>
      </c>
      <c r="I714" s="77" t="str">
        <f>H714-F714</f>
      </c>
      <c r="J714" s="78" t="str">
        <f>G714-E714</f>
      </c>
    </row>
    <row r="715">
      <c r="A715" t="s">
        <v>212</v>
      </c>
      <c r="B715" t="s">
        <v>214</v>
      </c>
      <c r="C715" s="72" t="n">
        <v>2048</v>
      </c>
      <c r="D715" t="s">
        <v>424</v>
      </c>
      <c r="E715" s="73" t="n">
        <v>43254.9724527048</v>
      </c>
      <c r="F715" s="74" t="n">
        <v>7741.40732581144</v>
      </c>
      <c r="G715" s="75" t="n">
        <v>43247.1165682685</v>
      </c>
      <c r="H715" s="76" t="n">
        <v>7740.96823230914</v>
      </c>
      <c r="I715" s="77" t="str">
        <f>H715-F715</f>
      </c>
      <c r="J715" s="78" t="str">
        <f>G715-E715</f>
      </c>
    </row>
    <row r="716">
      <c r="A716" t="s">
        <v>212</v>
      </c>
      <c r="B716" t="s">
        <v>214</v>
      </c>
      <c r="C716" s="72" t="n">
        <v>2049</v>
      </c>
      <c r="D716" t="s">
        <v>176</v>
      </c>
      <c r="E716" s="73" t="n">
        <v>23733.3150007815</v>
      </c>
      <c r="F716" s="74" t="n">
        <v>16361.7018149225</v>
      </c>
      <c r="G716" s="75" t="n">
        <v>23650.3614840449</v>
      </c>
      <c r="H716" s="76" t="n">
        <v>16322.61151708</v>
      </c>
      <c r="I716" s="77" t="str">
        <f>H716-F716</f>
      </c>
      <c r="J716" s="78" t="str">
        <f>G716-E716</f>
      </c>
    </row>
    <row r="717">
      <c r="A717" t="s">
        <v>212</v>
      </c>
      <c r="B717" t="s">
        <v>214</v>
      </c>
      <c r="C717" s="72" t="n">
        <v>2049</v>
      </c>
      <c r="D717" t="s">
        <v>238</v>
      </c>
      <c r="E717" s="73" t="n">
        <v>1246313.42680699</v>
      </c>
      <c r="F717" s="74" t="n">
        <v>315708.672739635</v>
      </c>
      <c r="G717" s="75" t="n">
        <v>1244958.37630862</v>
      </c>
      <c r="H717" s="76" t="n">
        <v>315528.654574656</v>
      </c>
      <c r="I717" s="77" t="str">
        <f>H717-F717</f>
      </c>
      <c r="J717" s="78" t="str">
        <f>G717-E717</f>
      </c>
    </row>
    <row r="718">
      <c r="A718" t="s">
        <v>212</v>
      </c>
      <c r="B718" t="s">
        <v>214</v>
      </c>
      <c r="C718" s="72" t="n">
        <v>2049</v>
      </c>
      <c r="D718" t="s">
        <v>184</v>
      </c>
      <c r="E718" s="73" t="n">
        <v>160635.750445864</v>
      </c>
      <c r="F718" s="74" t="n">
        <v>108696.180130754</v>
      </c>
      <c r="G718" s="75" t="n">
        <v>162238.134685625</v>
      </c>
      <c r="H718" s="76" t="n">
        <v>109882.371148655</v>
      </c>
      <c r="I718" s="77" t="str">
        <f>H718-F718</f>
      </c>
      <c r="J718" s="78" t="str">
        <f>G718-E718</f>
      </c>
    </row>
    <row r="719">
      <c r="A719" t="s">
        <v>212</v>
      </c>
      <c r="B719" t="s">
        <v>214</v>
      </c>
      <c r="C719" s="72" t="n">
        <v>2049</v>
      </c>
      <c r="D719" t="s">
        <v>187</v>
      </c>
      <c r="E719" s="73" t="n">
        <v>499820.144977488</v>
      </c>
      <c r="F719" s="74" t="n">
        <v>465304.659888464</v>
      </c>
      <c r="G719" s="75" t="n">
        <v>505215.900508139</v>
      </c>
      <c r="H719" s="76" t="n">
        <v>470383.880162835</v>
      </c>
      <c r="I719" s="77" t="str">
        <f>H719-F719</f>
      </c>
      <c r="J719" s="78" t="str">
        <f>G719-E719</f>
      </c>
    </row>
    <row r="720">
      <c r="A720" t="s">
        <v>212</v>
      </c>
      <c r="B720" t="s">
        <v>214</v>
      </c>
      <c r="C720" s="72" t="n">
        <v>2049</v>
      </c>
      <c r="D720" t="s">
        <v>190</v>
      </c>
      <c r="E720" s="73" t="n">
        <v>863494.6252877</v>
      </c>
      <c r="F720" s="74" t="n">
        <v>557826.025230181</v>
      </c>
      <c r="G720" s="75" t="n">
        <v>872039.412561908</v>
      </c>
      <c r="H720" s="76" t="n">
        <v>563337.765593671</v>
      </c>
      <c r="I720" s="77" t="str">
        <f>H720-F720</f>
      </c>
      <c r="J720" s="78" t="str">
        <f>G720-E720</f>
      </c>
    </row>
    <row r="721">
      <c r="A721" t="s">
        <v>212</v>
      </c>
      <c r="B721" t="s">
        <v>214</v>
      </c>
      <c r="C721" s="72" t="n">
        <v>2049</v>
      </c>
      <c r="D721" t="s">
        <v>193</v>
      </c>
      <c r="E721" s="73" t="n">
        <v>678488.147634029</v>
      </c>
      <c r="F721" s="74" t="n">
        <v>421463.695272879</v>
      </c>
      <c r="G721" s="75" t="n">
        <v>684799.519243418</v>
      </c>
      <c r="H721" s="76" t="n">
        <v>425211.294806661</v>
      </c>
      <c r="I721" s="77" t="str">
        <f>H721-F721</f>
      </c>
      <c r="J721" s="78" t="str">
        <f>G721-E721</f>
      </c>
    </row>
    <row r="722">
      <c r="A722" t="s">
        <v>212</v>
      </c>
      <c r="B722" t="s">
        <v>214</v>
      </c>
      <c r="C722" s="72" t="n">
        <v>2049</v>
      </c>
      <c r="D722" t="s">
        <v>424</v>
      </c>
      <c r="E722" s="73" t="n">
        <v>43296.0666952939</v>
      </c>
      <c r="F722" s="74" t="n">
        <v>7764.90880866751</v>
      </c>
      <c r="G722" s="75" t="n">
        <v>43287.6941181752</v>
      </c>
      <c r="H722" s="76" t="n">
        <v>7764.42505773382</v>
      </c>
      <c r="I722" s="77" t="str">
        <f>H722-F722</f>
      </c>
      <c r="J722" s="78" t="str">
        <f>G722-E722</f>
      </c>
    </row>
    <row r="723">
      <c r="A723" t="s">
        <v>212</v>
      </c>
      <c r="B723" t="s">
        <v>214</v>
      </c>
      <c r="C723" s="72" t="n">
        <v>2050</v>
      </c>
      <c r="D723" t="s">
        <v>176</v>
      </c>
      <c r="E723" s="73" t="n">
        <v>24199.7548732655</v>
      </c>
      <c r="F723" s="74" t="n">
        <v>16661.5868981399</v>
      </c>
      <c r="G723" s="75" t="n">
        <v>24110.4306261692</v>
      </c>
      <c r="H723" s="76" t="n">
        <v>16618.9237091261</v>
      </c>
      <c r="I723" s="77" t="str">
        <f>H723-F723</f>
      </c>
      <c r="J723" s="78" t="str">
        <f>G723-E723</f>
      </c>
    </row>
    <row r="724">
      <c r="A724" t="s">
        <v>212</v>
      </c>
      <c r="B724" t="s">
        <v>214</v>
      </c>
      <c r="C724" s="72" t="n">
        <v>2050</v>
      </c>
      <c r="D724" t="s">
        <v>238</v>
      </c>
      <c r="E724" s="73" t="n">
        <v>1251000.62100702</v>
      </c>
      <c r="F724" s="74" t="n">
        <v>322064.628733239</v>
      </c>
      <c r="G724" s="75" t="n">
        <v>1249574.98129843</v>
      </c>
      <c r="H724" s="76" t="n">
        <v>321866.145423905</v>
      </c>
      <c r="I724" s="77" t="str">
        <f>H724-F724</f>
      </c>
      <c r="J724" s="78" t="str">
        <f>G724-E724</f>
      </c>
    </row>
    <row r="725">
      <c r="A725" t="s">
        <v>212</v>
      </c>
      <c r="B725" t="s">
        <v>214</v>
      </c>
      <c r="C725" s="72" t="n">
        <v>2050</v>
      </c>
      <c r="D725" t="s">
        <v>184</v>
      </c>
      <c r="E725" s="73" t="n">
        <v>162926.20226335</v>
      </c>
      <c r="F725" s="74" t="n">
        <v>110303.918854598</v>
      </c>
      <c r="G725" s="75" t="n">
        <v>164526.94959842</v>
      </c>
      <c r="H725" s="76" t="n">
        <v>111496.260054028</v>
      </c>
      <c r="I725" s="77" t="str">
        <f>H725-F725</f>
      </c>
      <c r="J725" s="78" t="str">
        <f>G725-E725</f>
      </c>
    </row>
    <row r="726">
      <c r="A726" t="s">
        <v>212</v>
      </c>
      <c r="B726" t="s">
        <v>214</v>
      </c>
      <c r="C726" s="72" t="n">
        <v>2050</v>
      </c>
      <c r="D726" t="s">
        <v>187</v>
      </c>
      <c r="E726" s="73" t="n">
        <v>504530.221969299</v>
      </c>
      <c r="F726" s="74" t="n">
        <v>469803.452224334</v>
      </c>
      <c r="G726" s="75" t="n">
        <v>509923.794653266</v>
      </c>
      <c r="H726" s="76" t="n">
        <v>474893.254554943</v>
      </c>
      <c r="I726" s="77" t="str">
        <f>H726-F726</f>
      </c>
      <c r="J726" s="78" t="str">
        <f>G726-E726</f>
      </c>
    </row>
    <row r="727">
      <c r="A727" t="s">
        <v>212</v>
      </c>
      <c r="B727" t="s">
        <v>214</v>
      </c>
      <c r="C727" s="72" t="n">
        <v>2050</v>
      </c>
      <c r="D727" t="s">
        <v>190</v>
      </c>
      <c r="E727" s="73" t="n">
        <v>872698.26774712</v>
      </c>
      <c r="F727" s="74" t="n">
        <v>565709.680802634</v>
      </c>
      <c r="G727" s="75" t="n">
        <v>881220.210178615</v>
      </c>
      <c r="H727" s="76" t="n">
        <v>571305.130665456</v>
      </c>
      <c r="I727" s="77" t="str">
        <f>H727-F727</f>
      </c>
      <c r="J727" s="78" t="str">
        <f>G727-E727</f>
      </c>
    </row>
    <row r="728">
      <c r="A728" t="s">
        <v>212</v>
      </c>
      <c r="B728" t="s">
        <v>214</v>
      </c>
      <c r="C728" s="72" t="n">
        <v>2050</v>
      </c>
      <c r="D728" t="s">
        <v>193</v>
      </c>
      <c r="E728" s="73" t="n">
        <v>687545.878056958</v>
      </c>
      <c r="F728" s="74" t="n">
        <v>430129.011051532</v>
      </c>
      <c r="G728" s="75" t="n">
        <v>693833.375810026</v>
      </c>
      <c r="H728" s="76" t="n">
        <v>433928.116842437</v>
      </c>
      <c r="I728" s="77" t="str">
        <f>H728-F728</f>
      </c>
      <c r="J728" s="78" t="str">
        <f>G728-E728</f>
      </c>
    </row>
    <row r="729">
      <c r="A729" t="s">
        <v>212</v>
      </c>
      <c r="B729" t="s">
        <v>214</v>
      </c>
      <c r="C729" s="72" t="n">
        <v>2050</v>
      </c>
      <c r="D729" t="s">
        <v>424</v>
      </c>
      <c r="E729" s="73" t="n">
        <v>43346.2233668362</v>
      </c>
      <c r="F729" s="74" t="n">
        <v>7786.12269930412</v>
      </c>
      <c r="G729" s="75" t="n">
        <v>43337.3340718481</v>
      </c>
      <c r="H729" s="76" t="n">
        <v>7785.59251624651</v>
      </c>
      <c r="I729" s="77" t="str">
        <f>H729-F729</f>
      </c>
      <c r="J729" s="78" t="str">
        <f>G729-E729</f>
      </c>
    </row>
    <row r="730">
      <c r="A730" t="s">
        <v>219</v>
      </c>
      <c r="B730" t="s">
        <v>221</v>
      </c>
      <c r="C730" s="72" t="n">
        <v>2025</v>
      </c>
      <c r="D730" t="s">
        <v>176</v>
      </c>
      <c r="E730" s="73" t="n">
        <v>12347.3896757033</v>
      </c>
      <c r="F730" s="74" t="n">
        <v>8975.30849722876</v>
      </c>
      <c r="G730" s="75" t="n">
        <v>12347.3896757033</v>
      </c>
      <c r="H730" s="76" t="n">
        <v>8975.30849722876</v>
      </c>
      <c r="I730" s="77" t="str">
        <f>H730-F730</f>
      </c>
      <c r="J730" s="78" t="str">
        <f>G730-E730</f>
      </c>
    </row>
    <row r="731">
      <c r="A731" t="s">
        <v>219</v>
      </c>
      <c r="B731" t="s">
        <v>221</v>
      </c>
      <c r="C731" s="72" t="n">
        <v>2025</v>
      </c>
      <c r="D731" t="s">
        <v>238</v>
      </c>
      <c r="E731" s="73" t="n">
        <v>1026043.97207164</v>
      </c>
      <c r="F731" s="74" t="n">
        <v>129403.022830672</v>
      </c>
      <c r="G731" s="75" t="n">
        <v>1026043.97207164</v>
      </c>
      <c r="H731" s="76" t="n">
        <v>129403.022830672</v>
      </c>
      <c r="I731" s="77" t="str">
        <f>H731-F731</f>
      </c>
      <c r="J731" s="78" t="str">
        <f>G731-E731</f>
      </c>
    </row>
    <row r="732">
      <c r="A732" t="s">
        <v>219</v>
      </c>
      <c r="B732" t="s">
        <v>221</v>
      </c>
      <c r="C732" s="72" t="n">
        <v>2025</v>
      </c>
      <c r="D732" t="s">
        <v>184</v>
      </c>
      <c r="E732" s="73" t="n">
        <v>91684.5090142746</v>
      </c>
      <c r="F732" s="74" t="n">
        <v>63318.7518252021</v>
      </c>
      <c r="G732" s="75" t="n">
        <v>91684.5090142746</v>
      </c>
      <c r="H732" s="76" t="n">
        <v>63318.7518252021</v>
      </c>
      <c r="I732" s="77" t="str">
        <f>H732-F732</f>
      </c>
      <c r="J732" s="78" t="str">
        <f>G732-E732</f>
      </c>
    </row>
    <row r="733">
      <c r="A733" t="s">
        <v>219</v>
      </c>
      <c r="B733" t="s">
        <v>221</v>
      </c>
      <c r="C733" s="72" t="n">
        <v>2025</v>
      </c>
      <c r="D733" t="s">
        <v>187</v>
      </c>
      <c r="E733" s="73" t="n">
        <v>327817.992111529</v>
      </c>
      <c r="F733" s="74" t="n">
        <v>300216.82861998</v>
      </c>
      <c r="G733" s="75" t="n">
        <v>327817.992111529</v>
      </c>
      <c r="H733" s="76" t="n">
        <v>300216.82861998</v>
      </c>
      <c r="I733" s="77" t="str">
        <f>H733-F733</f>
      </c>
      <c r="J733" s="78" t="str">
        <f>G733-E733</f>
      </c>
    </row>
    <row r="734">
      <c r="A734" t="s">
        <v>219</v>
      </c>
      <c r="B734" t="s">
        <v>221</v>
      </c>
      <c r="C734" s="72" t="n">
        <v>2025</v>
      </c>
      <c r="D734" t="s">
        <v>190</v>
      </c>
      <c r="E734" s="73" t="n">
        <v>563964.128928848</v>
      </c>
      <c r="F734" s="74" t="n">
        <v>321188.162987932</v>
      </c>
      <c r="G734" s="75" t="n">
        <v>563964.128928848</v>
      </c>
      <c r="H734" s="76" t="n">
        <v>321188.162987932</v>
      </c>
      <c r="I734" s="77" t="str">
        <f>H734-F734</f>
      </c>
      <c r="J734" s="78" t="str">
        <f>G734-E734</f>
      </c>
    </row>
    <row r="735">
      <c r="A735" t="s">
        <v>219</v>
      </c>
      <c r="B735" t="s">
        <v>221</v>
      </c>
      <c r="C735" s="72" t="n">
        <v>2025</v>
      </c>
      <c r="D735" t="s">
        <v>193</v>
      </c>
      <c r="E735" s="73" t="n">
        <v>396205.912797568</v>
      </c>
      <c r="F735" s="74" t="n">
        <v>191954.713579597</v>
      </c>
      <c r="G735" s="75" t="n">
        <v>396205.912797568</v>
      </c>
      <c r="H735" s="76" t="n">
        <v>191954.713579597</v>
      </c>
      <c r="I735" s="77" t="str">
        <f>H735-F735</f>
      </c>
      <c r="J735" s="78" t="str">
        <f>G735-E735</f>
      </c>
    </row>
    <row r="736">
      <c r="A736" t="s">
        <v>219</v>
      </c>
      <c r="B736" t="s">
        <v>221</v>
      </c>
      <c r="C736" s="72" t="n">
        <v>2025</v>
      </c>
      <c r="D736" t="s">
        <v>424</v>
      </c>
      <c r="E736" s="73" t="n">
        <v>44024.8557845561</v>
      </c>
      <c r="F736" s="74" t="n">
        <v>6961.02866951274</v>
      </c>
      <c r="G736" s="75" t="n">
        <v>44024.8557845561</v>
      </c>
      <c r="H736" s="76" t="n">
        <v>6961.02866951274</v>
      </c>
      <c r="I736" s="77" t="str">
        <f>H736-F736</f>
      </c>
      <c r="J736" s="78" t="str">
        <f>G736-E736</f>
      </c>
    </row>
    <row r="737">
      <c r="A737" t="s">
        <v>219</v>
      </c>
      <c r="B737" t="s">
        <v>221</v>
      </c>
      <c r="C737" s="72" t="n">
        <v>2026</v>
      </c>
      <c r="D737" t="s">
        <v>176</v>
      </c>
      <c r="E737" s="73" t="n">
        <v>12812.507871628</v>
      </c>
      <c r="F737" s="74" t="n">
        <v>9308.26420910955</v>
      </c>
      <c r="G737" s="75" t="n">
        <v>12812.507871628</v>
      </c>
      <c r="H737" s="76" t="n">
        <v>9308.26420910955</v>
      </c>
      <c r="I737" s="77" t="str">
        <f>H737-F737</f>
      </c>
      <c r="J737" s="78" t="str">
        <f>G737-E737</f>
      </c>
    </row>
    <row r="738">
      <c r="A738" t="s">
        <v>219</v>
      </c>
      <c r="B738" t="s">
        <v>221</v>
      </c>
      <c r="C738" s="72" t="n">
        <v>2026</v>
      </c>
      <c r="D738" t="s">
        <v>238</v>
      </c>
      <c r="E738" s="73" t="n">
        <v>1040956.74283153</v>
      </c>
      <c r="F738" s="74" t="n">
        <v>137191.896136923</v>
      </c>
      <c r="G738" s="75" t="n">
        <v>1040956.74283153</v>
      </c>
      <c r="H738" s="76" t="n">
        <v>137191.896136923</v>
      </c>
      <c r="I738" s="77" t="str">
        <f>H738-F738</f>
      </c>
      <c r="J738" s="78" t="str">
        <f>G738-E738</f>
      </c>
    </row>
    <row r="739">
      <c r="A739" t="s">
        <v>219</v>
      </c>
      <c r="B739" t="s">
        <v>221</v>
      </c>
      <c r="C739" s="72" t="n">
        <v>2026</v>
      </c>
      <c r="D739" t="s">
        <v>184</v>
      </c>
      <c r="E739" s="73" t="n">
        <v>95077.1833035265</v>
      </c>
      <c r="F739" s="74" t="n">
        <v>65164.4704134017</v>
      </c>
      <c r="G739" s="75" t="n">
        <v>95077.1833035265</v>
      </c>
      <c r="H739" s="76" t="n">
        <v>65164.4704134017</v>
      </c>
      <c r="I739" s="77" t="str">
        <f>H739-F739</f>
      </c>
      <c r="J739" s="78" t="str">
        <f>G739-E739</f>
      </c>
    </row>
    <row r="740">
      <c r="A740" t="s">
        <v>219</v>
      </c>
      <c r="B740" t="s">
        <v>221</v>
      </c>
      <c r="C740" s="72" t="n">
        <v>2026</v>
      </c>
      <c r="D740" t="s">
        <v>187</v>
      </c>
      <c r="E740" s="73" t="n">
        <v>336875.423495605</v>
      </c>
      <c r="F740" s="74" t="n">
        <v>308606.943045308</v>
      </c>
      <c r="G740" s="75" t="n">
        <v>336875.423495605</v>
      </c>
      <c r="H740" s="76" t="n">
        <v>308606.943045308</v>
      </c>
      <c r="I740" s="77" t="str">
        <f>H740-F740</f>
      </c>
      <c r="J740" s="78" t="str">
        <f>G740-E740</f>
      </c>
    </row>
    <row r="741">
      <c r="A741" t="s">
        <v>219</v>
      </c>
      <c r="B741" t="s">
        <v>221</v>
      </c>
      <c r="C741" s="72" t="n">
        <v>2026</v>
      </c>
      <c r="D741" t="s">
        <v>190</v>
      </c>
      <c r="E741" s="73" t="n">
        <v>580111.541957649</v>
      </c>
      <c r="F741" s="74" t="n">
        <v>332896.185768311</v>
      </c>
      <c r="G741" s="75" t="n">
        <v>580111.541957649</v>
      </c>
      <c r="H741" s="76" t="n">
        <v>332896.185768311</v>
      </c>
      <c r="I741" s="77" t="str">
        <f>H741-F741</f>
      </c>
      <c r="J741" s="78" t="str">
        <f>G741-E741</f>
      </c>
    </row>
    <row r="742">
      <c r="A742" t="s">
        <v>219</v>
      </c>
      <c r="B742" t="s">
        <v>221</v>
      </c>
      <c r="C742" s="72" t="n">
        <v>2026</v>
      </c>
      <c r="D742" t="s">
        <v>193</v>
      </c>
      <c r="E742" s="73" t="n">
        <v>409829.87281699</v>
      </c>
      <c r="F742" s="74" t="n">
        <v>202008.199783237</v>
      </c>
      <c r="G742" s="75" t="n">
        <v>409829.87281699</v>
      </c>
      <c r="H742" s="76" t="n">
        <v>202008.199783237</v>
      </c>
      <c r="I742" s="77" t="str">
        <f>H742-F742</f>
      </c>
      <c r="J742" s="78" t="str">
        <f>G742-E742</f>
      </c>
    </row>
    <row r="743">
      <c r="A743" t="s">
        <v>219</v>
      </c>
      <c r="B743" t="s">
        <v>221</v>
      </c>
      <c r="C743" s="72" t="n">
        <v>2026</v>
      </c>
      <c r="D743" t="s">
        <v>424</v>
      </c>
      <c r="E743" s="73" t="n">
        <v>44219.1707517653</v>
      </c>
      <c r="F743" s="74" t="n">
        <v>7023.77126872287</v>
      </c>
      <c r="G743" s="75" t="n">
        <v>44219.1707517653</v>
      </c>
      <c r="H743" s="76" t="n">
        <v>7023.77126872287</v>
      </c>
      <c r="I743" s="77" t="str">
        <f>H743-F743</f>
      </c>
      <c r="J743" s="78" t="str">
        <f>G743-E743</f>
      </c>
    </row>
    <row r="744">
      <c r="A744" t="s">
        <v>219</v>
      </c>
      <c r="B744" t="s">
        <v>221</v>
      </c>
      <c r="C744" s="72" t="n">
        <v>2027</v>
      </c>
      <c r="D744" t="s">
        <v>176</v>
      </c>
      <c r="E744" s="73" t="n">
        <v>13273.481772584</v>
      </c>
      <c r="F744" s="74" t="n">
        <v>9640.71530777017</v>
      </c>
      <c r="G744" s="75" t="n">
        <v>13273.481772584</v>
      </c>
      <c r="H744" s="76" t="n">
        <v>9640.71530777017</v>
      </c>
      <c r="I744" s="77" t="str">
        <f>H744-F744</f>
      </c>
      <c r="J744" s="78" t="str">
        <f>G744-E744</f>
      </c>
    </row>
    <row r="745">
      <c r="A745" t="s">
        <v>219</v>
      </c>
      <c r="B745" t="s">
        <v>221</v>
      </c>
      <c r="C745" s="72" t="n">
        <v>2027</v>
      </c>
      <c r="D745" t="s">
        <v>238</v>
      </c>
      <c r="E745" s="73" t="n">
        <v>1055255.40879996</v>
      </c>
      <c r="F745" s="74" t="n">
        <v>145087.130776418</v>
      </c>
      <c r="G745" s="75" t="n">
        <v>1055255.40879996</v>
      </c>
      <c r="H745" s="76" t="n">
        <v>145087.130776418</v>
      </c>
      <c r="I745" s="77" t="str">
        <f>H745-F745</f>
      </c>
      <c r="J745" s="78" t="str">
        <f>G745-E745</f>
      </c>
    </row>
    <row r="746">
      <c r="A746" t="s">
        <v>219</v>
      </c>
      <c r="B746" t="s">
        <v>221</v>
      </c>
      <c r="C746" s="72" t="n">
        <v>2027</v>
      </c>
      <c r="D746" t="s">
        <v>184</v>
      </c>
      <c r="E746" s="73" t="n">
        <v>98448.8278839669</v>
      </c>
      <c r="F746" s="74" t="n">
        <v>67068.0169086102</v>
      </c>
      <c r="G746" s="75" t="n">
        <v>98448.8278839669</v>
      </c>
      <c r="H746" s="76" t="n">
        <v>67068.0169086102</v>
      </c>
      <c r="I746" s="77" t="str">
        <f>H746-F746</f>
      </c>
      <c r="J746" s="78" t="str">
        <f>G746-E746</f>
      </c>
    </row>
    <row r="747">
      <c r="A747" t="s">
        <v>219</v>
      </c>
      <c r="B747" t="s">
        <v>221</v>
      </c>
      <c r="C747" s="72" t="n">
        <v>2027</v>
      </c>
      <c r="D747" t="s">
        <v>187</v>
      </c>
      <c r="E747" s="73" t="n">
        <v>345936.706716403</v>
      </c>
      <c r="F747" s="74" t="n">
        <v>317119.553552555</v>
      </c>
      <c r="G747" s="75" t="n">
        <v>345936.706716403</v>
      </c>
      <c r="H747" s="76" t="n">
        <v>317119.553552555</v>
      </c>
      <c r="I747" s="77" t="str">
        <f>H747-F747</f>
      </c>
      <c r="J747" s="78" t="str">
        <f>G747-E747</f>
      </c>
    </row>
    <row r="748">
      <c r="A748" t="s">
        <v>219</v>
      </c>
      <c r="B748" t="s">
        <v>221</v>
      </c>
      <c r="C748" s="72" t="n">
        <v>2027</v>
      </c>
      <c r="D748" t="s">
        <v>190</v>
      </c>
      <c r="E748" s="73" t="n">
        <v>596148.832334676</v>
      </c>
      <c r="F748" s="74" t="n">
        <v>344517.274659827</v>
      </c>
      <c r="G748" s="75" t="n">
        <v>596148.832334676</v>
      </c>
      <c r="H748" s="76" t="n">
        <v>344517.274659827</v>
      </c>
      <c r="I748" s="77" t="str">
        <f>H748-F748</f>
      </c>
      <c r="J748" s="78" t="str">
        <f>G748-E748</f>
      </c>
    </row>
    <row r="749">
      <c r="A749" t="s">
        <v>219</v>
      </c>
      <c r="B749" t="s">
        <v>221</v>
      </c>
      <c r="C749" s="72" t="n">
        <v>2027</v>
      </c>
      <c r="D749" t="s">
        <v>193</v>
      </c>
      <c r="E749" s="73" t="n">
        <v>423485.101321999</v>
      </c>
      <c r="F749" s="74" t="n">
        <v>211995.488024171</v>
      </c>
      <c r="G749" s="75" t="n">
        <v>423485.101321999</v>
      </c>
      <c r="H749" s="76" t="n">
        <v>211995.488024171</v>
      </c>
      <c r="I749" s="77" t="str">
        <f>H749-F749</f>
      </c>
      <c r="J749" s="78" t="str">
        <f>G749-E749</f>
      </c>
    </row>
    <row r="750">
      <c r="A750" t="s">
        <v>219</v>
      </c>
      <c r="B750" t="s">
        <v>221</v>
      </c>
      <c r="C750" s="72" t="n">
        <v>2027</v>
      </c>
      <c r="D750" t="s">
        <v>424</v>
      </c>
      <c r="E750" s="73" t="n">
        <v>44384.2018393689</v>
      </c>
      <c r="F750" s="74" t="n">
        <v>7080.05700568168</v>
      </c>
      <c r="G750" s="75" t="n">
        <v>44384.2018393689</v>
      </c>
      <c r="H750" s="76" t="n">
        <v>7080.05700568168</v>
      </c>
      <c r="I750" s="77" t="str">
        <f>H750-F750</f>
      </c>
      <c r="J750" s="78" t="str">
        <f>G750-E750</f>
      </c>
    </row>
    <row r="751">
      <c r="A751" t="s">
        <v>219</v>
      </c>
      <c r="B751" t="s">
        <v>221</v>
      </c>
      <c r="C751" s="72" t="n">
        <v>2028</v>
      </c>
      <c r="D751" t="s">
        <v>176</v>
      </c>
      <c r="E751" s="73" t="n">
        <v>13729.5005000864</v>
      </c>
      <c r="F751" s="74" t="n">
        <v>9971.45472163389</v>
      </c>
      <c r="G751" s="75" t="n">
        <v>13729.5005000864</v>
      </c>
      <c r="H751" s="76" t="n">
        <v>9971.45472163389</v>
      </c>
      <c r="I751" s="77" t="str">
        <f>H751-F751</f>
      </c>
      <c r="J751" s="78" t="str">
        <f>G751-E751</f>
      </c>
    </row>
    <row r="752">
      <c r="A752" t="s">
        <v>219</v>
      </c>
      <c r="B752" t="s">
        <v>221</v>
      </c>
      <c r="C752" s="72" t="n">
        <v>2028</v>
      </c>
      <c r="D752" t="s">
        <v>238</v>
      </c>
      <c r="E752" s="73" t="n">
        <v>1069005.07088018</v>
      </c>
      <c r="F752" s="74" t="n">
        <v>153077.867387244</v>
      </c>
      <c r="G752" s="75" t="n">
        <v>1069005.07088018</v>
      </c>
      <c r="H752" s="76" t="n">
        <v>153077.867387244</v>
      </c>
      <c r="I752" s="77" t="str">
        <f>H752-F752</f>
      </c>
      <c r="J752" s="78" t="str">
        <f>G752-E752</f>
      </c>
    </row>
    <row r="753">
      <c r="A753" t="s">
        <v>219</v>
      </c>
      <c r="B753" t="s">
        <v>221</v>
      </c>
      <c r="C753" s="72" t="n">
        <v>2028</v>
      </c>
      <c r="D753" t="s">
        <v>184</v>
      </c>
      <c r="E753" s="73" t="n">
        <v>101797.96761407</v>
      </c>
      <c r="F753" s="74" t="n">
        <v>69019.933123165</v>
      </c>
      <c r="G753" s="75" t="n">
        <v>101797.96761407</v>
      </c>
      <c r="H753" s="76" t="n">
        <v>69019.933123165</v>
      </c>
      <c r="I753" s="77" t="str">
        <f>H753-F753</f>
      </c>
      <c r="J753" s="78" t="str">
        <f>G753-E753</f>
      </c>
    </row>
    <row r="754">
      <c r="A754" t="s">
        <v>219</v>
      </c>
      <c r="B754" t="s">
        <v>221</v>
      </c>
      <c r="C754" s="72" t="n">
        <v>2028</v>
      </c>
      <c r="D754" t="s">
        <v>187</v>
      </c>
      <c r="E754" s="73" t="n">
        <v>354965.535819133</v>
      </c>
      <c r="F754" s="74" t="n">
        <v>325690.683016893</v>
      </c>
      <c r="G754" s="75" t="n">
        <v>354965.535819133</v>
      </c>
      <c r="H754" s="76" t="n">
        <v>325690.683016893</v>
      </c>
      <c r="I754" s="77" t="str">
        <f>H754-F754</f>
      </c>
      <c r="J754" s="78" t="str">
        <f>G754-E754</f>
      </c>
    </row>
    <row r="755">
      <c r="A755" t="s">
        <v>219</v>
      </c>
      <c r="B755" t="s">
        <v>221</v>
      </c>
      <c r="C755" s="72" t="n">
        <v>2028</v>
      </c>
      <c r="D755" t="s">
        <v>190</v>
      </c>
      <c r="E755" s="73" t="n">
        <v>612031.659444751</v>
      </c>
      <c r="F755" s="74" t="n">
        <v>356073.571438059</v>
      </c>
      <c r="G755" s="75" t="n">
        <v>612031.659444751</v>
      </c>
      <c r="H755" s="76" t="n">
        <v>356073.571438059</v>
      </c>
      <c r="I755" s="77" t="str">
        <f>H755-F755</f>
      </c>
      <c r="J755" s="78" t="str">
        <f>G755-E755</f>
      </c>
    </row>
    <row r="756">
      <c r="A756" t="s">
        <v>219</v>
      </c>
      <c r="B756" t="s">
        <v>221</v>
      </c>
      <c r="C756" s="72" t="n">
        <v>2028</v>
      </c>
      <c r="D756" t="s">
        <v>193</v>
      </c>
      <c r="E756" s="73" t="n">
        <v>437159.755191958</v>
      </c>
      <c r="F756" s="74" t="n">
        <v>221908.958563303</v>
      </c>
      <c r="G756" s="75" t="n">
        <v>437159.755191958</v>
      </c>
      <c r="H756" s="76" t="n">
        <v>221908.958563303</v>
      </c>
      <c r="I756" s="77" t="str">
        <f>H756-F756</f>
      </c>
      <c r="J756" s="78" t="str">
        <f>G756-E756</f>
      </c>
    </row>
    <row r="757">
      <c r="A757" t="s">
        <v>219</v>
      </c>
      <c r="B757" t="s">
        <v>221</v>
      </c>
      <c r="C757" s="72" t="n">
        <v>2028</v>
      </c>
      <c r="D757" t="s">
        <v>424</v>
      </c>
      <c r="E757" s="73" t="n">
        <v>44510.0649629929</v>
      </c>
      <c r="F757" s="74" t="n">
        <v>7131.07016356498</v>
      </c>
      <c r="G757" s="75" t="n">
        <v>44510.0649629929</v>
      </c>
      <c r="H757" s="76" t="n">
        <v>7131.07016356498</v>
      </c>
      <c r="I757" s="77" t="str">
        <f>H757-F757</f>
      </c>
      <c r="J757" s="78" t="str">
        <f>G757-E757</f>
      </c>
    </row>
    <row r="758">
      <c r="A758" t="s">
        <v>219</v>
      </c>
      <c r="B758" t="s">
        <v>221</v>
      </c>
      <c r="C758" s="72" t="n">
        <v>2029</v>
      </c>
      <c r="D758" t="s">
        <v>176</v>
      </c>
      <c r="E758" s="73" t="n">
        <v>14181.4236375467</v>
      </c>
      <c r="F758" s="74" t="n">
        <v>10301.2295792609</v>
      </c>
      <c r="G758" s="75" t="n">
        <v>14181.4236375467</v>
      </c>
      <c r="H758" s="76" t="n">
        <v>10301.2295792609</v>
      </c>
      <c r="I758" s="77" t="str">
        <f>H758-F758</f>
      </c>
      <c r="J758" s="78" t="str">
        <f>G758-E758</f>
      </c>
    </row>
    <row r="759">
      <c r="A759" t="s">
        <v>219</v>
      </c>
      <c r="B759" t="s">
        <v>221</v>
      </c>
      <c r="C759" s="72" t="n">
        <v>2029</v>
      </c>
      <c r="D759" t="s">
        <v>238</v>
      </c>
      <c r="E759" s="73" t="n">
        <v>1082252.39423074</v>
      </c>
      <c r="F759" s="74" t="n">
        <v>161161.062132093</v>
      </c>
      <c r="G759" s="75" t="n">
        <v>1082252.39423074</v>
      </c>
      <c r="H759" s="76" t="n">
        <v>161161.062132093</v>
      </c>
      <c r="I759" s="77" t="str">
        <f>H759-F759</f>
      </c>
      <c r="J759" s="78" t="str">
        <f>G759-E759</f>
      </c>
    </row>
    <row r="760">
      <c r="A760" t="s">
        <v>219</v>
      </c>
      <c r="B760" t="s">
        <v>221</v>
      </c>
      <c r="C760" s="72" t="n">
        <v>2029</v>
      </c>
      <c r="D760" t="s">
        <v>184</v>
      </c>
      <c r="E760" s="73" t="n">
        <v>105114.693344183</v>
      </c>
      <c r="F760" s="74" t="n">
        <v>71042.0544294395</v>
      </c>
      <c r="G760" s="75" t="n">
        <v>105114.693344183</v>
      </c>
      <c r="H760" s="76" t="n">
        <v>71042.0544294395</v>
      </c>
      <c r="I760" s="77" t="str">
        <f>H760-F760</f>
      </c>
      <c r="J760" s="78" t="str">
        <f>G760-E760</f>
      </c>
    </row>
    <row r="761">
      <c r="A761" t="s">
        <v>219</v>
      </c>
      <c r="B761" t="s">
        <v>221</v>
      </c>
      <c r="C761" s="72" t="n">
        <v>2029</v>
      </c>
      <c r="D761" t="s">
        <v>187</v>
      </c>
      <c r="E761" s="73" t="n">
        <v>363896.204247168</v>
      </c>
      <c r="F761" s="74" t="n">
        <v>334292.677138926</v>
      </c>
      <c r="G761" s="75" t="n">
        <v>363896.204247168</v>
      </c>
      <c r="H761" s="76" t="n">
        <v>334292.677138926</v>
      </c>
      <c r="I761" s="77" t="str">
        <f>H761-F761</f>
      </c>
      <c r="J761" s="78" t="str">
        <f>G761-E761</f>
      </c>
    </row>
    <row r="762">
      <c r="A762" t="s">
        <v>219</v>
      </c>
      <c r="B762" t="s">
        <v>221</v>
      </c>
      <c r="C762" s="72" t="n">
        <v>2029</v>
      </c>
      <c r="D762" t="s">
        <v>190</v>
      </c>
      <c r="E762" s="73" t="n">
        <v>627726.336898794</v>
      </c>
      <c r="F762" s="74" t="n">
        <v>367575.22274735</v>
      </c>
      <c r="G762" s="75" t="n">
        <v>627726.336898794</v>
      </c>
      <c r="H762" s="76" t="n">
        <v>367575.22274735</v>
      </c>
      <c r="I762" s="77" t="str">
        <f>H762-F762</f>
      </c>
      <c r="J762" s="78" t="str">
        <f>G762-E762</f>
      </c>
    </row>
    <row r="763">
      <c r="A763" t="s">
        <v>219</v>
      </c>
      <c r="B763" t="s">
        <v>221</v>
      </c>
      <c r="C763" s="72" t="n">
        <v>2029</v>
      </c>
      <c r="D763" t="s">
        <v>193</v>
      </c>
      <c r="E763" s="73" t="n">
        <v>450786.134013569</v>
      </c>
      <c r="F763" s="74" t="n">
        <v>231708.01887569</v>
      </c>
      <c r="G763" s="75" t="n">
        <v>450786.134013569</v>
      </c>
      <c r="H763" s="76" t="n">
        <v>231708.01887569</v>
      </c>
      <c r="I763" s="77" t="str">
        <f>H763-F763</f>
      </c>
      <c r="J763" s="78" t="str">
        <f>G763-E763</f>
      </c>
    </row>
    <row r="764">
      <c r="A764" t="s">
        <v>219</v>
      </c>
      <c r="B764" t="s">
        <v>221</v>
      </c>
      <c r="C764" s="72" t="n">
        <v>2029</v>
      </c>
      <c r="D764" t="s">
        <v>424</v>
      </c>
      <c r="E764" s="73" t="n">
        <v>44600.2614435955</v>
      </c>
      <c r="F764" s="74" t="n">
        <v>7178.21931597252</v>
      </c>
      <c r="G764" s="75" t="n">
        <v>44600.2614435955</v>
      </c>
      <c r="H764" s="76" t="n">
        <v>7178.21931597252</v>
      </c>
      <c r="I764" s="77" t="str">
        <f>H764-F764</f>
      </c>
      <c r="J764" s="78" t="str">
        <f>G764-E764</f>
      </c>
    </row>
    <row r="765">
      <c r="A765" t="s">
        <v>219</v>
      </c>
      <c r="B765" t="s">
        <v>221</v>
      </c>
      <c r="C765" s="72" t="n">
        <v>2030</v>
      </c>
      <c r="D765" t="s">
        <v>176</v>
      </c>
      <c r="E765" s="73" t="n">
        <v>14630.9263575645</v>
      </c>
      <c r="F765" s="74" t="n">
        <v>10630.2702680602</v>
      </c>
      <c r="G765" s="75" t="n">
        <v>14630.9263575645</v>
      </c>
      <c r="H765" s="76" t="n">
        <v>10630.2702680602</v>
      </c>
      <c r="I765" s="77" t="str">
        <f>H765-F765</f>
      </c>
      <c r="J765" s="78" t="str">
        <f>G765-E765</f>
      </c>
    </row>
    <row r="766">
      <c r="A766" t="s">
        <v>219</v>
      </c>
      <c r="B766" t="s">
        <v>221</v>
      </c>
      <c r="C766" s="72" t="n">
        <v>2030</v>
      </c>
      <c r="D766" t="s">
        <v>238</v>
      </c>
      <c r="E766" s="73" t="n">
        <v>1094956.84444967</v>
      </c>
      <c r="F766" s="74" t="n">
        <v>169314.834038038</v>
      </c>
      <c r="G766" s="75" t="n">
        <v>1094956.84444967</v>
      </c>
      <c r="H766" s="76" t="n">
        <v>169314.834038038</v>
      </c>
      <c r="I766" s="77" t="str">
        <f>H766-F766</f>
      </c>
      <c r="J766" s="78" t="str">
        <f>G766-E766</f>
      </c>
    </row>
    <row r="767">
      <c r="A767" t="s">
        <v>219</v>
      </c>
      <c r="B767" t="s">
        <v>221</v>
      </c>
      <c r="C767" s="72" t="n">
        <v>2030</v>
      </c>
      <c r="D767" t="s">
        <v>184</v>
      </c>
      <c r="E767" s="73" t="n">
        <v>108393.77376612</v>
      </c>
      <c r="F767" s="74" t="n">
        <v>73120.8011068864</v>
      </c>
      <c r="G767" s="75" t="n">
        <v>108393.77376612</v>
      </c>
      <c r="H767" s="76" t="n">
        <v>73120.8011068864</v>
      </c>
      <c r="I767" s="77" t="str">
        <f>H767-F767</f>
      </c>
      <c r="J767" s="78" t="str">
        <f>G767-E767</f>
      </c>
    </row>
    <row r="768">
      <c r="A768" t="s">
        <v>219</v>
      </c>
      <c r="B768" t="s">
        <v>221</v>
      </c>
      <c r="C768" s="72" t="n">
        <v>2030</v>
      </c>
      <c r="D768" t="s">
        <v>187</v>
      </c>
      <c r="E768" s="73" t="n">
        <v>372741.795461264</v>
      </c>
      <c r="F768" s="74" t="n">
        <v>342889.635366394</v>
      </c>
      <c r="G768" s="75" t="n">
        <v>372741.795461264</v>
      </c>
      <c r="H768" s="76" t="n">
        <v>342889.635366394</v>
      </c>
      <c r="I768" s="77" t="str">
        <f>H768-F768</f>
      </c>
      <c r="J768" s="78" t="str">
        <f>G768-E768</f>
      </c>
    </row>
    <row r="769">
      <c r="A769" t="s">
        <v>219</v>
      </c>
      <c r="B769" t="s">
        <v>221</v>
      </c>
      <c r="C769" s="72" t="n">
        <v>2030</v>
      </c>
      <c r="D769" t="s">
        <v>190</v>
      </c>
      <c r="E769" s="73" t="n">
        <v>643154.211305628</v>
      </c>
      <c r="F769" s="74" t="n">
        <v>378940.231267445</v>
      </c>
      <c r="G769" s="75" t="n">
        <v>643154.211305628</v>
      </c>
      <c r="H769" s="76" t="n">
        <v>378940.231267445</v>
      </c>
      <c r="I769" s="77" t="str">
        <f>H769-F769</f>
      </c>
      <c r="J769" s="78" t="str">
        <f>G769-E769</f>
      </c>
    </row>
    <row r="770">
      <c r="A770" t="s">
        <v>219</v>
      </c>
      <c r="B770" t="s">
        <v>221</v>
      </c>
      <c r="C770" s="72" t="n">
        <v>2030</v>
      </c>
      <c r="D770" t="s">
        <v>193</v>
      </c>
      <c r="E770" s="73" t="n">
        <v>464360.518103772</v>
      </c>
      <c r="F770" s="74" t="n">
        <v>241310.309903655</v>
      </c>
      <c r="G770" s="75" t="n">
        <v>464360.518103772</v>
      </c>
      <c r="H770" s="76" t="n">
        <v>241310.309903655</v>
      </c>
      <c r="I770" s="77" t="str">
        <f>H770-F770</f>
      </c>
      <c r="J770" s="78" t="str">
        <f>G770-E770</f>
      </c>
    </row>
    <row r="771">
      <c r="A771" t="s">
        <v>219</v>
      </c>
      <c r="B771" t="s">
        <v>221</v>
      </c>
      <c r="C771" s="72" t="n">
        <v>2030</v>
      </c>
      <c r="D771" t="s">
        <v>424</v>
      </c>
      <c r="E771" s="73" t="n">
        <v>44647.268915283</v>
      </c>
      <c r="F771" s="74" t="n">
        <v>7223.11031474236</v>
      </c>
      <c r="G771" s="75" t="n">
        <v>44647.268915283</v>
      </c>
      <c r="H771" s="76" t="n">
        <v>7223.11031474236</v>
      </c>
      <c r="I771" s="77" t="str">
        <f>H771-F771</f>
      </c>
      <c r="J771" s="78" t="str">
        <f>G771-E771</f>
      </c>
    </row>
    <row r="772">
      <c r="A772" t="s">
        <v>219</v>
      </c>
      <c r="B772" t="s">
        <v>221</v>
      </c>
      <c r="C772" s="72" t="n">
        <v>2031</v>
      </c>
      <c r="D772" t="s">
        <v>176</v>
      </c>
      <c r="E772" s="73" t="n">
        <v>15080.3825495532</v>
      </c>
      <c r="F772" s="74" t="n">
        <v>10955.4255331558</v>
      </c>
      <c r="G772" s="75" t="n">
        <v>15080.3825495532</v>
      </c>
      <c r="H772" s="76" t="n">
        <v>10955.4255331558</v>
      </c>
      <c r="I772" s="77" t="str">
        <f>H772-F772</f>
      </c>
      <c r="J772" s="78" t="str">
        <f>G772-E772</f>
      </c>
    </row>
    <row r="773">
      <c r="A773" t="s">
        <v>219</v>
      </c>
      <c r="B773" t="s">
        <v>221</v>
      </c>
      <c r="C773" s="72" t="n">
        <v>2031</v>
      </c>
      <c r="D773" t="s">
        <v>238</v>
      </c>
      <c r="E773" s="73" t="n">
        <v>1107027.69162894</v>
      </c>
      <c r="F773" s="74" t="n">
        <v>177510.906196669</v>
      </c>
      <c r="G773" s="75" t="n">
        <v>1107027.69162894</v>
      </c>
      <c r="H773" s="76" t="n">
        <v>177510.906196669</v>
      </c>
      <c r="I773" s="77" t="str">
        <f>H773-F773</f>
      </c>
      <c r="J773" s="78" t="str">
        <f>G773-E773</f>
      </c>
    </row>
    <row r="774">
      <c r="A774" t="s">
        <v>219</v>
      </c>
      <c r="B774" t="s">
        <v>221</v>
      </c>
      <c r="C774" s="72" t="n">
        <v>2031</v>
      </c>
      <c r="D774" t="s">
        <v>184</v>
      </c>
      <c r="E774" s="73" t="n">
        <v>111632.947554352</v>
      </c>
      <c r="F774" s="74" t="n">
        <v>75230.219664338</v>
      </c>
      <c r="G774" s="75" t="n">
        <v>111632.947554352</v>
      </c>
      <c r="H774" s="76" t="n">
        <v>75230.219664338</v>
      </c>
      <c r="I774" s="77" t="str">
        <f>H774-F774</f>
      </c>
      <c r="J774" s="78" t="str">
        <f>G774-E774</f>
      </c>
    </row>
    <row r="775">
      <c r="A775" t="s">
        <v>219</v>
      </c>
      <c r="B775" t="s">
        <v>221</v>
      </c>
      <c r="C775" s="72" t="n">
        <v>2031</v>
      </c>
      <c r="D775" t="s">
        <v>187</v>
      </c>
      <c r="E775" s="73" t="n">
        <v>381470.266781021</v>
      </c>
      <c r="F775" s="74" t="n">
        <v>351432.518672951</v>
      </c>
      <c r="G775" s="75" t="n">
        <v>381470.266781021</v>
      </c>
      <c r="H775" s="76" t="n">
        <v>351432.518672951</v>
      </c>
      <c r="I775" s="77" t="str">
        <f>H775-F775</f>
      </c>
      <c r="J775" s="78" t="str">
        <f>G775-E775</f>
      </c>
    </row>
    <row r="776">
      <c r="A776" t="s">
        <v>219</v>
      </c>
      <c r="B776" t="s">
        <v>221</v>
      </c>
      <c r="C776" s="72" t="n">
        <v>2031</v>
      </c>
      <c r="D776" t="s">
        <v>190</v>
      </c>
      <c r="E776" s="73" t="n">
        <v>658282.149268814</v>
      </c>
      <c r="F776" s="74" t="n">
        <v>390181.003020302</v>
      </c>
      <c r="G776" s="75" t="n">
        <v>658282.149268814</v>
      </c>
      <c r="H776" s="76" t="n">
        <v>390181.003020302</v>
      </c>
      <c r="I776" s="77" t="str">
        <f>H776-F776</f>
      </c>
      <c r="J776" s="78" t="str">
        <f>G776-E776</f>
      </c>
    </row>
    <row r="777">
      <c r="A777" t="s">
        <v>219</v>
      </c>
      <c r="B777" t="s">
        <v>221</v>
      </c>
      <c r="C777" s="72" t="n">
        <v>2031</v>
      </c>
      <c r="D777" t="s">
        <v>193</v>
      </c>
      <c r="E777" s="73" t="n">
        <v>477778.146047482</v>
      </c>
      <c r="F777" s="74" t="n">
        <v>250815.782662592</v>
      </c>
      <c r="G777" s="75" t="n">
        <v>477778.146047482</v>
      </c>
      <c r="H777" s="76" t="n">
        <v>250815.782662592</v>
      </c>
      <c r="I777" s="77" t="str">
        <f>H777-F777</f>
      </c>
      <c r="J777" s="78" t="str">
        <f>G777-E777</f>
      </c>
    </row>
    <row r="778">
      <c r="A778" t="s">
        <v>219</v>
      </c>
      <c r="B778" t="s">
        <v>221</v>
      </c>
      <c r="C778" s="72" t="n">
        <v>2031</v>
      </c>
      <c r="D778" t="s">
        <v>424</v>
      </c>
      <c r="E778" s="73" t="n">
        <v>44640.3472954778</v>
      </c>
      <c r="F778" s="74" t="n">
        <v>7266.76600020754</v>
      </c>
      <c r="G778" s="75" t="n">
        <v>44640.3472954778</v>
      </c>
      <c r="H778" s="76" t="n">
        <v>7266.76600020754</v>
      </c>
      <c r="I778" s="77" t="str">
        <f>H778-F778</f>
      </c>
      <c r="J778" s="78" t="str">
        <f>G778-E778</f>
      </c>
    </row>
    <row r="779">
      <c r="A779" t="s">
        <v>219</v>
      </c>
      <c r="B779" t="s">
        <v>221</v>
      </c>
      <c r="C779" s="72" t="n">
        <v>2032</v>
      </c>
      <c r="D779" t="s">
        <v>176</v>
      </c>
      <c r="E779" s="73" t="n">
        <v>15531.2601955666</v>
      </c>
      <c r="F779" s="74" t="n">
        <v>11274.4954497352</v>
      </c>
      <c r="G779" s="75" t="n">
        <v>15531.2601955666</v>
      </c>
      <c r="H779" s="76" t="n">
        <v>11274.4954497352</v>
      </c>
      <c r="I779" s="77" t="str">
        <f>H779-F779</f>
      </c>
      <c r="J779" s="78" t="str">
        <f>G779-E779</f>
      </c>
    </row>
    <row r="780">
      <c r="A780" t="s">
        <v>219</v>
      </c>
      <c r="B780" t="s">
        <v>221</v>
      </c>
      <c r="C780" s="72" t="n">
        <v>2032</v>
      </c>
      <c r="D780" t="s">
        <v>238</v>
      </c>
      <c r="E780" s="73" t="n">
        <v>1118477.32749824</v>
      </c>
      <c r="F780" s="74" t="n">
        <v>185725.999058801</v>
      </c>
      <c r="G780" s="75" t="n">
        <v>1118477.32749824</v>
      </c>
      <c r="H780" s="76" t="n">
        <v>185725.999058801</v>
      </c>
      <c r="I780" s="77" t="str">
        <f>H780-F780</f>
      </c>
      <c r="J780" s="78" t="str">
        <f>G780-E780</f>
      </c>
    </row>
    <row r="781">
      <c r="A781" t="s">
        <v>219</v>
      </c>
      <c r="B781" t="s">
        <v>221</v>
      </c>
      <c r="C781" s="72" t="n">
        <v>2032</v>
      </c>
      <c r="D781" t="s">
        <v>184</v>
      </c>
      <c r="E781" s="73" t="n">
        <v>114835.221802653</v>
      </c>
      <c r="F781" s="74" t="n">
        <v>77353.0610239329</v>
      </c>
      <c r="G781" s="75" t="n">
        <v>114835.221802653</v>
      </c>
      <c r="H781" s="76" t="n">
        <v>77353.0610239329</v>
      </c>
      <c r="I781" s="77" t="str">
        <f>H781-F781</f>
      </c>
      <c r="J781" s="78" t="str">
        <f>G781-E781</f>
      </c>
    </row>
    <row r="782">
      <c r="A782" t="s">
        <v>219</v>
      </c>
      <c r="B782" t="s">
        <v>221</v>
      </c>
      <c r="C782" s="72" t="n">
        <v>2032</v>
      </c>
      <c r="D782" t="s">
        <v>187</v>
      </c>
      <c r="E782" s="73" t="n">
        <v>389998.376688754</v>
      </c>
      <c r="F782" s="74" t="n">
        <v>359834.546852866</v>
      </c>
      <c r="G782" s="75" t="n">
        <v>389998.376688754</v>
      </c>
      <c r="H782" s="76" t="n">
        <v>359834.546852866</v>
      </c>
      <c r="I782" s="77" t="str">
        <f>H782-F782</f>
      </c>
      <c r="J782" s="78" t="str">
        <f>G782-E782</f>
      </c>
    </row>
    <row r="783">
      <c r="A783" t="s">
        <v>219</v>
      </c>
      <c r="B783" t="s">
        <v>221</v>
      </c>
      <c r="C783" s="72" t="n">
        <v>2032</v>
      </c>
      <c r="D783" t="s">
        <v>190</v>
      </c>
      <c r="E783" s="73" t="n">
        <v>673133.888273266</v>
      </c>
      <c r="F783" s="74" t="n">
        <v>401318.286193472</v>
      </c>
      <c r="G783" s="75" t="n">
        <v>673133.888273266</v>
      </c>
      <c r="H783" s="76" t="n">
        <v>401318.286193472</v>
      </c>
      <c r="I783" s="77" t="str">
        <f>H783-F783</f>
      </c>
      <c r="J783" s="78" t="str">
        <f>G783-E783</f>
      </c>
    </row>
    <row r="784">
      <c r="A784" t="s">
        <v>219</v>
      </c>
      <c r="B784" t="s">
        <v>221</v>
      </c>
      <c r="C784" s="72" t="n">
        <v>2032</v>
      </c>
      <c r="D784" t="s">
        <v>193</v>
      </c>
      <c r="E784" s="73" t="n">
        <v>490904.70344578</v>
      </c>
      <c r="F784" s="74" t="n">
        <v>260346.937343717</v>
      </c>
      <c r="G784" s="75" t="n">
        <v>490904.70344578</v>
      </c>
      <c r="H784" s="76" t="n">
        <v>260346.937343717</v>
      </c>
      <c r="I784" s="77" t="str">
        <f>H784-F784</f>
      </c>
      <c r="J784" s="78" t="str">
        <f>G784-E784</f>
      </c>
    </row>
    <row r="785">
      <c r="A785" t="s">
        <v>219</v>
      </c>
      <c r="B785" t="s">
        <v>221</v>
      </c>
      <c r="C785" s="72" t="n">
        <v>2032</v>
      </c>
      <c r="D785" t="s">
        <v>424</v>
      </c>
      <c r="E785" s="73" t="n">
        <v>44583.2455015959</v>
      </c>
      <c r="F785" s="74" t="n">
        <v>7308.68956833998</v>
      </c>
      <c r="G785" s="75" t="n">
        <v>44583.2455015959</v>
      </c>
      <c r="H785" s="76" t="n">
        <v>7308.68956833998</v>
      </c>
      <c r="I785" s="77" t="str">
        <f>H785-F785</f>
      </c>
      <c r="J785" s="78" t="str">
        <f>G785-E785</f>
      </c>
    </row>
    <row r="786">
      <c r="A786" t="s">
        <v>219</v>
      </c>
      <c r="B786" t="s">
        <v>221</v>
      </c>
      <c r="C786" s="72" t="n">
        <v>2033</v>
      </c>
      <c r="D786" t="s">
        <v>176</v>
      </c>
      <c r="E786" s="73" t="n">
        <v>15983.7175379286</v>
      </c>
      <c r="F786" s="74" t="n">
        <v>11586.9335708044</v>
      </c>
      <c r="G786" s="75" t="n">
        <v>15983.7175379286</v>
      </c>
      <c r="H786" s="76" t="n">
        <v>11586.9335708044</v>
      </c>
      <c r="I786" s="77" t="str">
        <f>H786-F786</f>
      </c>
      <c r="J786" s="78" t="str">
        <f>G786-E786</f>
      </c>
    </row>
    <row r="787">
      <c r="A787" t="s">
        <v>219</v>
      </c>
      <c r="B787" t="s">
        <v>221</v>
      </c>
      <c r="C787" s="72" t="n">
        <v>2033</v>
      </c>
      <c r="D787" t="s">
        <v>238</v>
      </c>
      <c r="E787" s="73" t="n">
        <v>1129233.47845058</v>
      </c>
      <c r="F787" s="74" t="n">
        <v>193953.224223645</v>
      </c>
      <c r="G787" s="75" t="n">
        <v>1129233.47845058</v>
      </c>
      <c r="H787" s="76" t="n">
        <v>193953.224223645</v>
      </c>
      <c r="I787" s="77" t="str">
        <f>H787-F787</f>
      </c>
      <c r="J787" s="78" t="str">
        <f>G787-E787</f>
      </c>
    </row>
    <row r="788">
      <c r="A788" t="s">
        <v>219</v>
      </c>
      <c r="B788" t="s">
        <v>221</v>
      </c>
      <c r="C788" s="72" t="n">
        <v>2033</v>
      </c>
      <c r="D788" t="s">
        <v>184</v>
      </c>
      <c r="E788" s="73" t="n">
        <v>117998.738437442</v>
      </c>
      <c r="F788" s="74" t="n">
        <v>79480.4761690429</v>
      </c>
      <c r="G788" s="75" t="n">
        <v>117998.738437442</v>
      </c>
      <c r="H788" s="76" t="n">
        <v>79480.4761690429</v>
      </c>
      <c r="I788" s="77" t="str">
        <f>H788-F788</f>
      </c>
      <c r="J788" s="78" t="str">
        <f>G788-E788</f>
      </c>
    </row>
    <row r="789">
      <c r="A789" t="s">
        <v>219</v>
      </c>
      <c r="B789" t="s">
        <v>221</v>
      </c>
      <c r="C789" s="72" t="n">
        <v>2033</v>
      </c>
      <c r="D789" t="s">
        <v>187</v>
      </c>
      <c r="E789" s="73" t="n">
        <v>398354.344992358</v>
      </c>
      <c r="F789" s="74" t="n">
        <v>368051.624575443</v>
      </c>
      <c r="G789" s="75" t="n">
        <v>398354.344992358</v>
      </c>
      <c r="H789" s="76" t="n">
        <v>368051.624575443</v>
      </c>
      <c r="I789" s="77" t="str">
        <f>H789-F789</f>
      </c>
      <c r="J789" s="78" t="str">
        <f>G789-E789</f>
      </c>
    </row>
    <row r="790">
      <c r="A790" t="s">
        <v>219</v>
      </c>
      <c r="B790" t="s">
        <v>221</v>
      </c>
      <c r="C790" s="72" t="n">
        <v>2033</v>
      </c>
      <c r="D790" t="s">
        <v>190</v>
      </c>
      <c r="E790" s="73" t="n">
        <v>687634.699546926</v>
      </c>
      <c r="F790" s="74" t="n">
        <v>412348.075678578</v>
      </c>
      <c r="G790" s="75" t="n">
        <v>687634.699546926</v>
      </c>
      <c r="H790" s="76" t="n">
        <v>412348.075678578</v>
      </c>
      <c r="I790" s="77" t="str">
        <f>H790-F790</f>
      </c>
      <c r="J790" s="78" t="str">
        <f>G790-E790</f>
      </c>
    </row>
    <row r="791">
      <c r="A791" t="s">
        <v>219</v>
      </c>
      <c r="B791" t="s">
        <v>221</v>
      </c>
      <c r="C791" s="72" t="n">
        <v>2033</v>
      </c>
      <c r="D791" t="s">
        <v>193</v>
      </c>
      <c r="E791" s="73" t="n">
        <v>503751.109420694</v>
      </c>
      <c r="F791" s="74" t="n">
        <v>269883.407599987</v>
      </c>
      <c r="G791" s="75" t="n">
        <v>503751.109420694</v>
      </c>
      <c r="H791" s="76" t="n">
        <v>269883.407599987</v>
      </c>
      <c r="I791" s="77" t="str">
        <f>H791-F791</f>
      </c>
      <c r="J791" s="78" t="str">
        <f>G791-E791</f>
      </c>
    </row>
    <row r="792">
      <c r="A792" t="s">
        <v>219</v>
      </c>
      <c r="B792" t="s">
        <v>221</v>
      </c>
      <c r="C792" s="72" t="n">
        <v>2033</v>
      </c>
      <c r="D792" t="s">
        <v>424</v>
      </c>
      <c r="E792" s="73" t="n">
        <v>44483.6835898413</v>
      </c>
      <c r="F792" s="74" t="n">
        <v>7348.07414732206</v>
      </c>
      <c r="G792" s="75" t="n">
        <v>44483.6835898413</v>
      </c>
      <c r="H792" s="76" t="n">
        <v>7348.07414732206</v>
      </c>
      <c r="I792" s="77" t="str">
        <f>H792-F792</f>
      </c>
      <c r="J792" s="78" t="str">
        <f>G792-E792</f>
      </c>
    </row>
    <row r="793">
      <c r="A793" t="s">
        <v>219</v>
      </c>
      <c r="B793" t="s">
        <v>221</v>
      </c>
      <c r="C793" s="72" t="n">
        <v>2034</v>
      </c>
      <c r="D793" t="s">
        <v>176</v>
      </c>
      <c r="E793" s="73" t="n">
        <v>16436.9312806497</v>
      </c>
      <c r="F793" s="74" t="n">
        <v>11896.3823187386</v>
      </c>
      <c r="G793" s="75" t="n">
        <v>16436.9312806497</v>
      </c>
      <c r="H793" s="76" t="n">
        <v>11896.3823187386</v>
      </c>
      <c r="I793" s="77" t="str">
        <f>H793-F793</f>
      </c>
      <c r="J793" s="78" t="str">
        <f>G793-E793</f>
      </c>
    </row>
    <row r="794">
      <c r="A794" t="s">
        <v>219</v>
      </c>
      <c r="B794" t="s">
        <v>221</v>
      </c>
      <c r="C794" s="72" t="n">
        <v>2034</v>
      </c>
      <c r="D794" t="s">
        <v>238</v>
      </c>
      <c r="E794" s="73" t="n">
        <v>1139357.01951607</v>
      </c>
      <c r="F794" s="74" t="n">
        <v>202147.27044605</v>
      </c>
      <c r="G794" s="75" t="n">
        <v>1139357.01951607</v>
      </c>
      <c r="H794" s="76" t="n">
        <v>202147.27044605</v>
      </c>
      <c r="I794" s="77" t="str">
        <f>H794-F794</f>
      </c>
      <c r="J794" s="78" t="str">
        <f>G794-E794</f>
      </c>
    </row>
    <row r="795">
      <c r="A795" t="s">
        <v>219</v>
      </c>
      <c r="B795" t="s">
        <v>221</v>
      </c>
      <c r="C795" s="72" t="n">
        <v>2034</v>
      </c>
      <c r="D795" t="s">
        <v>184</v>
      </c>
      <c r="E795" s="73" t="n">
        <v>121105.471839437</v>
      </c>
      <c r="F795" s="74" t="n">
        <v>81594.9482339212</v>
      </c>
      <c r="G795" s="75" t="n">
        <v>121105.471839437</v>
      </c>
      <c r="H795" s="76" t="n">
        <v>81594.9482339212</v>
      </c>
      <c r="I795" s="77" t="str">
        <f>H795-F795</f>
      </c>
      <c r="J795" s="78" t="str">
        <f>G795-E795</f>
      </c>
    </row>
    <row r="796">
      <c r="A796" t="s">
        <v>219</v>
      </c>
      <c r="B796" t="s">
        <v>221</v>
      </c>
      <c r="C796" s="72" t="n">
        <v>2034</v>
      </c>
      <c r="D796" t="s">
        <v>187</v>
      </c>
      <c r="E796" s="73" t="n">
        <v>406559.867353788</v>
      </c>
      <c r="F796" s="74" t="n">
        <v>376028.132278335</v>
      </c>
      <c r="G796" s="75" t="n">
        <v>406559.867353788</v>
      </c>
      <c r="H796" s="76" t="n">
        <v>376028.132278335</v>
      </c>
      <c r="I796" s="77" t="str">
        <f>H796-F796</f>
      </c>
      <c r="J796" s="78" t="str">
        <f>G796-E796</f>
      </c>
    </row>
    <row r="797">
      <c r="A797" t="s">
        <v>219</v>
      </c>
      <c r="B797" t="s">
        <v>221</v>
      </c>
      <c r="C797" s="72" t="n">
        <v>2034</v>
      </c>
      <c r="D797" t="s">
        <v>190</v>
      </c>
      <c r="E797" s="73" t="n">
        <v>701691.677358768</v>
      </c>
      <c r="F797" s="74" t="n">
        <v>423259.100590806</v>
      </c>
      <c r="G797" s="75" t="n">
        <v>701691.677358768</v>
      </c>
      <c r="H797" s="76" t="n">
        <v>423259.100590806</v>
      </c>
      <c r="I797" s="77" t="str">
        <f>H797-F797</f>
      </c>
      <c r="J797" s="78" t="str">
        <f>G797-E797</f>
      </c>
    </row>
    <row r="798">
      <c r="A798" t="s">
        <v>219</v>
      </c>
      <c r="B798" t="s">
        <v>221</v>
      </c>
      <c r="C798" s="72" t="n">
        <v>2034</v>
      </c>
      <c r="D798" t="s">
        <v>193</v>
      </c>
      <c r="E798" s="73" t="n">
        <v>516406.53850878</v>
      </c>
      <c r="F798" s="74" t="n">
        <v>279484.980285229</v>
      </c>
      <c r="G798" s="75" t="n">
        <v>516406.53850878</v>
      </c>
      <c r="H798" s="76" t="n">
        <v>279484.980285229</v>
      </c>
      <c r="I798" s="77" t="str">
        <f>H798-F798</f>
      </c>
      <c r="J798" s="78" t="str">
        <f>G798-E798</f>
      </c>
    </row>
    <row r="799">
      <c r="A799" t="s">
        <v>219</v>
      </c>
      <c r="B799" t="s">
        <v>221</v>
      </c>
      <c r="C799" s="72" t="n">
        <v>2034</v>
      </c>
      <c r="D799" t="s">
        <v>424</v>
      </c>
      <c r="E799" s="73" t="n">
        <v>44355.184450179</v>
      </c>
      <c r="F799" s="74" t="n">
        <v>7385.04094675217</v>
      </c>
      <c r="G799" s="75" t="n">
        <v>44355.184450179</v>
      </c>
      <c r="H799" s="76" t="n">
        <v>7385.04094675217</v>
      </c>
      <c r="I799" s="77" t="str">
        <f>H799-F799</f>
      </c>
      <c r="J799" s="78" t="str">
        <f>G799-E799</f>
      </c>
    </row>
    <row r="800">
      <c r="A800" t="s">
        <v>219</v>
      </c>
      <c r="B800" t="s">
        <v>221</v>
      </c>
      <c r="C800" s="72" t="n">
        <v>2035</v>
      </c>
      <c r="D800" t="s">
        <v>176</v>
      </c>
      <c r="E800" s="73" t="n">
        <v>16892.2141390053</v>
      </c>
      <c r="F800" s="74" t="n">
        <v>12203.0577178634</v>
      </c>
      <c r="G800" s="75" t="n">
        <v>16892.2141390053</v>
      </c>
      <c r="H800" s="76" t="n">
        <v>12203.0577178634</v>
      </c>
      <c r="I800" s="77" t="str">
        <f>H800-F800</f>
      </c>
      <c r="J800" s="78" t="str">
        <f>G800-E800</f>
      </c>
    </row>
    <row r="801">
      <c r="A801" t="s">
        <v>219</v>
      </c>
      <c r="B801" t="s">
        <v>221</v>
      </c>
      <c r="C801" s="72" t="n">
        <v>2035</v>
      </c>
      <c r="D801" t="s">
        <v>238</v>
      </c>
      <c r="E801" s="73" t="n">
        <v>1148972.16574985</v>
      </c>
      <c r="F801" s="74" t="n">
        <v>210290.980527925</v>
      </c>
      <c r="G801" s="75" t="n">
        <v>1148972.16574985</v>
      </c>
      <c r="H801" s="76" t="n">
        <v>210290.980527925</v>
      </c>
      <c r="I801" s="77" t="str">
        <f>H801-F801</f>
      </c>
      <c r="J801" s="78" t="str">
        <f>G801-E801</f>
      </c>
    </row>
    <row r="802">
      <c r="A802" t="s">
        <v>219</v>
      </c>
      <c r="B802" t="s">
        <v>221</v>
      </c>
      <c r="C802" s="72" t="n">
        <v>2035</v>
      </c>
      <c r="D802" t="s">
        <v>184</v>
      </c>
      <c r="E802" s="73" t="n">
        <v>124148.207195844</v>
      </c>
      <c r="F802" s="74" t="n">
        <v>83695.1178728798</v>
      </c>
      <c r="G802" s="75" t="n">
        <v>124148.207195844</v>
      </c>
      <c r="H802" s="76" t="n">
        <v>83695.1178728798</v>
      </c>
      <c r="I802" s="77" t="str">
        <f>H802-F802</f>
      </c>
      <c r="J802" s="78" t="str">
        <f>G802-E802</f>
      </c>
    </row>
    <row r="803">
      <c r="A803" t="s">
        <v>219</v>
      </c>
      <c r="B803" t="s">
        <v>221</v>
      </c>
      <c r="C803" s="72" t="n">
        <v>2035</v>
      </c>
      <c r="D803" t="s">
        <v>187</v>
      </c>
      <c r="E803" s="73" t="n">
        <v>414533.160603145</v>
      </c>
      <c r="F803" s="74" t="n">
        <v>383788.762526672</v>
      </c>
      <c r="G803" s="75" t="n">
        <v>414533.160603145</v>
      </c>
      <c r="H803" s="76" t="n">
        <v>383788.762526672</v>
      </c>
      <c r="I803" s="77" t="str">
        <f>H803-F803</f>
      </c>
      <c r="J803" s="78" t="str">
        <f>G803-E803</f>
      </c>
    </row>
    <row r="804">
      <c r="A804" t="s">
        <v>219</v>
      </c>
      <c r="B804" t="s">
        <v>221</v>
      </c>
      <c r="C804" s="72" t="n">
        <v>2035</v>
      </c>
      <c r="D804" t="s">
        <v>190</v>
      </c>
      <c r="E804" s="73" t="n">
        <v>715331.788822102</v>
      </c>
      <c r="F804" s="74" t="n">
        <v>434082.031551195</v>
      </c>
      <c r="G804" s="75" t="n">
        <v>715331.788822102</v>
      </c>
      <c r="H804" s="76" t="n">
        <v>434082.031551195</v>
      </c>
      <c r="I804" s="77" t="str">
        <f>H804-F804</f>
      </c>
      <c r="J804" s="78" t="str">
        <f>G804-E804</f>
      </c>
    </row>
    <row r="805">
      <c r="A805" t="s">
        <v>219</v>
      </c>
      <c r="B805" t="s">
        <v>221</v>
      </c>
      <c r="C805" s="72" t="n">
        <v>2035</v>
      </c>
      <c r="D805" t="s">
        <v>193</v>
      </c>
      <c r="E805" s="73" t="n">
        <v>528818.371883953</v>
      </c>
      <c r="F805" s="74" t="n">
        <v>289150.802435983</v>
      </c>
      <c r="G805" s="75" t="n">
        <v>528818.371883953</v>
      </c>
      <c r="H805" s="76" t="n">
        <v>289150.802435983</v>
      </c>
      <c r="I805" s="77" t="str">
        <f>H805-F805</f>
      </c>
      <c r="J805" s="78" t="str">
        <f>G805-E805</f>
      </c>
    </row>
    <row r="806">
      <c r="A806" t="s">
        <v>219</v>
      </c>
      <c r="B806" t="s">
        <v>221</v>
      </c>
      <c r="C806" s="72" t="n">
        <v>2035</v>
      </c>
      <c r="D806" t="s">
        <v>424</v>
      </c>
      <c r="E806" s="73" t="n">
        <v>44206.7073067121</v>
      </c>
      <c r="F806" s="74" t="n">
        <v>7419.97885519321</v>
      </c>
      <c r="G806" s="75" t="n">
        <v>44206.7073067121</v>
      </c>
      <c r="H806" s="76" t="n">
        <v>7419.97885519321</v>
      </c>
      <c r="I806" s="77" t="str">
        <f>H806-F806</f>
      </c>
      <c r="J806" s="78" t="str">
        <f>G806-E806</f>
      </c>
    </row>
    <row r="807">
      <c r="A807" t="s">
        <v>219</v>
      </c>
      <c r="B807" t="s">
        <v>221</v>
      </c>
      <c r="C807" s="72" t="n">
        <v>2036</v>
      </c>
      <c r="D807" t="s">
        <v>176</v>
      </c>
      <c r="E807" s="73" t="n">
        <v>17350.6546269342</v>
      </c>
      <c r="F807" s="74" t="n">
        <v>12506.9021026876</v>
      </c>
      <c r="G807" s="75" t="n">
        <v>17350.6546269342</v>
      </c>
      <c r="H807" s="76" t="n">
        <v>12506.9021026876</v>
      </c>
      <c r="I807" s="77" t="str">
        <f>H807-F807</f>
      </c>
      <c r="J807" s="78" t="str">
        <f>G807-E807</f>
      </c>
    </row>
    <row r="808">
      <c r="A808" t="s">
        <v>219</v>
      </c>
      <c r="B808" t="s">
        <v>221</v>
      </c>
      <c r="C808" s="72" t="n">
        <v>2036</v>
      </c>
      <c r="D808" t="s">
        <v>238</v>
      </c>
      <c r="E808" s="73" t="n">
        <v>1158266.13775829</v>
      </c>
      <c r="F808" s="74" t="n">
        <v>218370.687575925</v>
      </c>
      <c r="G808" s="75" t="n">
        <v>1158266.13775829</v>
      </c>
      <c r="H808" s="76" t="n">
        <v>218370.687575925</v>
      </c>
      <c r="I808" s="77" t="str">
        <f>H808-F808</f>
      </c>
      <c r="J808" s="78" t="str">
        <f>G808-E808</f>
      </c>
    </row>
    <row r="809">
      <c r="A809" t="s">
        <v>219</v>
      </c>
      <c r="B809" t="s">
        <v>221</v>
      </c>
      <c r="C809" s="72" t="n">
        <v>2036</v>
      </c>
      <c r="D809" t="s">
        <v>184</v>
      </c>
      <c r="E809" s="73" t="n">
        <v>127138.451085333</v>
      </c>
      <c r="F809" s="74" t="n">
        <v>85765.5647353171</v>
      </c>
      <c r="G809" s="75" t="n">
        <v>127138.451085333</v>
      </c>
      <c r="H809" s="76" t="n">
        <v>85765.5647353171</v>
      </c>
      <c r="I809" s="77" t="str">
        <f>H809-F809</f>
      </c>
      <c r="J809" s="78" t="str">
        <f>G809-E809</f>
      </c>
    </row>
    <row r="810">
      <c r="A810" t="s">
        <v>219</v>
      </c>
      <c r="B810" t="s">
        <v>221</v>
      </c>
      <c r="C810" s="72" t="n">
        <v>2036</v>
      </c>
      <c r="D810" t="s">
        <v>187</v>
      </c>
      <c r="E810" s="73" t="n">
        <v>422232.659922133</v>
      </c>
      <c r="F810" s="74" t="n">
        <v>391285.955739587</v>
      </c>
      <c r="G810" s="75" t="n">
        <v>422232.659922133</v>
      </c>
      <c r="H810" s="76" t="n">
        <v>391285.955739587</v>
      </c>
      <c r="I810" s="77" t="str">
        <f>H810-F810</f>
      </c>
      <c r="J810" s="78" t="str">
        <f>G810-E810</f>
      </c>
    </row>
    <row r="811">
      <c r="A811" t="s">
        <v>219</v>
      </c>
      <c r="B811" t="s">
        <v>221</v>
      </c>
      <c r="C811" s="72" t="n">
        <v>2036</v>
      </c>
      <c r="D811" t="s">
        <v>190</v>
      </c>
      <c r="E811" s="73" t="n">
        <v>728531.610160843</v>
      </c>
      <c r="F811" s="74" t="n">
        <v>444747.907566169</v>
      </c>
      <c r="G811" s="75" t="n">
        <v>728531.610160843</v>
      </c>
      <c r="H811" s="76" t="n">
        <v>444747.907566169</v>
      </c>
      <c r="I811" s="77" t="str">
        <f>H811-F811</f>
      </c>
      <c r="J811" s="78" t="str">
        <f>G811-E811</f>
      </c>
    </row>
    <row r="812">
      <c r="A812" t="s">
        <v>219</v>
      </c>
      <c r="B812" t="s">
        <v>221</v>
      </c>
      <c r="C812" s="72" t="n">
        <v>2036</v>
      </c>
      <c r="D812" t="s">
        <v>193</v>
      </c>
      <c r="E812" s="73" t="n">
        <v>541052.28077363</v>
      </c>
      <c r="F812" s="74" t="n">
        <v>298879.611309733</v>
      </c>
      <c r="G812" s="75" t="n">
        <v>541052.28077363</v>
      </c>
      <c r="H812" s="76" t="n">
        <v>298879.611309733</v>
      </c>
      <c r="I812" s="77" t="str">
        <f>H812-F812</f>
      </c>
      <c r="J812" s="78" t="str">
        <f>G812-E812</f>
      </c>
    </row>
    <row r="813">
      <c r="A813" t="s">
        <v>219</v>
      </c>
      <c r="B813" t="s">
        <v>221</v>
      </c>
      <c r="C813" s="72" t="n">
        <v>2036</v>
      </c>
      <c r="D813" t="s">
        <v>424</v>
      </c>
      <c r="E813" s="73" t="n">
        <v>44049.9983782722</v>
      </c>
      <c r="F813" s="74" t="n">
        <v>7453.3351271514</v>
      </c>
      <c r="G813" s="75" t="n">
        <v>44049.9983782722</v>
      </c>
      <c r="H813" s="76" t="n">
        <v>7453.3351271514</v>
      </c>
      <c r="I813" s="77" t="str">
        <f>H813-F813</f>
      </c>
      <c r="J813" s="78" t="str">
        <f>G813-E813</f>
      </c>
    </row>
    <row r="814">
      <c r="A814" t="s">
        <v>219</v>
      </c>
      <c r="B814" t="s">
        <v>221</v>
      </c>
      <c r="C814" s="72" t="n">
        <v>2037</v>
      </c>
      <c r="D814" t="s">
        <v>176</v>
      </c>
      <c r="E814" s="73" t="n">
        <v>17812.5035281772</v>
      </c>
      <c r="F814" s="74" t="n">
        <v>12807.5012683992</v>
      </c>
      <c r="G814" s="75" t="n">
        <v>17812.5035281772</v>
      </c>
      <c r="H814" s="76" t="n">
        <v>12807.5012683992</v>
      </c>
      <c r="I814" s="77" t="str">
        <f>H814-F814</f>
      </c>
      <c r="J814" s="78" t="str">
        <f>G814-E814</f>
      </c>
    </row>
    <row r="815">
      <c r="A815" t="s">
        <v>219</v>
      </c>
      <c r="B815" t="s">
        <v>221</v>
      </c>
      <c r="C815" s="72" t="n">
        <v>2037</v>
      </c>
      <c r="D815" t="s">
        <v>238</v>
      </c>
      <c r="E815" s="73" t="n">
        <v>1167364.66541375</v>
      </c>
      <c r="F815" s="74" t="n">
        <v>226373.365626062</v>
      </c>
      <c r="G815" s="75" t="n">
        <v>1167364.66541375</v>
      </c>
      <c r="H815" s="76" t="n">
        <v>226373.365626062</v>
      </c>
      <c r="I815" s="77" t="str">
        <f>H815-F815</f>
      </c>
      <c r="J815" s="78" t="str">
        <f>G815-E815</f>
      </c>
    </row>
    <row r="816">
      <c r="A816" t="s">
        <v>219</v>
      </c>
      <c r="B816" t="s">
        <v>221</v>
      </c>
      <c r="C816" s="72" t="n">
        <v>2037</v>
      </c>
      <c r="D816" t="s">
        <v>184</v>
      </c>
      <c r="E816" s="73" t="n">
        <v>130092.112965313</v>
      </c>
      <c r="F816" s="74" t="n">
        <v>87785.8739142287</v>
      </c>
      <c r="G816" s="75" t="n">
        <v>130092.112965313</v>
      </c>
      <c r="H816" s="76" t="n">
        <v>87785.8739142287</v>
      </c>
      <c r="I816" s="77" t="str">
        <f>H816-F816</f>
      </c>
      <c r="J816" s="78" t="str">
        <f>G816-E816</f>
      </c>
    </row>
    <row r="817">
      <c r="A817" t="s">
        <v>219</v>
      </c>
      <c r="B817" t="s">
        <v>221</v>
      </c>
      <c r="C817" s="72" t="n">
        <v>2037</v>
      </c>
      <c r="D817" t="s">
        <v>187</v>
      </c>
      <c r="E817" s="73" t="n">
        <v>429674.679324948</v>
      </c>
      <c r="F817" s="74" t="n">
        <v>398473.813386608</v>
      </c>
      <c r="G817" s="75" t="n">
        <v>429674.679324948</v>
      </c>
      <c r="H817" s="76" t="n">
        <v>398473.813386608</v>
      </c>
      <c r="I817" s="77" t="str">
        <f>H817-F817</f>
      </c>
      <c r="J817" s="78" t="str">
        <f>G817-E817</f>
      </c>
    </row>
    <row r="818">
      <c r="A818" t="s">
        <v>219</v>
      </c>
      <c r="B818" t="s">
        <v>221</v>
      </c>
      <c r="C818" s="72" t="n">
        <v>2037</v>
      </c>
      <c r="D818" t="s">
        <v>190</v>
      </c>
      <c r="E818" s="73" t="n">
        <v>741261.427234993</v>
      </c>
      <c r="F818" s="74" t="n">
        <v>455168.184528758</v>
      </c>
      <c r="G818" s="75" t="n">
        <v>741261.427234993</v>
      </c>
      <c r="H818" s="76" t="n">
        <v>455168.184528758</v>
      </c>
      <c r="I818" s="77" t="str">
        <f>H818-F818</f>
      </c>
      <c r="J818" s="78" t="str">
        <f>G818-E818</f>
      </c>
    </row>
    <row r="819">
      <c r="A819" t="s">
        <v>219</v>
      </c>
      <c r="B819" t="s">
        <v>221</v>
      </c>
      <c r="C819" s="72" t="n">
        <v>2037</v>
      </c>
      <c r="D819" t="s">
        <v>193</v>
      </c>
      <c r="E819" s="73" t="n">
        <v>553258.517761357</v>
      </c>
      <c r="F819" s="74" t="n">
        <v>308666.043562302</v>
      </c>
      <c r="G819" s="75" t="n">
        <v>553258.517761357</v>
      </c>
      <c r="H819" s="76" t="n">
        <v>308666.043562302</v>
      </c>
      <c r="I819" s="77" t="str">
        <f>H819-F819</f>
      </c>
      <c r="J819" s="78" t="str">
        <f>G819-E819</f>
      </c>
    </row>
    <row r="820">
      <c r="A820" t="s">
        <v>219</v>
      </c>
      <c r="B820" t="s">
        <v>221</v>
      </c>
      <c r="C820" s="72" t="n">
        <v>2037</v>
      </c>
      <c r="D820" t="s">
        <v>424</v>
      </c>
      <c r="E820" s="73" t="n">
        <v>43886.4966397613</v>
      </c>
      <c r="F820" s="74" t="n">
        <v>7485.63945861012</v>
      </c>
      <c r="G820" s="75" t="n">
        <v>43886.4966397613</v>
      </c>
      <c r="H820" s="76" t="n">
        <v>7485.63945861012</v>
      </c>
      <c r="I820" s="77" t="str">
        <f>H820-F820</f>
      </c>
      <c r="J820" s="78" t="str">
        <f>G820-E820</f>
      </c>
    </row>
    <row r="821">
      <c r="A821" t="s">
        <v>219</v>
      </c>
      <c r="B821" t="s">
        <v>221</v>
      </c>
      <c r="C821" s="72" t="n">
        <v>2038</v>
      </c>
      <c r="D821" t="s">
        <v>176</v>
      </c>
      <c r="E821" s="73" t="n">
        <v>18278.6195315823</v>
      </c>
      <c r="F821" s="74" t="n">
        <v>13108.2586821674</v>
      </c>
      <c r="G821" s="75" t="n">
        <v>18278.6195315823</v>
      </c>
      <c r="H821" s="76" t="n">
        <v>13108.2586821674</v>
      </c>
      <c r="I821" s="77" t="str">
        <f>H821-F821</f>
      </c>
      <c r="J821" s="78" t="str">
        <f>G821-E821</f>
      </c>
    </row>
    <row r="822">
      <c r="A822" t="s">
        <v>219</v>
      </c>
      <c r="B822" t="s">
        <v>221</v>
      </c>
      <c r="C822" s="72" t="n">
        <v>2038</v>
      </c>
      <c r="D822" t="s">
        <v>238</v>
      </c>
      <c r="E822" s="73" t="n">
        <v>1176286.23006217</v>
      </c>
      <c r="F822" s="74" t="n">
        <v>234286.302403295</v>
      </c>
      <c r="G822" s="75" t="n">
        <v>1176286.23006217</v>
      </c>
      <c r="H822" s="76" t="n">
        <v>234286.302403295</v>
      </c>
      <c r="I822" s="77" t="str">
        <f>H822-F822</f>
      </c>
      <c r="J822" s="78" t="str">
        <f>G822-E822</f>
      </c>
    </row>
    <row r="823">
      <c r="A823" t="s">
        <v>219</v>
      </c>
      <c r="B823" t="s">
        <v>221</v>
      </c>
      <c r="C823" s="72" t="n">
        <v>2038</v>
      </c>
      <c r="D823" t="s">
        <v>184</v>
      </c>
      <c r="E823" s="73" t="n">
        <v>133004.77137127</v>
      </c>
      <c r="F823" s="74" t="n">
        <v>89762.9085046272</v>
      </c>
      <c r="G823" s="75" t="n">
        <v>133004.77137127</v>
      </c>
      <c r="H823" s="76" t="n">
        <v>89762.9085046272</v>
      </c>
      <c r="I823" s="77" t="str">
        <f>H823-F823</f>
      </c>
      <c r="J823" s="78" t="str">
        <f>G823-E823</f>
      </c>
    </row>
    <row r="824">
      <c r="A824" t="s">
        <v>219</v>
      </c>
      <c r="B824" t="s">
        <v>221</v>
      </c>
      <c r="C824" s="72" t="n">
        <v>2038</v>
      </c>
      <c r="D824" t="s">
        <v>187</v>
      </c>
      <c r="E824" s="73" t="n">
        <v>436878.359538317</v>
      </c>
      <c r="F824" s="74" t="n">
        <v>405384.957772321</v>
      </c>
      <c r="G824" s="75" t="n">
        <v>436878.359538317</v>
      </c>
      <c r="H824" s="76" t="n">
        <v>405384.957772321</v>
      </c>
      <c r="I824" s="77" t="str">
        <f>H824-F824</f>
      </c>
      <c r="J824" s="78" t="str">
        <f>G824-E824</f>
      </c>
    </row>
    <row r="825">
      <c r="A825" t="s">
        <v>219</v>
      </c>
      <c r="B825" t="s">
        <v>221</v>
      </c>
      <c r="C825" s="72" t="n">
        <v>2038</v>
      </c>
      <c r="D825" t="s">
        <v>190</v>
      </c>
      <c r="E825" s="73" t="n">
        <v>753560.822146793</v>
      </c>
      <c r="F825" s="74" t="n">
        <v>465342.91786371</v>
      </c>
      <c r="G825" s="75" t="n">
        <v>753560.822146793</v>
      </c>
      <c r="H825" s="76" t="n">
        <v>465342.91786371</v>
      </c>
      <c r="I825" s="77" t="str">
        <f>H825-F825</f>
      </c>
      <c r="J825" s="78" t="str">
        <f>G825-E825</f>
      </c>
    </row>
    <row r="826">
      <c r="A826" t="s">
        <v>219</v>
      </c>
      <c r="B826" t="s">
        <v>221</v>
      </c>
      <c r="C826" s="72" t="n">
        <v>2038</v>
      </c>
      <c r="D826" t="s">
        <v>193</v>
      </c>
      <c r="E826" s="73" t="n">
        <v>565403.758799385</v>
      </c>
      <c r="F826" s="74" t="n">
        <v>318461.022248122</v>
      </c>
      <c r="G826" s="75" t="n">
        <v>565403.758799385</v>
      </c>
      <c r="H826" s="76" t="n">
        <v>318461.022248122</v>
      </c>
      <c r="I826" s="77" t="str">
        <f>H826-F826</f>
      </c>
      <c r="J826" s="78" t="str">
        <f>G826-E826</f>
      </c>
    </row>
    <row r="827">
      <c r="A827" t="s">
        <v>219</v>
      </c>
      <c r="B827" t="s">
        <v>221</v>
      </c>
      <c r="C827" s="72" t="n">
        <v>2038</v>
      </c>
      <c r="D827" t="s">
        <v>424</v>
      </c>
      <c r="E827" s="73" t="n">
        <v>43730.7448506382</v>
      </c>
      <c r="F827" s="74" t="n">
        <v>7517.77035327065</v>
      </c>
      <c r="G827" s="75" t="n">
        <v>43730.7448506382</v>
      </c>
      <c r="H827" s="76" t="n">
        <v>7517.77035327065</v>
      </c>
      <c r="I827" s="77" t="str">
        <f>H827-F827</f>
      </c>
      <c r="J827" s="78" t="str">
        <f>G827-E827</f>
      </c>
    </row>
    <row r="828">
      <c r="A828" t="s">
        <v>219</v>
      </c>
      <c r="B828" t="s">
        <v>221</v>
      </c>
      <c r="C828" s="72" t="n">
        <v>2039</v>
      </c>
      <c r="D828" t="s">
        <v>176</v>
      </c>
      <c r="E828" s="73" t="n">
        <v>18752.090499403</v>
      </c>
      <c r="F828" s="74" t="n">
        <v>13404.6696202756</v>
      </c>
      <c r="G828" s="75" t="n">
        <v>18752.090499403</v>
      </c>
      <c r="H828" s="76" t="n">
        <v>13404.6696202756</v>
      </c>
      <c r="I828" s="77" t="str">
        <f>H828-F828</f>
      </c>
      <c r="J828" s="78" t="str">
        <f>G828-E828</f>
      </c>
    </row>
    <row r="829">
      <c r="A829" t="s">
        <v>219</v>
      </c>
      <c r="B829" t="s">
        <v>221</v>
      </c>
      <c r="C829" s="72" t="n">
        <v>2039</v>
      </c>
      <c r="D829" t="s">
        <v>238</v>
      </c>
      <c r="E829" s="73" t="n">
        <v>1184738.39184491</v>
      </c>
      <c r="F829" s="74" t="n">
        <v>242132.191153164</v>
      </c>
      <c r="G829" s="75" t="n">
        <v>1184738.39184491</v>
      </c>
      <c r="H829" s="76" t="n">
        <v>242132.191153164</v>
      </c>
      <c r="I829" s="77" t="str">
        <f>H829-F829</f>
      </c>
      <c r="J829" s="78" t="str">
        <f>G829-E829</f>
      </c>
    </row>
    <row r="830">
      <c r="A830" t="s">
        <v>219</v>
      </c>
      <c r="B830" t="s">
        <v>221</v>
      </c>
      <c r="C830" s="72" t="n">
        <v>2039</v>
      </c>
      <c r="D830" t="s">
        <v>184</v>
      </c>
      <c r="E830" s="73" t="n">
        <v>135872.13136763</v>
      </c>
      <c r="F830" s="74" t="n">
        <v>91716.3663536023</v>
      </c>
      <c r="G830" s="75" t="n">
        <v>135872.13136763</v>
      </c>
      <c r="H830" s="76" t="n">
        <v>91716.3663536023</v>
      </c>
      <c r="I830" s="77" t="str">
        <f>H830-F830</f>
      </c>
      <c r="J830" s="78" t="str">
        <f>G830-E830</f>
      </c>
    </row>
    <row r="831">
      <c r="A831" t="s">
        <v>219</v>
      </c>
      <c r="B831" t="s">
        <v>221</v>
      </c>
      <c r="C831" s="72" t="n">
        <v>2039</v>
      </c>
      <c r="D831" t="s">
        <v>187</v>
      </c>
      <c r="E831" s="73" t="n">
        <v>443905.980748337</v>
      </c>
      <c r="F831" s="74" t="n">
        <v>412120.21350488</v>
      </c>
      <c r="G831" s="75" t="n">
        <v>443905.980748337</v>
      </c>
      <c r="H831" s="76" t="n">
        <v>412120.21350488</v>
      </c>
      <c r="I831" s="77" t="str">
        <f>H831-F831</f>
      </c>
      <c r="J831" s="78" t="str">
        <f>G831-E831</f>
      </c>
    </row>
    <row r="832">
      <c r="A832" t="s">
        <v>219</v>
      </c>
      <c r="B832" t="s">
        <v>221</v>
      </c>
      <c r="C832" s="72" t="n">
        <v>2039</v>
      </c>
      <c r="D832" t="s">
        <v>190</v>
      </c>
      <c r="E832" s="73" t="n">
        <v>765528.467838857</v>
      </c>
      <c r="F832" s="74" t="n">
        <v>475269.787528918</v>
      </c>
      <c r="G832" s="75" t="n">
        <v>765528.467838857</v>
      </c>
      <c r="H832" s="76" t="n">
        <v>475269.787528918</v>
      </c>
      <c r="I832" s="77" t="str">
        <f>H832-F832</f>
      </c>
      <c r="J832" s="78" t="str">
        <f>G832-E832</f>
      </c>
    </row>
    <row r="833">
      <c r="A833" t="s">
        <v>219</v>
      </c>
      <c r="B833" t="s">
        <v>221</v>
      </c>
      <c r="C833" s="72" t="n">
        <v>2039</v>
      </c>
      <c r="D833" t="s">
        <v>193</v>
      </c>
      <c r="E833" s="73" t="n">
        <v>577414.514396235</v>
      </c>
      <c r="F833" s="74" t="n">
        <v>328246.401276368</v>
      </c>
      <c r="G833" s="75" t="n">
        <v>577414.514396235</v>
      </c>
      <c r="H833" s="76" t="n">
        <v>328246.401276368</v>
      </c>
      <c r="I833" s="77" t="str">
        <f>H833-F833</f>
      </c>
      <c r="J833" s="78" t="str">
        <f>G833-E833</f>
      </c>
    </row>
    <row r="834">
      <c r="A834" t="s">
        <v>219</v>
      </c>
      <c r="B834" t="s">
        <v>221</v>
      </c>
      <c r="C834" s="72" t="n">
        <v>2039</v>
      </c>
      <c r="D834" t="s">
        <v>424</v>
      </c>
      <c r="E834" s="73" t="n">
        <v>43588.845456637</v>
      </c>
      <c r="F834" s="74" t="n">
        <v>7547.5598608641</v>
      </c>
      <c r="G834" s="75" t="n">
        <v>43588.845456637</v>
      </c>
      <c r="H834" s="76" t="n">
        <v>7547.5598608641</v>
      </c>
      <c r="I834" s="77" t="str">
        <f>H834-F834</f>
      </c>
      <c r="J834" s="78" t="str">
        <f>G834-E834</f>
      </c>
    </row>
    <row r="835">
      <c r="A835" t="s">
        <v>219</v>
      </c>
      <c r="B835" t="s">
        <v>221</v>
      </c>
      <c r="C835" s="72" t="n">
        <v>2040</v>
      </c>
      <c r="D835" t="s">
        <v>176</v>
      </c>
      <c r="E835" s="73" t="n">
        <v>19235.7365429273</v>
      </c>
      <c r="F835" s="74" t="n">
        <v>13698.9721681132</v>
      </c>
      <c r="G835" s="75" t="n">
        <v>19235.7365429273</v>
      </c>
      <c r="H835" s="76" t="n">
        <v>13698.9721681132</v>
      </c>
      <c r="I835" s="77" t="str">
        <f>H835-F835</f>
      </c>
      <c r="J835" s="78" t="str">
        <f>G835-E835</f>
      </c>
    </row>
    <row r="836">
      <c r="A836" t="s">
        <v>219</v>
      </c>
      <c r="B836" t="s">
        <v>221</v>
      </c>
      <c r="C836" s="72" t="n">
        <v>2040</v>
      </c>
      <c r="D836" t="s">
        <v>238</v>
      </c>
      <c r="E836" s="73" t="n">
        <v>1192634.43006365</v>
      </c>
      <c r="F836" s="74" t="n">
        <v>249894.478827588</v>
      </c>
      <c r="G836" s="75" t="n">
        <v>1192634.43006365</v>
      </c>
      <c r="H836" s="76" t="n">
        <v>249894.478827588</v>
      </c>
      <c r="I836" s="77" t="str">
        <f>H836-F836</f>
      </c>
      <c r="J836" s="78" t="str">
        <f>G836-E836</f>
      </c>
    </row>
    <row r="837">
      <c r="A837" t="s">
        <v>219</v>
      </c>
      <c r="B837" t="s">
        <v>221</v>
      </c>
      <c r="C837" s="72" t="n">
        <v>2040</v>
      </c>
      <c r="D837" t="s">
        <v>184</v>
      </c>
      <c r="E837" s="73" t="n">
        <v>138689.796610277</v>
      </c>
      <c r="F837" s="74" t="n">
        <v>93636.8967600593</v>
      </c>
      <c r="G837" s="75" t="n">
        <v>138689.796610277</v>
      </c>
      <c r="H837" s="76" t="n">
        <v>93636.8967600593</v>
      </c>
      <c r="I837" s="77" t="str">
        <f>H837-F837</f>
      </c>
      <c r="J837" s="78" t="str">
        <f>G837-E837</f>
      </c>
    </row>
    <row r="838">
      <c r="A838" t="s">
        <v>219</v>
      </c>
      <c r="B838" t="s">
        <v>221</v>
      </c>
      <c r="C838" s="72" t="n">
        <v>2040</v>
      </c>
      <c r="D838" t="s">
        <v>187</v>
      </c>
      <c r="E838" s="73" t="n">
        <v>450841.764596063</v>
      </c>
      <c r="F838" s="74" t="n">
        <v>418620.908948174</v>
      </c>
      <c r="G838" s="75" t="n">
        <v>450841.764596063</v>
      </c>
      <c r="H838" s="76" t="n">
        <v>418620.908948174</v>
      </c>
      <c r="I838" s="77" t="str">
        <f>H838-F838</f>
      </c>
      <c r="J838" s="78" t="str">
        <f>G838-E838</f>
      </c>
    </row>
    <row r="839">
      <c r="A839" t="s">
        <v>219</v>
      </c>
      <c r="B839" t="s">
        <v>221</v>
      </c>
      <c r="C839" s="72" t="n">
        <v>2040</v>
      </c>
      <c r="D839" t="s">
        <v>190</v>
      </c>
      <c r="E839" s="73" t="n">
        <v>777088.496702091</v>
      </c>
      <c r="F839" s="74" t="n">
        <v>484947.105425179</v>
      </c>
      <c r="G839" s="75" t="n">
        <v>777088.496702091</v>
      </c>
      <c r="H839" s="76" t="n">
        <v>484947.105425179</v>
      </c>
      <c r="I839" s="77" t="str">
        <f>H839-F839</f>
      </c>
      <c r="J839" s="78" t="str">
        <f>G839-E839</f>
      </c>
    </row>
    <row r="840">
      <c r="A840" t="s">
        <v>219</v>
      </c>
      <c r="B840" t="s">
        <v>221</v>
      </c>
      <c r="C840" s="72" t="n">
        <v>2040</v>
      </c>
      <c r="D840" t="s">
        <v>193</v>
      </c>
      <c r="E840" s="73" t="n">
        <v>589359.733832842</v>
      </c>
      <c r="F840" s="74" t="n">
        <v>338039.010430446</v>
      </c>
      <c r="G840" s="75" t="n">
        <v>589359.733832842</v>
      </c>
      <c r="H840" s="76" t="n">
        <v>338039.010430446</v>
      </c>
      <c r="I840" s="77" t="str">
        <f>H840-F840</f>
      </c>
      <c r="J840" s="78" t="str">
        <f>G840-E840</f>
      </c>
    </row>
    <row r="841">
      <c r="A841" t="s">
        <v>219</v>
      </c>
      <c r="B841" t="s">
        <v>221</v>
      </c>
      <c r="C841" s="72" t="n">
        <v>2040</v>
      </c>
      <c r="D841" t="s">
        <v>424</v>
      </c>
      <c r="E841" s="73" t="n">
        <v>43464.8596818836</v>
      </c>
      <c r="F841" s="74" t="n">
        <v>7573.72556082699</v>
      </c>
      <c r="G841" s="75" t="n">
        <v>43464.8596818836</v>
      </c>
      <c r="H841" s="76" t="n">
        <v>7573.72556082699</v>
      </c>
      <c r="I841" s="77" t="str">
        <f>H841-F841</f>
      </c>
      <c r="J841" s="78" t="str">
        <f>G841-E841</f>
      </c>
    </row>
    <row r="842">
      <c r="A842" t="s">
        <v>219</v>
      </c>
      <c r="B842" t="s">
        <v>221</v>
      </c>
      <c r="C842" s="72" t="n">
        <v>2041</v>
      </c>
      <c r="D842" t="s">
        <v>176</v>
      </c>
      <c r="E842" s="73" t="n">
        <v>19727.283486384</v>
      </c>
      <c r="F842" s="74" t="n">
        <v>13991.6066902828</v>
      </c>
      <c r="G842" s="75" t="n">
        <v>19727.283486384</v>
      </c>
      <c r="H842" s="76" t="n">
        <v>13991.6066902828</v>
      </c>
      <c r="I842" s="77" t="str">
        <f>H842-F842</f>
      </c>
      <c r="J842" s="78" t="str">
        <f>G842-E842</f>
      </c>
    </row>
    <row r="843">
      <c r="A843" t="s">
        <v>219</v>
      </c>
      <c r="B843" t="s">
        <v>221</v>
      </c>
      <c r="C843" s="72" t="n">
        <v>2041</v>
      </c>
      <c r="D843" t="s">
        <v>238</v>
      </c>
      <c r="E843" s="73" t="n">
        <v>1199988.17586749</v>
      </c>
      <c r="F843" s="74" t="n">
        <v>257599.044002988</v>
      </c>
      <c r="G843" s="75" t="n">
        <v>1199988.17586749</v>
      </c>
      <c r="H843" s="76" t="n">
        <v>257599.044002988</v>
      </c>
      <c r="I843" s="77" t="str">
        <f>H843-F843</f>
      </c>
      <c r="J843" s="78" t="str">
        <f>G843-E843</f>
      </c>
    </row>
    <row r="844">
      <c r="A844" t="s">
        <v>219</v>
      </c>
      <c r="B844" t="s">
        <v>221</v>
      </c>
      <c r="C844" s="72" t="n">
        <v>2041</v>
      </c>
      <c r="D844" t="s">
        <v>184</v>
      </c>
      <c r="E844" s="73" t="n">
        <v>141475.570851386</v>
      </c>
      <c r="F844" s="74" t="n">
        <v>95527.0063786807</v>
      </c>
      <c r="G844" s="75" t="n">
        <v>141475.570851386</v>
      </c>
      <c r="H844" s="76" t="n">
        <v>95527.0063786807</v>
      </c>
      <c r="I844" s="77" t="str">
        <f>H844-F844</f>
      </c>
      <c r="J844" s="78" t="str">
        <f>G844-E844</f>
      </c>
    </row>
    <row r="845">
      <c r="A845" t="s">
        <v>219</v>
      </c>
      <c r="B845" t="s">
        <v>221</v>
      </c>
      <c r="C845" s="72" t="n">
        <v>2041</v>
      </c>
      <c r="D845" t="s">
        <v>187</v>
      </c>
      <c r="E845" s="73" t="n">
        <v>457698.128134802</v>
      </c>
      <c r="F845" s="74" t="n">
        <v>425005.77720965</v>
      </c>
      <c r="G845" s="75" t="n">
        <v>457698.128134802</v>
      </c>
      <c r="H845" s="76" t="n">
        <v>425005.77720965</v>
      </c>
      <c r="I845" s="77" t="str">
        <f>H845-F845</f>
      </c>
      <c r="J845" s="78" t="str">
        <f>G845-E845</f>
      </c>
    </row>
    <row r="846">
      <c r="A846" t="s">
        <v>219</v>
      </c>
      <c r="B846" t="s">
        <v>221</v>
      </c>
      <c r="C846" s="72" t="n">
        <v>2041</v>
      </c>
      <c r="D846" t="s">
        <v>190</v>
      </c>
      <c r="E846" s="73" t="n">
        <v>788293.242756689</v>
      </c>
      <c r="F846" s="74" t="n">
        <v>494390.873248259</v>
      </c>
      <c r="G846" s="75" t="n">
        <v>788293.242756689</v>
      </c>
      <c r="H846" s="76" t="n">
        <v>494390.873248259</v>
      </c>
      <c r="I846" s="77" t="str">
        <f>H846-F846</f>
      </c>
      <c r="J846" s="78" t="str">
        <f>G846-E846</f>
      </c>
    </row>
    <row r="847">
      <c r="A847" t="s">
        <v>219</v>
      </c>
      <c r="B847" t="s">
        <v>221</v>
      </c>
      <c r="C847" s="72" t="n">
        <v>2041</v>
      </c>
      <c r="D847" t="s">
        <v>193</v>
      </c>
      <c r="E847" s="73" t="n">
        <v>601155.340946961</v>
      </c>
      <c r="F847" s="74" t="n">
        <v>347924.766327078</v>
      </c>
      <c r="G847" s="75" t="n">
        <v>601155.340946961</v>
      </c>
      <c r="H847" s="76" t="n">
        <v>347924.766327078</v>
      </c>
      <c r="I847" s="77" t="str">
        <f>H847-F847</f>
      </c>
      <c r="J847" s="78" t="str">
        <f>G847-E847</f>
      </c>
    </row>
    <row r="848">
      <c r="A848" t="s">
        <v>219</v>
      </c>
      <c r="B848" t="s">
        <v>221</v>
      </c>
      <c r="C848" s="72" t="n">
        <v>2041</v>
      </c>
      <c r="D848" t="s">
        <v>424</v>
      </c>
      <c r="E848" s="73" t="n">
        <v>43360.9356755525</v>
      </c>
      <c r="F848" s="74" t="n">
        <v>7595.99533386821</v>
      </c>
      <c r="G848" s="75" t="n">
        <v>43360.9356755525</v>
      </c>
      <c r="H848" s="76" t="n">
        <v>7595.99533386821</v>
      </c>
      <c r="I848" s="77" t="str">
        <f>H848-F848</f>
      </c>
      <c r="J848" s="78" t="str">
        <f>G848-E848</f>
      </c>
    </row>
    <row r="849">
      <c r="A849" t="s">
        <v>219</v>
      </c>
      <c r="B849" t="s">
        <v>221</v>
      </c>
      <c r="C849" s="72" t="n">
        <v>2042</v>
      </c>
      <c r="D849" t="s">
        <v>176</v>
      </c>
      <c r="E849" s="73" t="n">
        <v>20222.2683991647</v>
      </c>
      <c r="F849" s="74" t="n">
        <v>14284.6169088399</v>
      </c>
      <c r="G849" s="75" t="n">
        <v>20222.2683991647</v>
      </c>
      <c r="H849" s="76" t="n">
        <v>14284.6169088399</v>
      </c>
      <c r="I849" s="77" t="str">
        <f>H849-F849</f>
      </c>
      <c r="J849" s="78" t="str">
        <f>G849-E849</f>
      </c>
    </row>
    <row r="850">
      <c r="A850" t="s">
        <v>219</v>
      </c>
      <c r="B850" t="s">
        <v>221</v>
      </c>
      <c r="C850" s="72" t="n">
        <v>2042</v>
      </c>
      <c r="D850" t="s">
        <v>238</v>
      </c>
      <c r="E850" s="73" t="n">
        <v>1206799.58929471</v>
      </c>
      <c r="F850" s="74" t="n">
        <v>265289.409116733</v>
      </c>
      <c r="G850" s="75" t="n">
        <v>1206799.58929471</v>
      </c>
      <c r="H850" s="76" t="n">
        <v>265289.409116733</v>
      </c>
      <c r="I850" s="77" t="str">
        <f>H850-F850</f>
      </c>
      <c r="J850" s="78" t="str">
        <f>G850-E850</f>
      </c>
    </row>
    <row r="851">
      <c r="A851" t="s">
        <v>219</v>
      </c>
      <c r="B851" t="s">
        <v>221</v>
      </c>
      <c r="C851" s="72" t="n">
        <v>2042</v>
      </c>
      <c r="D851" t="s">
        <v>184</v>
      </c>
      <c r="E851" s="73" t="n">
        <v>144248.066926011</v>
      </c>
      <c r="F851" s="74" t="n">
        <v>97406.1569770963</v>
      </c>
      <c r="G851" s="75" t="n">
        <v>144248.066926011</v>
      </c>
      <c r="H851" s="76" t="n">
        <v>97406.1569770963</v>
      </c>
      <c r="I851" s="77" t="str">
        <f>H851-F851</f>
      </c>
      <c r="J851" s="78" t="str">
        <f>G851-E851</f>
      </c>
    </row>
    <row r="852">
      <c r="A852" t="s">
        <v>219</v>
      </c>
      <c r="B852" t="s">
        <v>221</v>
      </c>
      <c r="C852" s="72" t="n">
        <v>2042</v>
      </c>
      <c r="D852" t="s">
        <v>187</v>
      </c>
      <c r="E852" s="73" t="n">
        <v>464487.038990191</v>
      </c>
      <c r="F852" s="74" t="n">
        <v>431397.042999706</v>
      </c>
      <c r="G852" s="75" t="n">
        <v>464487.038990191</v>
      </c>
      <c r="H852" s="76" t="n">
        <v>431397.042999706</v>
      </c>
      <c r="I852" s="77" t="str">
        <f>H852-F852</f>
      </c>
      <c r="J852" s="78" t="str">
        <f>G852-E852</f>
      </c>
    </row>
    <row r="853">
      <c r="A853" t="s">
        <v>219</v>
      </c>
      <c r="B853" t="s">
        <v>221</v>
      </c>
      <c r="C853" s="72" t="n">
        <v>2042</v>
      </c>
      <c r="D853" t="s">
        <v>190</v>
      </c>
      <c r="E853" s="73" t="n">
        <v>799225.499121645</v>
      </c>
      <c r="F853" s="74" t="n">
        <v>503603.803809569</v>
      </c>
      <c r="G853" s="75" t="n">
        <v>799225.499121645</v>
      </c>
      <c r="H853" s="76" t="n">
        <v>503603.803809569</v>
      </c>
      <c r="I853" s="77" t="str">
        <f>H853-F853</f>
      </c>
      <c r="J853" s="78" t="str">
        <f>G853-E853</f>
      </c>
    </row>
    <row r="854">
      <c r="A854" t="s">
        <v>219</v>
      </c>
      <c r="B854" t="s">
        <v>221</v>
      </c>
      <c r="C854" s="72" t="n">
        <v>2042</v>
      </c>
      <c r="D854" t="s">
        <v>193</v>
      </c>
      <c r="E854" s="73" t="n">
        <v>612664.177038008</v>
      </c>
      <c r="F854" s="74" t="n">
        <v>357930.939504437</v>
      </c>
      <c r="G854" s="75" t="n">
        <v>612664.177038008</v>
      </c>
      <c r="H854" s="76" t="n">
        <v>357930.939504437</v>
      </c>
      <c r="I854" s="77" t="str">
        <f>H854-F854</f>
      </c>
      <c r="J854" s="78" t="str">
        <f>G854-E854</f>
      </c>
    </row>
    <row r="855">
      <c r="A855" t="s">
        <v>219</v>
      </c>
      <c r="B855" t="s">
        <v>221</v>
      </c>
      <c r="C855" s="72" t="n">
        <v>2042</v>
      </c>
      <c r="D855" t="s">
        <v>424</v>
      </c>
      <c r="E855" s="73" t="n">
        <v>43278.7284816073</v>
      </c>
      <c r="F855" s="74" t="n">
        <v>7616.59280355029</v>
      </c>
      <c r="G855" s="75" t="n">
        <v>43278.7284816073</v>
      </c>
      <c r="H855" s="76" t="n">
        <v>7616.59280355029</v>
      </c>
      <c r="I855" s="77" t="str">
        <f>H855-F855</f>
      </c>
      <c r="J855" s="78" t="str">
        <f>G855-E855</f>
      </c>
    </row>
    <row r="856">
      <c r="A856" t="s">
        <v>219</v>
      </c>
      <c r="B856" t="s">
        <v>221</v>
      </c>
      <c r="C856" s="72" t="n">
        <v>2043</v>
      </c>
      <c r="D856" t="s">
        <v>176</v>
      </c>
      <c r="E856" s="73" t="n">
        <v>20720.5482054553</v>
      </c>
      <c r="F856" s="74" t="n">
        <v>14572.8831532714</v>
      </c>
      <c r="G856" s="75" t="n">
        <v>20720.5482054553</v>
      </c>
      <c r="H856" s="76" t="n">
        <v>14572.8831532714</v>
      </c>
      <c r="I856" s="77" t="str">
        <f>H856-F856</f>
      </c>
      <c r="J856" s="78" t="str">
        <f>G856-E856</f>
      </c>
    </row>
    <row r="857">
      <c r="A857" t="s">
        <v>219</v>
      </c>
      <c r="B857" t="s">
        <v>221</v>
      </c>
      <c r="C857" s="72" t="n">
        <v>2043</v>
      </c>
      <c r="D857" t="s">
        <v>238</v>
      </c>
      <c r="E857" s="73" t="n">
        <v>1213049.26096591</v>
      </c>
      <c r="F857" s="74" t="n">
        <v>272950.435419178</v>
      </c>
      <c r="G857" s="75" t="n">
        <v>1213049.26096591</v>
      </c>
      <c r="H857" s="76" t="n">
        <v>272950.435419178</v>
      </c>
      <c r="I857" s="77" t="str">
        <f>H857-F857</f>
      </c>
      <c r="J857" s="78" t="str">
        <f>G857-E857</f>
      </c>
    </row>
    <row r="858">
      <c r="A858" t="s">
        <v>219</v>
      </c>
      <c r="B858" t="s">
        <v>221</v>
      </c>
      <c r="C858" s="72" t="n">
        <v>2043</v>
      </c>
      <c r="D858" t="s">
        <v>184</v>
      </c>
      <c r="E858" s="73" t="n">
        <v>146993.814208207</v>
      </c>
      <c r="F858" s="74" t="n">
        <v>99271.3911680729</v>
      </c>
      <c r="G858" s="75" t="n">
        <v>146993.814208207</v>
      </c>
      <c r="H858" s="76" t="n">
        <v>99271.3911680729</v>
      </c>
      <c r="I858" s="77" t="str">
        <f>H858-F858</f>
      </c>
      <c r="J858" s="78" t="str">
        <f>G858-E858</f>
      </c>
    </row>
    <row r="859">
      <c r="A859" t="s">
        <v>219</v>
      </c>
      <c r="B859" t="s">
        <v>221</v>
      </c>
      <c r="C859" s="72" t="n">
        <v>2043</v>
      </c>
      <c r="D859" t="s">
        <v>187</v>
      </c>
      <c r="E859" s="73" t="n">
        <v>471154.839580669</v>
      </c>
      <c r="F859" s="74" t="n">
        <v>437679.988471842</v>
      </c>
      <c r="G859" s="75" t="n">
        <v>471154.839580669</v>
      </c>
      <c r="H859" s="76" t="n">
        <v>437679.988471842</v>
      </c>
      <c r="I859" s="77" t="str">
        <f>H859-F859</f>
      </c>
      <c r="J859" s="78" t="str">
        <f>G859-E859</f>
      </c>
    </row>
    <row r="860">
      <c r="A860" t="s">
        <v>219</v>
      </c>
      <c r="B860" t="s">
        <v>221</v>
      </c>
      <c r="C860" s="72" t="n">
        <v>2043</v>
      </c>
      <c r="D860" t="s">
        <v>190</v>
      </c>
      <c r="E860" s="73" t="n">
        <v>810014.772834319</v>
      </c>
      <c r="F860" s="74" t="n">
        <v>512610.449179313</v>
      </c>
      <c r="G860" s="75" t="n">
        <v>810014.772834319</v>
      </c>
      <c r="H860" s="76" t="n">
        <v>512610.449179313</v>
      </c>
      <c r="I860" s="77" t="str">
        <f>H860-F860</f>
      </c>
      <c r="J860" s="78" t="str">
        <f>G860-E860</f>
      </c>
    </row>
    <row r="861">
      <c r="A861" t="s">
        <v>219</v>
      </c>
      <c r="B861" t="s">
        <v>221</v>
      </c>
      <c r="C861" s="72" t="n">
        <v>2043</v>
      </c>
      <c r="D861" t="s">
        <v>193</v>
      </c>
      <c r="E861" s="73" t="n">
        <v>623953.356494139</v>
      </c>
      <c r="F861" s="74" t="n">
        <v>367959.059248153</v>
      </c>
      <c r="G861" s="75" t="n">
        <v>623953.356494139</v>
      </c>
      <c r="H861" s="76" t="n">
        <v>367959.059248153</v>
      </c>
      <c r="I861" s="77" t="str">
        <f>H861-F861</f>
      </c>
      <c r="J861" s="78" t="str">
        <f>G861-E861</f>
      </c>
    </row>
    <row r="862">
      <c r="A862" t="s">
        <v>219</v>
      </c>
      <c r="B862" t="s">
        <v>221</v>
      </c>
      <c r="C862" s="72" t="n">
        <v>2043</v>
      </c>
      <c r="D862" t="s">
        <v>424</v>
      </c>
      <c r="E862" s="73" t="n">
        <v>43232.1385441846</v>
      </c>
      <c r="F862" s="74" t="n">
        <v>7634.63809790975</v>
      </c>
      <c r="G862" s="75" t="n">
        <v>43232.1385441846</v>
      </c>
      <c r="H862" s="76" t="n">
        <v>7634.63809790975</v>
      </c>
      <c r="I862" s="77" t="str">
        <f>H862-F862</f>
      </c>
      <c r="J862" s="78" t="str">
        <f>G862-E862</f>
      </c>
    </row>
    <row r="863">
      <c r="A863" t="s">
        <v>219</v>
      </c>
      <c r="B863" t="s">
        <v>221</v>
      </c>
      <c r="C863" s="72" t="n">
        <v>2044</v>
      </c>
      <c r="D863" t="s">
        <v>176</v>
      </c>
      <c r="E863" s="73" t="n">
        <v>21220.2473713984</v>
      </c>
      <c r="F863" s="74" t="n">
        <v>14861.4315691186</v>
      </c>
      <c r="G863" s="75" t="n">
        <v>21220.2473713984</v>
      </c>
      <c r="H863" s="76" t="n">
        <v>14861.4315691186</v>
      </c>
      <c r="I863" s="77" t="str">
        <f>H863-F863</f>
      </c>
      <c r="J863" s="78" t="str">
        <f>G863-E863</f>
      </c>
    </row>
    <row r="864">
      <c r="A864" t="s">
        <v>219</v>
      </c>
      <c r="B864" t="s">
        <v>221</v>
      </c>
      <c r="C864" s="72" t="n">
        <v>2044</v>
      </c>
      <c r="D864" t="s">
        <v>238</v>
      </c>
      <c r="E864" s="73" t="n">
        <v>1218988.4670045</v>
      </c>
      <c r="F864" s="74" t="n">
        <v>280506.441535508</v>
      </c>
      <c r="G864" s="75" t="n">
        <v>1218988.4670045</v>
      </c>
      <c r="H864" s="76" t="n">
        <v>280506.441535508</v>
      </c>
      <c r="I864" s="77" t="str">
        <f>H864-F864</f>
      </c>
      <c r="J864" s="78" t="str">
        <f>G864-E864</f>
      </c>
    </row>
    <row r="865">
      <c r="A865" t="s">
        <v>219</v>
      </c>
      <c r="B865" t="s">
        <v>221</v>
      </c>
      <c r="C865" s="72" t="n">
        <v>2044</v>
      </c>
      <c r="D865" t="s">
        <v>184</v>
      </c>
      <c r="E865" s="73" t="n">
        <v>149696.213967301</v>
      </c>
      <c r="F865" s="74" t="n">
        <v>101112.290089553</v>
      </c>
      <c r="G865" s="75" t="n">
        <v>149696.213967301</v>
      </c>
      <c r="H865" s="76" t="n">
        <v>101112.290089553</v>
      </c>
      <c r="I865" s="77" t="str">
        <f>H865-F865</f>
      </c>
      <c r="J865" s="78" t="str">
        <f>G865-E865</f>
      </c>
    </row>
    <row r="866">
      <c r="A866" t="s">
        <v>219</v>
      </c>
      <c r="B866" t="s">
        <v>221</v>
      </c>
      <c r="C866" s="72" t="n">
        <v>2044</v>
      </c>
      <c r="D866" t="s">
        <v>187</v>
      </c>
      <c r="E866" s="73" t="n">
        <v>477581.314836645</v>
      </c>
      <c r="F866" s="74" t="n">
        <v>443800.637197395</v>
      </c>
      <c r="G866" s="75" t="n">
        <v>477581.314836645</v>
      </c>
      <c r="H866" s="76" t="n">
        <v>443800.637197395</v>
      </c>
      <c r="I866" s="77" t="str">
        <f>H866-F866</f>
      </c>
      <c r="J866" s="78" t="str">
        <f>G866-E866</f>
      </c>
    </row>
    <row r="867">
      <c r="A867" t="s">
        <v>219</v>
      </c>
      <c r="B867" t="s">
        <v>221</v>
      </c>
      <c r="C867" s="72" t="n">
        <v>2044</v>
      </c>
      <c r="D867" t="s">
        <v>190</v>
      </c>
      <c r="E867" s="73" t="n">
        <v>820742.370121934</v>
      </c>
      <c r="F867" s="74" t="n">
        <v>521420.170330997</v>
      </c>
      <c r="G867" s="75" t="n">
        <v>820742.370121934</v>
      </c>
      <c r="H867" s="76" t="n">
        <v>521420.170330997</v>
      </c>
      <c r="I867" s="77" t="str">
        <f>H867-F867</f>
      </c>
      <c r="J867" s="78" t="str">
        <f>G867-E867</f>
      </c>
    </row>
    <row r="868">
      <c r="A868" t="s">
        <v>219</v>
      </c>
      <c r="B868" t="s">
        <v>221</v>
      </c>
      <c r="C868" s="72" t="n">
        <v>2044</v>
      </c>
      <c r="D868" t="s">
        <v>193</v>
      </c>
      <c r="E868" s="73" t="n">
        <v>635024.546467649</v>
      </c>
      <c r="F868" s="74" t="n">
        <v>377918.589898958</v>
      </c>
      <c r="G868" s="75" t="n">
        <v>635024.546467649</v>
      </c>
      <c r="H868" s="76" t="n">
        <v>377918.589898958</v>
      </c>
      <c r="I868" s="77" t="str">
        <f>H868-F868</f>
      </c>
      <c r="J868" s="78" t="str">
        <f>G868-E868</f>
      </c>
    </row>
    <row r="869">
      <c r="A869" t="s">
        <v>219</v>
      </c>
      <c r="B869" t="s">
        <v>221</v>
      </c>
      <c r="C869" s="72" t="n">
        <v>2044</v>
      </c>
      <c r="D869" t="s">
        <v>424</v>
      </c>
      <c r="E869" s="73" t="n">
        <v>43202.6300388595</v>
      </c>
      <c r="F869" s="74" t="n">
        <v>7652.72182573668</v>
      </c>
      <c r="G869" s="75" t="n">
        <v>43202.6300388595</v>
      </c>
      <c r="H869" s="76" t="n">
        <v>7652.72182573668</v>
      </c>
      <c r="I869" s="77" t="str">
        <f>H869-F869</f>
      </c>
      <c r="J869" s="78" t="str">
        <f>G869-E869</f>
      </c>
    </row>
    <row r="870">
      <c r="A870" t="s">
        <v>219</v>
      </c>
      <c r="B870" t="s">
        <v>221</v>
      </c>
      <c r="C870" s="72" t="n">
        <v>2045</v>
      </c>
      <c r="D870" t="s">
        <v>176</v>
      </c>
      <c r="E870" s="73" t="n">
        <v>21717.6165215297</v>
      </c>
      <c r="F870" s="74" t="n">
        <v>15148.2979562423</v>
      </c>
      <c r="G870" s="75" t="n">
        <v>21717.6165215297</v>
      </c>
      <c r="H870" s="76" t="n">
        <v>15148.2979562423</v>
      </c>
      <c r="I870" s="77" t="str">
        <f>H870-F870</f>
      </c>
      <c r="J870" s="78" t="str">
        <f>G870-E870</f>
      </c>
    </row>
    <row r="871">
      <c r="A871" t="s">
        <v>219</v>
      </c>
      <c r="B871" t="s">
        <v>221</v>
      </c>
      <c r="C871" s="72" t="n">
        <v>2045</v>
      </c>
      <c r="D871" t="s">
        <v>238</v>
      </c>
      <c r="E871" s="73" t="n">
        <v>1224668.96644768</v>
      </c>
      <c r="F871" s="74" t="n">
        <v>287925.043222784</v>
      </c>
      <c r="G871" s="75" t="n">
        <v>1224668.96644768</v>
      </c>
      <c r="H871" s="76" t="n">
        <v>287925.043222784</v>
      </c>
      <c r="I871" s="77" t="str">
        <f>H871-F871</f>
      </c>
      <c r="J871" s="78" t="str">
        <f>G871-E871</f>
      </c>
    </row>
    <row r="872">
      <c r="A872" t="s">
        <v>219</v>
      </c>
      <c r="B872" t="s">
        <v>221</v>
      </c>
      <c r="C872" s="72" t="n">
        <v>2045</v>
      </c>
      <c r="D872" t="s">
        <v>184</v>
      </c>
      <c r="E872" s="73" t="n">
        <v>152338.052815886</v>
      </c>
      <c r="F872" s="74" t="n">
        <v>102935.314985138</v>
      </c>
      <c r="G872" s="75" t="n">
        <v>152338.052815886</v>
      </c>
      <c r="H872" s="76" t="n">
        <v>102935.314985138</v>
      </c>
      <c r="I872" s="77" t="str">
        <f>H872-F872</f>
      </c>
      <c r="J872" s="78" t="str">
        <f>G872-E872</f>
      </c>
    </row>
    <row r="873">
      <c r="A873" t="s">
        <v>219</v>
      </c>
      <c r="B873" t="s">
        <v>221</v>
      </c>
      <c r="C873" s="72" t="n">
        <v>2045</v>
      </c>
      <c r="D873" t="s">
        <v>187</v>
      </c>
      <c r="E873" s="73" t="n">
        <v>483723.516122198</v>
      </c>
      <c r="F873" s="74" t="n">
        <v>449717.558047709</v>
      </c>
      <c r="G873" s="75" t="n">
        <v>483723.516122198</v>
      </c>
      <c r="H873" s="76" t="n">
        <v>449717.558047709</v>
      </c>
      <c r="I873" s="77" t="str">
        <f>H873-F873</f>
      </c>
      <c r="J873" s="78" t="str">
        <f>G873-E873</f>
      </c>
    </row>
    <row r="874">
      <c r="A874" t="s">
        <v>219</v>
      </c>
      <c r="B874" t="s">
        <v>221</v>
      </c>
      <c r="C874" s="72" t="n">
        <v>2045</v>
      </c>
      <c r="D874" t="s">
        <v>190</v>
      </c>
      <c r="E874" s="73" t="n">
        <v>831470.210098177</v>
      </c>
      <c r="F874" s="74" t="n">
        <v>529994.226959208</v>
      </c>
      <c r="G874" s="75" t="n">
        <v>831470.210098177</v>
      </c>
      <c r="H874" s="76" t="n">
        <v>529994.226959208</v>
      </c>
      <c r="I874" s="77" t="str">
        <f>H874-F874</f>
      </c>
      <c r="J874" s="78" t="str">
        <f>G874-E874</f>
      </c>
    </row>
    <row r="875">
      <c r="A875" t="s">
        <v>219</v>
      </c>
      <c r="B875" t="s">
        <v>221</v>
      </c>
      <c r="C875" s="72" t="n">
        <v>2045</v>
      </c>
      <c r="D875" t="s">
        <v>193</v>
      </c>
      <c r="E875" s="73" t="n">
        <v>645730.44769896</v>
      </c>
      <c r="F875" s="74" t="n">
        <v>387750.678781898</v>
      </c>
      <c r="G875" s="75" t="n">
        <v>645730.44769896</v>
      </c>
      <c r="H875" s="76" t="n">
        <v>387750.678781898</v>
      </c>
      <c r="I875" s="77" t="str">
        <f>H875-F875</f>
      </c>
      <c r="J875" s="78" t="str">
        <f>G875-E875</f>
      </c>
    </row>
    <row r="876">
      <c r="A876" t="s">
        <v>219</v>
      </c>
      <c r="B876" t="s">
        <v>221</v>
      </c>
      <c r="C876" s="72" t="n">
        <v>2045</v>
      </c>
      <c r="D876" t="s">
        <v>424</v>
      </c>
      <c r="E876" s="73" t="n">
        <v>43190.6037513161</v>
      </c>
      <c r="F876" s="74" t="n">
        <v>7672.06822678464</v>
      </c>
      <c r="G876" s="75" t="n">
        <v>43190.6037513161</v>
      </c>
      <c r="H876" s="76" t="n">
        <v>7672.06822678464</v>
      </c>
      <c r="I876" s="77" t="str">
        <f>H876-F876</f>
      </c>
      <c r="J876" s="78" t="str">
        <f>G876-E876</f>
      </c>
    </row>
    <row r="877">
      <c r="A877" t="s">
        <v>219</v>
      </c>
      <c r="B877" t="s">
        <v>221</v>
      </c>
      <c r="C877" s="72" t="n">
        <v>2046</v>
      </c>
      <c r="D877" t="s">
        <v>176</v>
      </c>
      <c r="E877" s="73" t="n">
        <v>22210.9745219107</v>
      </c>
      <c r="F877" s="74" t="n">
        <v>15436.8918612077</v>
      </c>
      <c r="G877" s="75" t="n">
        <v>22210.9745219107</v>
      </c>
      <c r="H877" s="76" t="n">
        <v>15436.8918612077</v>
      </c>
      <c r="I877" s="77" t="str">
        <f>H877-F877</f>
      </c>
      <c r="J877" s="78" t="str">
        <f>G877-E877</f>
      </c>
    </row>
    <row r="878">
      <c r="A878" t="s">
        <v>219</v>
      </c>
      <c r="B878" t="s">
        <v>221</v>
      </c>
      <c r="C878" s="72" t="n">
        <v>2046</v>
      </c>
      <c r="D878" t="s">
        <v>238</v>
      </c>
      <c r="E878" s="73" t="n">
        <v>1230125.0687767</v>
      </c>
      <c r="F878" s="74" t="n">
        <v>295165.877208802</v>
      </c>
      <c r="G878" s="75" t="n">
        <v>1230125.0687767</v>
      </c>
      <c r="H878" s="76" t="n">
        <v>295165.877208802</v>
      </c>
      <c r="I878" s="77" t="str">
        <f>H878-F878</f>
      </c>
      <c r="J878" s="78" t="str">
        <f>G878-E878</f>
      </c>
    </row>
    <row r="879">
      <c r="A879" t="s">
        <v>219</v>
      </c>
      <c r="B879" t="s">
        <v>221</v>
      </c>
      <c r="C879" s="72" t="n">
        <v>2046</v>
      </c>
      <c r="D879" t="s">
        <v>184</v>
      </c>
      <c r="E879" s="73" t="n">
        <v>154919.185199882</v>
      </c>
      <c r="F879" s="74" t="n">
        <v>104731.133984312</v>
      </c>
      <c r="G879" s="75" t="n">
        <v>154919.185199882</v>
      </c>
      <c r="H879" s="76" t="n">
        <v>104731.133984312</v>
      </c>
      <c r="I879" s="77" t="str">
        <f>H879-F879</f>
      </c>
      <c r="J879" s="78" t="str">
        <f>G879-E879</f>
      </c>
    </row>
    <row r="880">
      <c r="A880" t="s">
        <v>219</v>
      </c>
      <c r="B880" t="s">
        <v>221</v>
      </c>
      <c r="C880" s="72" t="n">
        <v>2046</v>
      </c>
      <c r="D880" t="s">
        <v>187</v>
      </c>
      <c r="E880" s="73" t="n">
        <v>489559.569488497</v>
      </c>
      <c r="F880" s="74" t="n">
        <v>455310.080020589</v>
      </c>
      <c r="G880" s="75" t="n">
        <v>489559.569488497</v>
      </c>
      <c r="H880" s="76" t="n">
        <v>455310.080020589</v>
      </c>
      <c r="I880" s="77" t="str">
        <f>H880-F880</f>
      </c>
      <c r="J880" s="78" t="str">
        <f>G880-E880</f>
      </c>
    </row>
    <row r="881">
      <c r="A881" t="s">
        <v>219</v>
      </c>
      <c r="B881" t="s">
        <v>221</v>
      </c>
      <c r="C881" s="72" t="n">
        <v>2046</v>
      </c>
      <c r="D881" t="s">
        <v>190</v>
      </c>
      <c r="E881" s="73" t="n">
        <v>842022.211146035</v>
      </c>
      <c r="F881" s="74" t="n">
        <v>538440.168228285</v>
      </c>
      <c r="G881" s="75" t="n">
        <v>842022.211146035</v>
      </c>
      <c r="H881" s="76" t="n">
        <v>538440.168228285</v>
      </c>
      <c r="I881" s="77" t="str">
        <f>H881-F881</f>
      </c>
      <c r="J881" s="78" t="str">
        <f>G881-E881</f>
      </c>
    </row>
    <row r="882">
      <c r="A882" t="s">
        <v>219</v>
      </c>
      <c r="B882" t="s">
        <v>221</v>
      </c>
      <c r="C882" s="72" t="n">
        <v>2046</v>
      </c>
      <c r="D882" t="s">
        <v>193</v>
      </c>
      <c r="E882" s="73" t="n">
        <v>656023.203848247</v>
      </c>
      <c r="F882" s="74" t="n">
        <v>397431.950602612</v>
      </c>
      <c r="G882" s="75" t="n">
        <v>656023.203848247</v>
      </c>
      <c r="H882" s="76" t="n">
        <v>397431.950602612</v>
      </c>
      <c r="I882" s="77" t="str">
        <f>H882-F882</f>
      </c>
      <c r="J882" s="78" t="str">
        <f>G882-E882</f>
      </c>
    </row>
    <row r="883">
      <c r="A883" t="s">
        <v>219</v>
      </c>
      <c r="B883" t="s">
        <v>221</v>
      </c>
      <c r="C883" s="72" t="n">
        <v>2046</v>
      </c>
      <c r="D883" t="s">
        <v>424</v>
      </c>
      <c r="E883" s="73" t="n">
        <v>43196.3103231123</v>
      </c>
      <c r="F883" s="74" t="n">
        <v>7693.55704865625</v>
      </c>
      <c r="G883" s="75" t="n">
        <v>43196.3103231123</v>
      </c>
      <c r="H883" s="76" t="n">
        <v>7693.55704865625</v>
      </c>
      <c r="I883" s="77" t="str">
        <f>H883-F883</f>
      </c>
      <c r="J883" s="78" t="str">
        <f>G883-E883</f>
      </c>
    </row>
    <row r="884">
      <c r="A884" t="s">
        <v>219</v>
      </c>
      <c r="B884" t="s">
        <v>221</v>
      </c>
      <c r="C884" s="72" t="n">
        <v>2047</v>
      </c>
      <c r="D884" t="s">
        <v>176</v>
      </c>
      <c r="E884" s="73" t="n">
        <v>22699.6629629007</v>
      </c>
      <c r="F884" s="74" t="n">
        <v>15728.4854947303</v>
      </c>
      <c r="G884" s="75" t="n">
        <v>22699.6629629007</v>
      </c>
      <c r="H884" s="76" t="n">
        <v>15728.4854947303</v>
      </c>
      <c r="I884" s="77" t="str">
        <f>H884-F884</f>
      </c>
      <c r="J884" s="78" t="str">
        <f>G884-E884</f>
      </c>
    </row>
    <row r="885">
      <c r="A885" t="s">
        <v>219</v>
      </c>
      <c r="B885" t="s">
        <v>221</v>
      </c>
      <c r="C885" s="72" t="n">
        <v>2047</v>
      </c>
      <c r="D885" t="s">
        <v>238</v>
      </c>
      <c r="E885" s="73" t="n">
        <v>1235274.66521773</v>
      </c>
      <c r="F885" s="74" t="n">
        <v>302180.550312501</v>
      </c>
      <c r="G885" s="75" t="n">
        <v>1235274.66521773</v>
      </c>
      <c r="H885" s="76" t="n">
        <v>302180.550312501</v>
      </c>
      <c r="I885" s="77" t="str">
        <f>H885-F885</f>
      </c>
      <c r="J885" s="78" t="str">
        <f>G885-E885</f>
      </c>
    </row>
    <row r="886">
      <c r="A886" t="s">
        <v>219</v>
      </c>
      <c r="B886" t="s">
        <v>221</v>
      </c>
      <c r="C886" s="72" t="n">
        <v>2047</v>
      </c>
      <c r="D886" t="s">
        <v>184</v>
      </c>
      <c r="E886" s="73" t="n">
        <v>157435.937342911</v>
      </c>
      <c r="F886" s="74" t="n">
        <v>106487.677760342</v>
      </c>
      <c r="G886" s="75" t="n">
        <v>157435.937342911</v>
      </c>
      <c r="H886" s="76" t="n">
        <v>106487.677760342</v>
      </c>
      <c r="I886" s="77" t="str">
        <f>H886-F886</f>
      </c>
      <c r="J886" s="78" t="str">
        <f>G886-E886</f>
      </c>
    </row>
    <row r="887">
      <c r="A887" t="s">
        <v>219</v>
      </c>
      <c r="B887" t="s">
        <v>221</v>
      </c>
      <c r="C887" s="72" t="n">
        <v>2047</v>
      </c>
      <c r="D887" t="s">
        <v>187</v>
      </c>
      <c r="E887" s="73" t="n">
        <v>495047.331680699</v>
      </c>
      <c r="F887" s="74" t="n">
        <v>460539.427749469</v>
      </c>
      <c r="G887" s="75" t="n">
        <v>495047.331680699</v>
      </c>
      <c r="H887" s="76" t="n">
        <v>460539.427749469</v>
      </c>
      <c r="I887" s="77" t="str">
        <f>H887-F887</f>
      </c>
      <c r="J887" s="78" t="str">
        <f>G887-E887</f>
      </c>
    </row>
    <row r="888">
      <c r="A888" t="s">
        <v>219</v>
      </c>
      <c r="B888" t="s">
        <v>221</v>
      </c>
      <c r="C888" s="72" t="n">
        <v>2047</v>
      </c>
      <c r="D888" t="s">
        <v>190</v>
      </c>
      <c r="E888" s="73" t="n">
        <v>852357.036896631</v>
      </c>
      <c r="F888" s="74" t="n">
        <v>546892.884748123</v>
      </c>
      <c r="G888" s="75" t="n">
        <v>852357.036896631</v>
      </c>
      <c r="H888" s="76" t="n">
        <v>546892.884748123</v>
      </c>
      <c r="I888" s="77" t="str">
        <f>H888-F888</f>
      </c>
      <c r="J888" s="78" t="str">
        <f>G888-E888</f>
      </c>
    </row>
    <row r="889">
      <c r="A889" t="s">
        <v>219</v>
      </c>
      <c r="B889" t="s">
        <v>221</v>
      </c>
      <c r="C889" s="72" t="n">
        <v>2047</v>
      </c>
      <c r="D889" t="s">
        <v>193</v>
      </c>
      <c r="E889" s="73" t="n">
        <v>665960.530537607</v>
      </c>
      <c r="F889" s="74" t="n">
        <v>406938.309858621</v>
      </c>
      <c r="G889" s="75" t="n">
        <v>665960.530537607</v>
      </c>
      <c r="H889" s="76" t="n">
        <v>406938.309858621</v>
      </c>
      <c r="I889" s="77" t="str">
        <f>H889-F889</f>
      </c>
      <c r="J889" s="78" t="str">
        <f>G889-E889</f>
      </c>
    </row>
    <row r="890">
      <c r="A890" t="s">
        <v>219</v>
      </c>
      <c r="B890" t="s">
        <v>221</v>
      </c>
      <c r="C890" s="72" t="n">
        <v>2047</v>
      </c>
      <c r="D890" t="s">
        <v>424</v>
      </c>
      <c r="E890" s="73" t="n">
        <v>43217.6341923504</v>
      </c>
      <c r="F890" s="74" t="n">
        <v>7716.26452507886</v>
      </c>
      <c r="G890" s="75" t="n">
        <v>43217.6341923504</v>
      </c>
      <c r="H890" s="76" t="n">
        <v>7716.26452507886</v>
      </c>
      <c r="I890" s="77" t="str">
        <f>H890-F890</f>
      </c>
      <c r="J890" s="78" t="str">
        <f>G890-E890</f>
      </c>
    </row>
    <row r="891">
      <c r="A891" t="s">
        <v>219</v>
      </c>
      <c r="B891" t="s">
        <v>221</v>
      </c>
      <c r="C891" s="72" t="n">
        <v>2048</v>
      </c>
      <c r="D891" t="s">
        <v>176</v>
      </c>
      <c r="E891" s="73" t="n">
        <v>23179.7775298232</v>
      </c>
      <c r="F891" s="74" t="n">
        <v>16025.2187605858</v>
      </c>
      <c r="G891" s="75" t="n">
        <v>23179.7775298232</v>
      </c>
      <c r="H891" s="76" t="n">
        <v>16025.2187605858</v>
      </c>
      <c r="I891" s="77" t="str">
        <f>H891-F891</f>
      </c>
      <c r="J891" s="78" t="str">
        <f>G891-E891</f>
      </c>
    </row>
    <row r="892">
      <c r="A892" t="s">
        <v>219</v>
      </c>
      <c r="B892" t="s">
        <v>221</v>
      </c>
      <c r="C892" s="72" t="n">
        <v>2048</v>
      </c>
      <c r="D892" t="s">
        <v>238</v>
      </c>
      <c r="E892" s="73" t="n">
        <v>1240209.10376068</v>
      </c>
      <c r="F892" s="74" t="n">
        <v>308964.310377282</v>
      </c>
      <c r="G892" s="75" t="n">
        <v>1240209.10376068</v>
      </c>
      <c r="H892" s="76" t="n">
        <v>308964.310377282</v>
      </c>
      <c r="I892" s="77" t="str">
        <f>H892-F892</f>
      </c>
      <c r="J892" s="78" t="str">
        <f>G892-E892</f>
      </c>
    </row>
    <row r="893">
      <c r="A893" t="s">
        <v>219</v>
      </c>
      <c r="B893" t="s">
        <v>221</v>
      </c>
      <c r="C893" s="72" t="n">
        <v>2048</v>
      </c>
      <c r="D893" t="s">
        <v>184</v>
      </c>
      <c r="E893" s="73" t="n">
        <v>159877.069557409</v>
      </c>
      <c r="F893" s="74" t="n">
        <v>108205.309376064</v>
      </c>
      <c r="G893" s="75" t="n">
        <v>159877.069557409</v>
      </c>
      <c r="H893" s="76" t="n">
        <v>108205.309376064</v>
      </c>
      <c r="I893" s="77" t="str">
        <f>H893-F893</f>
      </c>
      <c r="J893" s="78" t="str">
        <f>G893-E893</f>
      </c>
    </row>
    <row r="894">
      <c r="A894" t="s">
        <v>219</v>
      </c>
      <c r="B894" t="s">
        <v>221</v>
      </c>
      <c r="C894" s="72" t="n">
        <v>2048</v>
      </c>
      <c r="D894" t="s">
        <v>187</v>
      </c>
      <c r="E894" s="73" t="n">
        <v>500251.963676638</v>
      </c>
      <c r="F894" s="74" t="n">
        <v>465558.478994868</v>
      </c>
      <c r="G894" s="75" t="n">
        <v>500251.963676638</v>
      </c>
      <c r="H894" s="76" t="n">
        <v>465558.478994868</v>
      </c>
      <c r="I894" s="77" t="str">
        <f>H894-F894</f>
      </c>
      <c r="J894" s="78" t="str">
        <f>G894-E894</f>
      </c>
    </row>
    <row r="895">
      <c r="A895" t="s">
        <v>219</v>
      </c>
      <c r="B895" t="s">
        <v>221</v>
      </c>
      <c r="C895" s="72" t="n">
        <v>2048</v>
      </c>
      <c r="D895" t="s">
        <v>190</v>
      </c>
      <c r="E895" s="73" t="n">
        <v>862421.197666068</v>
      </c>
      <c r="F895" s="74" t="n">
        <v>555219.254274076</v>
      </c>
      <c r="G895" s="75" t="n">
        <v>862421.197666068</v>
      </c>
      <c r="H895" s="76" t="n">
        <v>555219.254274076</v>
      </c>
      <c r="I895" s="77" t="str">
        <f>H895-F895</f>
      </c>
      <c r="J895" s="78" t="str">
        <f>G895-E895</f>
      </c>
    </row>
    <row r="896">
      <c r="A896" t="s">
        <v>219</v>
      </c>
      <c r="B896" t="s">
        <v>221</v>
      </c>
      <c r="C896" s="72" t="n">
        <v>2048</v>
      </c>
      <c r="D896" t="s">
        <v>193</v>
      </c>
      <c r="E896" s="73" t="n">
        <v>675538.067131439</v>
      </c>
      <c r="F896" s="74" t="n">
        <v>416221.145643516</v>
      </c>
      <c r="G896" s="75" t="n">
        <v>675538.067131439</v>
      </c>
      <c r="H896" s="76" t="n">
        <v>416221.145643516</v>
      </c>
      <c r="I896" s="77" t="str">
        <f>H896-F896</f>
      </c>
      <c r="J896" s="78" t="str">
        <f>G896-E896</f>
      </c>
    </row>
    <row r="897">
      <c r="A897" t="s">
        <v>219</v>
      </c>
      <c r="B897" t="s">
        <v>221</v>
      </c>
      <c r="C897" s="72" t="n">
        <v>2048</v>
      </c>
      <c r="D897" t="s">
        <v>424</v>
      </c>
      <c r="E897" s="73" t="n">
        <v>43247.1165682685</v>
      </c>
      <c r="F897" s="74" t="n">
        <v>7740.96823230914</v>
      </c>
      <c r="G897" s="75" t="n">
        <v>43247.1165682685</v>
      </c>
      <c r="H897" s="76" t="n">
        <v>7740.96823230914</v>
      </c>
      <c r="I897" s="77" t="str">
        <f>H897-F897</f>
      </c>
      <c r="J897" s="78" t="str">
        <f>G897-E897</f>
      </c>
    </row>
    <row r="898">
      <c r="A898" t="s">
        <v>219</v>
      </c>
      <c r="B898" t="s">
        <v>221</v>
      </c>
      <c r="C898" s="72" t="n">
        <v>2049</v>
      </c>
      <c r="D898" t="s">
        <v>176</v>
      </c>
      <c r="E898" s="73" t="n">
        <v>23650.3614840449</v>
      </c>
      <c r="F898" s="74" t="n">
        <v>16322.61151708</v>
      </c>
      <c r="G898" s="75" t="n">
        <v>23650.3614840449</v>
      </c>
      <c r="H898" s="76" t="n">
        <v>16322.61151708</v>
      </c>
      <c r="I898" s="77" t="str">
        <f>H898-F898</f>
      </c>
      <c r="J898" s="78" t="str">
        <f>G898-E898</f>
      </c>
    </row>
    <row r="899">
      <c r="A899" t="s">
        <v>219</v>
      </c>
      <c r="B899" t="s">
        <v>221</v>
      </c>
      <c r="C899" s="72" t="n">
        <v>2049</v>
      </c>
      <c r="D899" t="s">
        <v>238</v>
      </c>
      <c r="E899" s="73" t="n">
        <v>1244958.37630862</v>
      </c>
      <c r="F899" s="74" t="n">
        <v>315528.654574656</v>
      </c>
      <c r="G899" s="75" t="n">
        <v>1244958.37630862</v>
      </c>
      <c r="H899" s="76" t="n">
        <v>315528.654574656</v>
      </c>
      <c r="I899" s="77" t="str">
        <f>H899-F899</f>
      </c>
      <c r="J899" s="78" t="str">
        <f>G899-E899</f>
      </c>
    </row>
    <row r="900">
      <c r="A900" t="s">
        <v>219</v>
      </c>
      <c r="B900" t="s">
        <v>221</v>
      </c>
      <c r="C900" s="72" t="n">
        <v>2049</v>
      </c>
      <c r="D900" t="s">
        <v>184</v>
      </c>
      <c r="E900" s="73" t="n">
        <v>162238.134685625</v>
      </c>
      <c r="F900" s="74" t="n">
        <v>109882.371148655</v>
      </c>
      <c r="G900" s="75" t="n">
        <v>162238.134685625</v>
      </c>
      <c r="H900" s="76" t="n">
        <v>109882.371148655</v>
      </c>
      <c r="I900" s="77" t="str">
        <f>H900-F900</f>
      </c>
      <c r="J900" s="78" t="str">
        <f>G900-E900</f>
      </c>
    </row>
    <row r="901">
      <c r="A901" t="s">
        <v>219</v>
      </c>
      <c r="B901" t="s">
        <v>221</v>
      </c>
      <c r="C901" s="72" t="n">
        <v>2049</v>
      </c>
      <c r="D901" t="s">
        <v>187</v>
      </c>
      <c r="E901" s="73" t="n">
        <v>505215.900508139</v>
      </c>
      <c r="F901" s="74" t="n">
        <v>470383.880162835</v>
      </c>
      <c r="G901" s="75" t="n">
        <v>505215.900508139</v>
      </c>
      <c r="H901" s="76" t="n">
        <v>470383.880162835</v>
      </c>
      <c r="I901" s="77" t="str">
        <f>H901-F901</f>
      </c>
      <c r="J901" s="78" t="str">
        <f>G901-E901</f>
      </c>
    </row>
    <row r="902">
      <c r="A902" t="s">
        <v>219</v>
      </c>
      <c r="B902" t="s">
        <v>221</v>
      </c>
      <c r="C902" s="72" t="n">
        <v>2049</v>
      </c>
      <c r="D902" t="s">
        <v>190</v>
      </c>
      <c r="E902" s="73" t="n">
        <v>872039.412561908</v>
      </c>
      <c r="F902" s="74" t="n">
        <v>563337.765593671</v>
      </c>
      <c r="G902" s="75" t="n">
        <v>872039.412561908</v>
      </c>
      <c r="H902" s="76" t="n">
        <v>563337.765593671</v>
      </c>
      <c r="I902" s="77" t="str">
        <f>H902-F902</f>
      </c>
      <c r="J902" s="78" t="str">
        <f>G902-E902</f>
      </c>
    </row>
    <row r="903">
      <c r="A903" t="s">
        <v>219</v>
      </c>
      <c r="B903" t="s">
        <v>221</v>
      </c>
      <c r="C903" s="72" t="n">
        <v>2049</v>
      </c>
      <c r="D903" t="s">
        <v>193</v>
      </c>
      <c r="E903" s="73" t="n">
        <v>684799.519243418</v>
      </c>
      <c r="F903" s="74" t="n">
        <v>425211.294806661</v>
      </c>
      <c r="G903" s="75" t="n">
        <v>684799.519243418</v>
      </c>
      <c r="H903" s="76" t="n">
        <v>425211.294806661</v>
      </c>
      <c r="I903" s="77" t="str">
        <f>H903-F903</f>
      </c>
      <c r="J903" s="78" t="str">
        <f>G903-E903</f>
      </c>
    </row>
    <row r="904">
      <c r="A904" t="s">
        <v>219</v>
      </c>
      <c r="B904" t="s">
        <v>221</v>
      </c>
      <c r="C904" s="72" t="n">
        <v>2049</v>
      </c>
      <c r="D904" t="s">
        <v>424</v>
      </c>
      <c r="E904" s="73" t="n">
        <v>43287.6941181752</v>
      </c>
      <c r="F904" s="74" t="n">
        <v>7764.42505773382</v>
      </c>
      <c r="G904" s="75" t="n">
        <v>43287.6941181752</v>
      </c>
      <c r="H904" s="76" t="n">
        <v>7764.42505773382</v>
      </c>
      <c r="I904" s="77" t="str">
        <f>H904-F904</f>
      </c>
      <c r="J904" s="78" t="str">
        <f>G904-E904</f>
      </c>
    </row>
    <row r="905">
      <c r="A905" t="s">
        <v>219</v>
      </c>
      <c r="B905" t="s">
        <v>221</v>
      </c>
      <c r="C905" s="72" t="n">
        <v>2050</v>
      </c>
      <c r="D905" t="s">
        <v>176</v>
      </c>
      <c r="E905" s="73" t="n">
        <v>24110.4306261692</v>
      </c>
      <c r="F905" s="74" t="n">
        <v>16618.9237091261</v>
      </c>
      <c r="G905" s="75" t="n">
        <v>24110.4306261692</v>
      </c>
      <c r="H905" s="76" t="n">
        <v>16618.9237091261</v>
      </c>
      <c r="I905" s="77" t="str">
        <f>H905-F905</f>
      </c>
      <c r="J905" s="78" t="str">
        <f>G905-E905</f>
      </c>
    </row>
    <row r="906">
      <c r="A906" t="s">
        <v>219</v>
      </c>
      <c r="B906" t="s">
        <v>221</v>
      </c>
      <c r="C906" s="72" t="n">
        <v>2050</v>
      </c>
      <c r="D906" t="s">
        <v>238</v>
      </c>
      <c r="E906" s="73" t="n">
        <v>1249574.98129843</v>
      </c>
      <c r="F906" s="74" t="n">
        <v>321866.145423905</v>
      </c>
      <c r="G906" s="75" t="n">
        <v>1249574.98129843</v>
      </c>
      <c r="H906" s="76" t="n">
        <v>321866.145423905</v>
      </c>
      <c r="I906" s="77" t="str">
        <f>H906-F906</f>
      </c>
      <c r="J906" s="78" t="str">
        <f>G906-E906</f>
      </c>
    </row>
    <row r="907">
      <c r="A907" t="s">
        <v>219</v>
      </c>
      <c r="B907" t="s">
        <v>221</v>
      </c>
      <c r="C907" s="72" t="n">
        <v>2050</v>
      </c>
      <c r="D907" t="s">
        <v>184</v>
      </c>
      <c r="E907" s="73" t="n">
        <v>164526.94959842</v>
      </c>
      <c r="F907" s="74" t="n">
        <v>111496.260054028</v>
      </c>
      <c r="G907" s="75" t="n">
        <v>164526.94959842</v>
      </c>
      <c r="H907" s="76" t="n">
        <v>111496.260054028</v>
      </c>
      <c r="I907" s="77" t="str">
        <f>H907-F907</f>
      </c>
      <c r="J907" s="78" t="str">
        <f>G907-E907</f>
      </c>
    </row>
    <row r="908">
      <c r="A908" t="s">
        <v>219</v>
      </c>
      <c r="B908" t="s">
        <v>221</v>
      </c>
      <c r="C908" s="72" t="n">
        <v>2050</v>
      </c>
      <c r="D908" t="s">
        <v>187</v>
      </c>
      <c r="E908" s="73" t="n">
        <v>509923.794653266</v>
      </c>
      <c r="F908" s="74" t="n">
        <v>474893.254554943</v>
      </c>
      <c r="G908" s="75" t="n">
        <v>509923.794653266</v>
      </c>
      <c r="H908" s="76" t="n">
        <v>474893.254554943</v>
      </c>
      <c r="I908" s="77" t="str">
        <f>H908-F908</f>
      </c>
      <c r="J908" s="78" t="str">
        <f>G908-E908</f>
      </c>
    </row>
    <row r="909">
      <c r="A909" t="s">
        <v>219</v>
      </c>
      <c r="B909" t="s">
        <v>221</v>
      </c>
      <c r="C909" s="72" t="n">
        <v>2050</v>
      </c>
      <c r="D909" t="s">
        <v>190</v>
      </c>
      <c r="E909" s="73" t="n">
        <v>881220.210178615</v>
      </c>
      <c r="F909" s="74" t="n">
        <v>571305.130665456</v>
      </c>
      <c r="G909" s="75" t="n">
        <v>881220.210178615</v>
      </c>
      <c r="H909" s="76" t="n">
        <v>571305.130665456</v>
      </c>
      <c r="I909" s="77" t="str">
        <f>H909-F909</f>
      </c>
      <c r="J909" s="78" t="str">
        <f>G909-E909</f>
      </c>
    </row>
    <row r="910">
      <c r="A910" t="s">
        <v>219</v>
      </c>
      <c r="B910" t="s">
        <v>221</v>
      </c>
      <c r="C910" s="72" t="n">
        <v>2050</v>
      </c>
      <c r="D910" t="s">
        <v>193</v>
      </c>
      <c r="E910" s="73" t="n">
        <v>693833.375810026</v>
      </c>
      <c r="F910" s="74" t="n">
        <v>433928.116842437</v>
      </c>
      <c r="G910" s="75" t="n">
        <v>693833.375810026</v>
      </c>
      <c r="H910" s="76" t="n">
        <v>433928.116842437</v>
      </c>
      <c r="I910" s="77" t="str">
        <f>H910-F910</f>
      </c>
      <c r="J910" s="78" t="str">
        <f>G910-E910</f>
      </c>
    </row>
    <row r="911">
      <c r="A911" t="s">
        <v>219</v>
      </c>
      <c r="B911" t="s">
        <v>221</v>
      </c>
      <c r="C911" s="72" t="n">
        <v>2050</v>
      </c>
      <c r="D911" t="s">
        <v>424</v>
      </c>
      <c r="E911" s="73" t="n">
        <v>43337.3340718481</v>
      </c>
      <c r="F911" s="74" t="n">
        <v>7785.59251624651</v>
      </c>
      <c r="G911" s="75" t="n">
        <v>43337.3340718481</v>
      </c>
      <c r="H911" s="76" t="n">
        <v>7785.59251624651</v>
      </c>
      <c r="I911" s="77" t="str">
        <f>H911-F911</f>
      </c>
      <c r="J911" s="78" t="str">
        <f>G911-E911</f>
      </c>
    </row>
    <row r="912">
      <c r="A912" t="s">
        <v>207</v>
      </c>
      <c r="B912" t="s">
        <v>425</v>
      </c>
      <c r="C912" s="72" t="n">
        <v>2025</v>
      </c>
      <c r="D912" t="s">
        <v>176</v>
      </c>
      <c r="E912" s="73" t="n">
        <v>12347.3896757033</v>
      </c>
      <c r="F912" s="74" t="n">
        <v>8975.30849722876</v>
      </c>
      <c r="G912" s="75" t="n">
        <v>12347.3896757033</v>
      </c>
      <c r="H912" s="76" t="n">
        <v>8975.30849722876</v>
      </c>
      <c r="I912" s="77" t="str">
        <f>H912-F912</f>
      </c>
      <c r="J912" s="78" t="str">
        <f>G912-E912</f>
      </c>
    </row>
    <row r="913">
      <c r="A913" t="s">
        <v>207</v>
      </c>
      <c r="B913" t="s">
        <v>425</v>
      </c>
      <c r="C913" s="72" t="n">
        <v>2025</v>
      </c>
      <c r="D913" t="s">
        <v>238</v>
      </c>
      <c r="E913" s="73" t="n">
        <v>1026043.97207164</v>
      </c>
      <c r="F913" s="74" t="n">
        <v>129403.022830672</v>
      </c>
      <c r="G913" s="75" t="n">
        <v>1026043.97207164</v>
      </c>
      <c r="H913" s="76" t="n">
        <v>129403.022830672</v>
      </c>
      <c r="I913" s="77" t="str">
        <f>H913-F913</f>
      </c>
      <c r="J913" s="78" t="str">
        <f>G913-E913</f>
      </c>
    </row>
    <row r="914">
      <c r="A914" t="s">
        <v>207</v>
      </c>
      <c r="B914" t="s">
        <v>425</v>
      </c>
      <c r="C914" s="72" t="n">
        <v>2025</v>
      </c>
      <c r="D914" t="s">
        <v>184</v>
      </c>
      <c r="E914" s="73" t="n">
        <v>91684.5090142746</v>
      </c>
      <c r="F914" s="74" t="n">
        <v>63318.7518252021</v>
      </c>
      <c r="G914" s="75" t="n">
        <v>91684.5090142746</v>
      </c>
      <c r="H914" s="76" t="n">
        <v>63318.7518252021</v>
      </c>
      <c r="I914" s="77" t="str">
        <f>H914-F914</f>
      </c>
      <c r="J914" s="78" t="str">
        <f>G914-E914</f>
      </c>
    </row>
    <row r="915">
      <c r="A915" t="s">
        <v>207</v>
      </c>
      <c r="B915" t="s">
        <v>425</v>
      </c>
      <c r="C915" s="72" t="n">
        <v>2025</v>
      </c>
      <c r="D915" t="s">
        <v>187</v>
      </c>
      <c r="E915" s="73" t="n">
        <v>327817.992111529</v>
      </c>
      <c r="F915" s="74" t="n">
        <v>300216.82861998</v>
      </c>
      <c r="G915" s="75" t="n">
        <v>327817.992111529</v>
      </c>
      <c r="H915" s="76" t="n">
        <v>300216.82861998</v>
      </c>
      <c r="I915" s="77" t="str">
        <f>H915-F915</f>
      </c>
      <c r="J915" s="78" t="str">
        <f>G915-E915</f>
      </c>
    </row>
    <row r="916">
      <c r="A916" t="s">
        <v>207</v>
      </c>
      <c r="B916" t="s">
        <v>425</v>
      </c>
      <c r="C916" s="72" t="n">
        <v>2025</v>
      </c>
      <c r="D916" t="s">
        <v>190</v>
      </c>
      <c r="E916" s="73" t="n">
        <v>563964.128928848</v>
      </c>
      <c r="F916" s="74" t="n">
        <v>321188.162987932</v>
      </c>
      <c r="G916" s="75" t="n">
        <v>563964.128928848</v>
      </c>
      <c r="H916" s="76" t="n">
        <v>321188.162987932</v>
      </c>
      <c r="I916" s="77" t="str">
        <f>H916-F916</f>
      </c>
      <c r="J916" s="78" t="str">
        <f>G916-E916</f>
      </c>
    </row>
    <row r="917">
      <c r="A917" t="s">
        <v>207</v>
      </c>
      <c r="B917" t="s">
        <v>425</v>
      </c>
      <c r="C917" s="72" t="n">
        <v>2025</v>
      </c>
      <c r="D917" t="s">
        <v>193</v>
      </c>
      <c r="E917" s="73" t="n">
        <v>396205.912797568</v>
      </c>
      <c r="F917" s="74" t="n">
        <v>191954.713579597</v>
      </c>
      <c r="G917" s="75" t="n">
        <v>396205.912797568</v>
      </c>
      <c r="H917" s="76" t="n">
        <v>191954.713579597</v>
      </c>
      <c r="I917" s="77" t="str">
        <f>H917-F917</f>
      </c>
      <c r="J917" s="78" t="str">
        <f>G917-E917</f>
      </c>
    </row>
    <row r="918">
      <c r="A918" t="s">
        <v>207</v>
      </c>
      <c r="B918" t="s">
        <v>425</v>
      </c>
      <c r="C918" s="72" t="n">
        <v>2025</v>
      </c>
      <c r="D918" t="s">
        <v>424</v>
      </c>
      <c r="E918" s="73" t="n">
        <v>44024.8557845561</v>
      </c>
      <c r="F918" s="74" t="n">
        <v>6961.02866951274</v>
      </c>
      <c r="G918" s="75" t="n">
        <v>44024.8557845561</v>
      </c>
      <c r="H918" s="76" t="n">
        <v>6961.02866951274</v>
      </c>
      <c r="I918" s="77" t="str">
        <f>H918-F918</f>
      </c>
      <c r="J918" s="78" t="str">
        <f>G918-E918</f>
      </c>
    </row>
    <row r="919">
      <c r="A919" t="s">
        <v>207</v>
      </c>
      <c r="B919" t="s">
        <v>425</v>
      </c>
      <c r="C919" s="72" t="n">
        <v>2026</v>
      </c>
      <c r="D919" t="s">
        <v>176</v>
      </c>
      <c r="E919" s="73" t="n">
        <v>12812.507871628</v>
      </c>
      <c r="F919" s="74" t="n">
        <v>9308.26420910955</v>
      </c>
      <c r="G919" s="75" t="n">
        <v>12812.507871628</v>
      </c>
      <c r="H919" s="76" t="n">
        <v>9308.26420910955</v>
      </c>
      <c r="I919" s="77" t="str">
        <f>H919-F919</f>
      </c>
      <c r="J919" s="78" t="str">
        <f>G919-E919</f>
      </c>
    </row>
    <row r="920">
      <c r="A920" t="s">
        <v>207</v>
      </c>
      <c r="B920" t="s">
        <v>425</v>
      </c>
      <c r="C920" s="72" t="n">
        <v>2026</v>
      </c>
      <c r="D920" t="s">
        <v>238</v>
      </c>
      <c r="E920" s="73" t="n">
        <v>1040956.74283153</v>
      </c>
      <c r="F920" s="74" t="n">
        <v>137191.896136923</v>
      </c>
      <c r="G920" s="75" t="n">
        <v>1040956.74283153</v>
      </c>
      <c r="H920" s="76" t="n">
        <v>137191.896136923</v>
      </c>
      <c r="I920" s="77" t="str">
        <f>H920-F920</f>
      </c>
      <c r="J920" s="78" t="str">
        <f>G920-E920</f>
      </c>
    </row>
    <row r="921">
      <c r="A921" t="s">
        <v>207</v>
      </c>
      <c r="B921" t="s">
        <v>425</v>
      </c>
      <c r="C921" s="72" t="n">
        <v>2026</v>
      </c>
      <c r="D921" t="s">
        <v>184</v>
      </c>
      <c r="E921" s="73" t="n">
        <v>94179.5285837139</v>
      </c>
      <c r="F921" s="74" t="n">
        <v>65164.4704134017</v>
      </c>
      <c r="G921" s="75" t="n">
        <v>95077.1833035265</v>
      </c>
      <c r="H921" s="76" t="n">
        <v>65164.4704134017</v>
      </c>
      <c r="I921" s="77" t="str">
        <f>H921-F921</f>
      </c>
      <c r="J921" s="78" t="str">
        <f>G921-E921</f>
      </c>
    </row>
    <row r="922">
      <c r="A922" t="s">
        <v>207</v>
      </c>
      <c r="B922" t="s">
        <v>425</v>
      </c>
      <c r="C922" s="72" t="n">
        <v>2026</v>
      </c>
      <c r="D922" t="s">
        <v>187</v>
      </c>
      <c r="E922" s="73" t="n">
        <v>333694.872669606</v>
      </c>
      <c r="F922" s="74" t="n">
        <v>308606.943045308</v>
      </c>
      <c r="G922" s="75" t="n">
        <v>336875.423495605</v>
      </c>
      <c r="H922" s="76" t="n">
        <v>308606.943045308</v>
      </c>
      <c r="I922" s="77" t="str">
        <f>H922-F922</f>
      </c>
      <c r="J922" s="78" t="str">
        <f>G922-E922</f>
      </c>
    </row>
    <row r="923">
      <c r="A923" t="s">
        <v>207</v>
      </c>
      <c r="B923" t="s">
        <v>425</v>
      </c>
      <c r="C923" s="72" t="n">
        <v>2026</v>
      </c>
      <c r="D923" t="s">
        <v>190</v>
      </c>
      <c r="E923" s="73" t="n">
        <v>574634.519547406</v>
      </c>
      <c r="F923" s="74" t="n">
        <v>332896.185768311</v>
      </c>
      <c r="G923" s="75" t="n">
        <v>580111.541957649</v>
      </c>
      <c r="H923" s="76" t="n">
        <v>332896.185768311</v>
      </c>
      <c r="I923" s="77" t="str">
        <f>H923-F923</f>
      </c>
      <c r="J923" s="78" t="str">
        <f>G923-E923</f>
      </c>
    </row>
    <row r="924">
      <c r="A924" t="s">
        <v>207</v>
      </c>
      <c r="B924" t="s">
        <v>425</v>
      </c>
      <c r="C924" s="72" t="n">
        <v>2026</v>
      </c>
      <c r="D924" t="s">
        <v>193</v>
      </c>
      <c r="E924" s="73" t="n">
        <v>405960.535223343</v>
      </c>
      <c r="F924" s="74" t="n">
        <v>202008.199783237</v>
      </c>
      <c r="G924" s="75" t="n">
        <v>409829.87281699</v>
      </c>
      <c r="H924" s="76" t="n">
        <v>202008.199783237</v>
      </c>
      <c r="I924" s="77" t="str">
        <f>H924-F924</f>
      </c>
      <c r="J924" s="78" t="str">
        <f>G924-E924</f>
      </c>
    </row>
    <row r="925">
      <c r="A925" t="s">
        <v>207</v>
      </c>
      <c r="B925" t="s">
        <v>425</v>
      </c>
      <c r="C925" s="72" t="n">
        <v>2026</v>
      </c>
      <c r="D925" t="s">
        <v>424</v>
      </c>
      <c r="E925" s="73" t="n">
        <v>44219.1707517653</v>
      </c>
      <c r="F925" s="74" t="n">
        <v>7023.77126872287</v>
      </c>
      <c r="G925" s="75" t="n">
        <v>44219.1707517653</v>
      </c>
      <c r="H925" s="76" t="n">
        <v>7023.77126872287</v>
      </c>
      <c r="I925" s="77" t="str">
        <f>H925-F925</f>
      </c>
      <c r="J925" s="78" t="str">
        <f>G925-E925</f>
      </c>
    </row>
    <row r="926">
      <c r="A926" t="s">
        <v>207</v>
      </c>
      <c r="B926" t="s">
        <v>425</v>
      </c>
      <c r="C926" s="72" t="n">
        <v>2027</v>
      </c>
      <c r="D926" t="s">
        <v>176</v>
      </c>
      <c r="E926" s="73" t="n">
        <v>13273.481772584</v>
      </c>
      <c r="F926" s="74" t="n">
        <v>9640.71530777017</v>
      </c>
      <c r="G926" s="75" t="n">
        <v>13273.481772584</v>
      </c>
      <c r="H926" s="76" t="n">
        <v>9640.71530777017</v>
      </c>
      <c r="I926" s="77" t="str">
        <f>H926-F926</f>
      </c>
      <c r="J926" s="78" t="str">
        <f>G926-E926</f>
      </c>
    </row>
    <row r="927">
      <c r="A927" t="s">
        <v>207</v>
      </c>
      <c r="B927" t="s">
        <v>425</v>
      </c>
      <c r="C927" s="72" t="n">
        <v>2027</v>
      </c>
      <c r="D927" t="s">
        <v>238</v>
      </c>
      <c r="E927" s="73" t="n">
        <v>1055255.40879996</v>
      </c>
      <c r="F927" s="74" t="n">
        <v>145087.130776418</v>
      </c>
      <c r="G927" s="75" t="n">
        <v>1055255.40879996</v>
      </c>
      <c r="H927" s="76" t="n">
        <v>145087.130776418</v>
      </c>
      <c r="I927" s="77" t="str">
        <f>H927-F927</f>
      </c>
      <c r="J927" s="78" t="str">
        <f>G927-E927</f>
      </c>
    </row>
    <row r="928">
      <c r="A928" t="s">
        <v>207</v>
      </c>
      <c r="B928" t="s">
        <v>425</v>
      </c>
      <c r="C928" s="72" t="n">
        <v>2027</v>
      </c>
      <c r="D928" t="s">
        <v>184</v>
      </c>
      <c r="E928" s="73" t="n">
        <v>96600.2356578649</v>
      </c>
      <c r="F928" s="74" t="n">
        <v>66915.9788412414</v>
      </c>
      <c r="G928" s="75" t="n">
        <v>98448.8278839669</v>
      </c>
      <c r="H928" s="76" t="n">
        <v>67068.0169086102</v>
      </c>
      <c r="I928" s="77" t="str">
        <f>H928-F928</f>
      </c>
      <c r="J928" s="78" t="str">
        <f>G928-E928</f>
      </c>
    </row>
    <row r="929">
      <c r="A929" t="s">
        <v>207</v>
      </c>
      <c r="B929" t="s">
        <v>425</v>
      </c>
      <c r="C929" s="72" t="n">
        <v>2027</v>
      </c>
      <c r="D929" t="s">
        <v>187</v>
      </c>
      <c r="E929" s="73" t="n">
        <v>339447.345779249</v>
      </c>
      <c r="F929" s="74" t="n">
        <v>315741.480382093</v>
      </c>
      <c r="G929" s="75" t="n">
        <v>345936.706716403</v>
      </c>
      <c r="H929" s="76" t="n">
        <v>317119.553552555</v>
      </c>
      <c r="I929" s="77" t="str">
        <f>H929-F929</f>
      </c>
      <c r="J929" s="78" t="str">
        <f>G929-E929</f>
      </c>
    </row>
    <row r="930">
      <c r="A930" t="s">
        <v>207</v>
      </c>
      <c r="B930" t="s">
        <v>425</v>
      </c>
      <c r="C930" s="72" t="n">
        <v>2027</v>
      </c>
      <c r="D930" t="s">
        <v>190</v>
      </c>
      <c r="E930" s="73" t="n">
        <v>584984.277570577</v>
      </c>
      <c r="F930" s="74" t="n">
        <v>344163.967170955</v>
      </c>
      <c r="G930" s="75" t="n">
        <v>596148.832334676</v>
      </c>
      <c r="H930" s="76" t="n">
        <v>344517.274659827</v>
      </c>
      <c r="I930" s="77" t="str">
        <f>H930-F930</f>
      </c>
      <c r="J930" s="78" t="str">
        <f>G930-E930</f>
      </c>
    </row>
    <row r="931">
      <c r="A931" t="s">
        <v>207</v>
      </c>
      <c r="B931" t="s">
        <v>425</v>
      </c>
      <c r="C931" s="72" t="n">
        <v>2027</v>
      </c>
      <c r="D931" t="s">
        <v>193</v>
      </c>
      <c r="E931" s="73" t="n">
        <v>415556.792801252</v>
      </c>
      <c r="F931" s="74" t="n">
        <v>211702.053336634</v>
      </c>
      <c r="G931" s="75" t="n">
        <v>423485.101321999</v>
      </c>
      <c r="H931" s="76" t="n">
        <v>211995.488024171</v>
      </c>
      <c r="I931" s="77" t="str">
        <f>H931-F931</f>
      </c>
      <c r="J931" s="78" t="str">
        <f>G931-E931</f>
      </c>
    </row>
    <row r="932">
      <c r="A932" t="s">
        <v>207</v>
      </c>
      <c r="B932" t="s">
        <v>425</v>
      </c>
      <c r="C932" s="72" t="n">
        <v>2027</v>
      </c>
      <c r="D932" t="s">
        <v>424</v>
      </c>
      <c r="E932" s="73" t="n">
        <v>44384.2018393689</v>
      </c>
      <c r="F932" s="74" t="n">
        <v>7080.05700568168</v>
      </c>
      <c r="G932" s="75" t="n">
        <v>44384.2018393689</v>
      </c>
      <c r="H932" s="76" t="n">
        <v>7080.05700568168</v>
      </c>
      <c r="I932" s="77" t="str">
        <f>H932-F932</f>
      </c>
      <c r="J932" s="78" t="str">
        <f>G932-E932</f>
      </c>
    </row>
    <row r="933">
      <c r="A933" t="s">
        <v>207</v>
      </c>
      <c r="B933" t="s">
        <v>425</v>
      </c>
      <c r="C933" s="72" t="n">
        <v>2028</v>
      </c>
      <c r="D933" t="s">
        <v>176</v>
      </c>
      <c r="E933" s="73" t="n">
        <v>13730.2370972883</v>
      </c>
      <c r="F933" s="74" t="n">
        <v>9971.45472163389</v>
      </c>
      <c r="G933" s="75" t="n">
        <v>13729.5005000864</v>
      </c>
      <c r="H933" s="76" t="n">
        <v>9971.45472163389</v>
      </c>
      <c r="I933" s="77" t="str">
        <f>H933-F933</f>
      </c>
      <c r="J933" s="78" t="str">
        <f>G933-E933</f>
      </c>
    </row>
    <row r="934">
      <c r="A934" t="s">
        <v>207</v>
      </c>
      <c r="B934" t="s">
        <v>425</v>
      </c>
      <c r="C934" s="72" t="n">
        <v>2028</v>
      </c>
      <c r="D934" t="s">
        <v>238</v>
      </c>
      <c r="E934" s="73" t="n">
        <v>1069022.89137125</v>
      </c>
      <c r="F934" s="74" t="n">
        <v>153077.867387244</v>
      </c>
      <c r="G934" s="75" t="n">
        <v>1069005.07088018</v>
      </c>
      <c r="H934" s="76" t="n">
        <v>153077.867387244</v>
      </c>
      <c r="I934" s="77" t="str">
        <f>H934-F934</f>
      </c>
      <c r="J934" s="78" t="str">
        <f>G934-E934</f>
      </c>
    </row>
    <row r="935">
      <c r="A935" t="s">
        <v>207</v>
      </c>
      <c r="B935" t="s">
        <v>425</v>
      </c>
      <c r="C935" s="72" t="n">
        <v>2028</v>
      </c>
      <c r="D935" t="s">
        <v>184</v>
      </c>
      <c r="E935" s="73" t="n">
        <v>98950.7503838626</v>
      </c>
      <c r="F935" s="74" t="n">
        <v>68592.9100948108</v>
      </c>
      <c r="G935" s="75" t="n">
        <v>101797.96761407</v>
      </c>
      <c r="H935" s="76" t="n">
        <v>69019.933123165</v>
      </c>
      <c r="I935" s="77" t="str">
        <f>H935-F935</f>
      </c>
      <c r="J935" s="78" t="str">
        <f>G935-E935</f>
      </c>
    </row>
    <row r="936">
      <c r="A936" t="s">
        <v>207</v>
      </c>
      <c r="B936" t="s">
        <v>425</v>
      </c>
      <c r="C936" s="72" t="n">
        <v>2028</v>
      </c>
      <c r="D936" t="s">
        <v>187</v>
      </c>
      <c r="E936" s="73" t="n">
        <v>345046.505875176</v>
      </c>
      <c r="F936" s="74" t="n">
        <v>322296.408101249</v>
      </c>
      <c r="G936" s="75" t="n">
        <v>354965.535819133</v>
      </c>
      <c r="H936" s="76" t="n">
        <v>325690.683016893</v>
      </c>
      <c r="I936" s="77" t="str">
        <f>H936-F936</f>
      </c>
      <c r="J936" s="78" t="str">
        <f>G936-E936</f>
      </c>
    </row>
    <row r="937">
      <c r="A937" t="s">
        <v>207</v>
      </c>
      <c r="B937" t="s">
        <v>425</v>
      </c>
      <c r="C937" s="72" t="n">
        <v>2028</v>
      </c>
      <c r="D937" t="s">
        <v>190</v>
      </c>
      <c r="E937" s="73" t="n">
        <v>594995.596924198</v>
      </c>
      <c r="F937" s="74" t="n">
        <v>355024.814162857</v>
      </c>
      <c r="G937" s="75" t="n">
        <v>612031.659444751</v>
      </c>
      <c r="H937" s="76" t="n">
        <v>356073.571438059</v>
      </c>
      <c r="I937" s="77" t="str">
        <f>H937-F937</f>
      </c>
      <c r="J937" s="78" t="str">
        <f>G937-E937</f>
      </c>
    </row>
    <row r="938">
      <c r="A938" t="s">
        <v>207</v>
      </c>
      <c r="B938" t="s">
        <v>425</v>
      </c>
      <c r="C938" s="72" t="n">
        <v>2028</v>
      </c>
      <c r="D938" t="s">
        <v>193</v>
      </c>
      <c r="E938" s="73" t="n">
        <v>425001.707966996</v>
      </c>
      <c r="F938" s="74" t="n">
        <v>221063.437601315</v>
      </c>
      <c r="G938" s="75" t="n">
        <v>437159.755191958</v>
      </c>
      <c r="H938" s="76" t="n">
        <v>221908.958563303</v>
      </c>
      <c r="I938" s="77" t="str">
        <f>H938-F938</f>
      </c>
      <c r="J938" s="78" t="str">
        <f>G938-E938</f>
      </c>
    </row>
    <row r="939">
      <c r="A939" t="s">
        <v>207</v>
      </c>
      <c r="B939" t="s">
        <v>425</v>
      </c>
      <c r="C939" s="72" t="n">
        <v>2028</v>
      </c>
      <c r="D939" t="s">
        <v>424</v>
      </c>
      <c r="E939" s="73" t="n">
        <v>44510.1611612899</v>
      </c>
      <c r="F939" s="74" t="n">
        <v>7131.07016356498</v>
      </c>
      <c r="G939" s="75" t="n">
        <v>44510.0649629929</v>
      </c>
      <c r="H939" s="76" t="n">
        <v>7131.07016356498</v>
      </c>
      <c r="I939" s="77" t="str">
        <f>H939-F939</f>
      </c>
      <c r="J939" s="78" t="str">
        <f>G939-E939</f>
      </c>
    </row>
    <row r="940">
      <c r="A940" t="s">
        <v>207</v>
      </c>
      <c r="B940" t="s">
        <v>425</v>
      </c>
      <c r="C940" s="72" t="n">
        <v>2029</v>
      </c>
      <c r="D940" t="s">
        <v>176</v>
      </c>
      <c r="E940" s="73" t="n">
        <v>14184.0881146616</v>
      </c>
      <c r="F940" s="74" t="n">
        <v>10301.3692392004</v>
      </c>
      <c r="G940" s="75" t="n">
        <v>14181.4236375467</v>
      </c>
      <c r="H940" s="76" t="n">
        <v>10301.2295792609</v>
      </c>
      <c r="I940" s="77" t="str">
        <f>H940-F940</f>
      </c>
      <c r="J940" s="78" t="str">
        <f>G940-E940</f>
      </c>
    </row>
    <row r="941">
      <c r="A941" t="s">
        <v>207</v>
      </c>
      <c r="B941" t="s">
        <v>425</v>
      </c>
      <c r="C941" s="72" t="n">
        <v>2029</v>
      </c>
      <c r="D941" t="s">
        <v>238</v>
      </c>
      <c r="E941" s="73" t="n">
        <v>1082316.37623359</v>
      </c>
      <c r="F941" s="74" t="n">
        <v>161161.417992113</v>
      </c>
      <c r="G941" s="75" t="n">
        <v>1082252.39423074</v>
      </c>
      <c r="H941" s="76" t="n">
        <v>161161.062132093</v>
      </c>
      <c r="I941" s="77" t="str">
        <f>H941-F941</f>
      </c>
      <c r="J941" s="78" t="str">
        <f>G941-E941</f>
      </c>
    </row>
    <row r="942">
      <c r="A942" t="s">
        <v>207</v>
      </c>
      <c r="B942" t="s">
        <v>425</v>
      </c>
      <c r="C942" s="72" t="n">
        <v>2029</v>
      </c>
      <c r="D942" t="s">
        <v>184</v>
      </c>
      <c r="E942" s="73" t="n">
        <v>101225.428094097</v>
      </c>
      <c r="F942" s="74" t="n">
        <v>70238.5817742751</v>
      </c>
      <c r="G942" s="75" t="n">
        <v>105114.693344183</v>
      </c>
      <c r="H942" s="76" t="n">
        <v>71042.0544294395</v>
      </c>
      <c r="I942" s="77" t="str">
        <f>H942-F942</f>
      </c>
      <c r="J942" s="78" t="str">
        <f>G942-E942</f>
      </c>
    </row>
    <row r="943">
      <c r="A943" t="s">
        <v>207</v>
      </c>
      <c r="B943" t="s">
        <v>425</v>
      </c>
      <c r="C943" s="72" t="n">
        <v>2029</v>
      </c>
      <c r="D943" t="s">
        <v>187</v>
      </c>
      <c r="E943" s="73" t="n">
        <v>350435.862571802</v>
      </c>
      <c r="F943" s="74" t="n">
        <v>328468.696789949</v>
      </c>
      <c r="G943" s="75" t="n">
        <v>363896.204247168</v>
      </c>
      <c r="H943" s="76" t="n">
        <v>334292.677138926</v>
      </c>
      <c r="I943" s="77" t="str">
        <f>H943-F943</f>
      </c>
      <c r="J943" s="78" t="str">
        <f>G943-E943</f>
      </c>
    </row>
    <row r="944">
      <c r="A944" t="s">
        <v>207</v>
      </c>
      <c r="B944" t="s">
        <v>425</v>
      </c>
      <c r="C944" s="72" t="n">
        <v>2029</v>
      </c>
      <c r="D944" t="s">
        <v>190</v>
      </c>
      <c r="E944" s="73" t="n">
        <v>604653.720628552</v>
      </c>
      <c r="F944" s="74" t="n">
        <v>365502.322975354</v>
      </c>
      <c r="G944" s="75" t="n">
        <v>627726.336898794</v>
      </c>
      <c r="H944" s="76" t="n">
        <v>367575.22274735</v>
      </c>
      <c r="I944" s="77" t="str">
        <f>H944-F944</f>
      </c>
      <c r="J944" s="78" t="str">
        <f>G944-E944</f>
      </c>
    </row>
    <row r="945">
      <c r="A945" t="s">
        <v>207</v>
      </c>
      <c r="B945" t="s">
        <v>425</v>
      </c>
      <c r="C945" s="72" t="n">
        <v>2029</v>
      </c>
      <c r="D945" t="s">
        <v>193</v>
      </c>
      <c r="E945" s="73" t="n">
        <v>434241.226926164</v>
      </c>
      <c r="F945" s="74" t="n">
        <v>230072.948752077</v>
      </c>
      <c r="G945" s="75" t="n">
        <v>450786.134013569</v>
      </c>
      <c r="H945" s="76" t="n">
        <v>231708.01887569</v>
      </c>
      <c r="I945" s="77" t="str">
        <f>H945-F945</f>
      </c>
      <c r="J945" s="78" t="str">
        <f>G945-E945</f>
      </c>
    </row>
    <row r="946">
      <c r="A946" t="s">
        <v>207</v>
      </c>
      <c r="B946" t="s">
        <v>425</v>
      </c>
      <c r="C946" s="72" t="n">
        <v>2029</v>
      </c>
      <c r="D946" t="s">
        <v>424</v>
      </c>
      <c r="E946" s="73" t="n">
        <v>44600.6096767995</v>
      </c>
      <c r="F946" s="74" t="n">
        <v>7178.22066762937</v>
      </c>
      <c r="G946" s="75" t="n">
        <v>44600.2614435955</v>
      </c>
      <c r="H946" s="76" t="n">
        <v>7178.21931597252</v>
      </c>
      <c r="I946" s="77" t="str">
        <f>H946-F946</f>
      </c>
      <c r="J946" s="78" t="str">
        <f>G946-E946</f>
      </c>
    </row>
    <row r="947">
      <c r="A947" t="s">
        <v>207</v>
      </c>
      <c r="B947" t="s">
        <v>425</v>
      </c>
      <c r="C947" s="72" t="n">
        <v>2030</v>
      </c>
      <c r="D947" t="s">
        <v>176</v>
      </c>
      <c r="E947" s="73" t="n">
        <v>14637.0961957396</v>
      </c>
      <c r="F947" s="74" t="n">
        <v>10630.8751592928</v>
      </c>
      <c r="G947" s="75" t="n">
        <v>14630.9263575645</v>
      </c>
      <c r="H947" s="76" t="n">
        <v>10630.2702680602</v>
      </c>
      <c r="I947" s="77" t="str">
        <f>H947-F947</f>
      </c>
      <c r="J947" s="78" t="str">
        <f>G947-E947</f>
      </c>
    </row>
    <row r="948">
      <c r="A948" t="s">
        <v>207</v>
      </c>
      <c r="B948" t="s">
        <v>425</v>
      </c>
      <c r="C948" s="72" t="n">
        <v>2030</v>
      </c>
      <c r="D948" t="s">
        <v>238</v>
      </c>
      <c r="E948" s="73" t="n">
        <v>1095103.16653722</v>
      </c>
      <c r="F948" s="74" t="n">
        <v>169316.453751854</v>
      </c>
      <c r="G948" s="75" t="n">
        <v>1094956.84444967</v>
      </c>
      <c r="H948" s="76" t="n">
        <v>169314.834038038</v>
      </c>
      <c r="I948" s="77" t="str">
        <f>H948-F948</f>
      </c>
      <c r="J948" s="78" t="str">
        <f>G948-E948</f>
      </c>
    </row>
    <row r="949">
      <c r="A949" t="s">
        <v>207</v>
      </c>
      <c r="B949" t="s">
        <v>425</v>
      </c>
      <c r="C949" s="72" t="n">
        <v>2030</v>
      </c>
      <c r="D949" t="s">
        <v>184</v>
      </c>
      <c r="E949" s="73" t="n">
        <v>103422.881655444</v>
      </c>
      <c r="F949" s="74" t="n">
        <v>71855.6084040496</v>
      </c>
      <c r="G949" s="75" t="n">
        <v>108393.77376612</v>
      </c>
      <c r="H949" s="76" t="n">
        <v>73120.8011068864</v>
      </c>
      <c r="I949" s="77" t="str">
        <f>H949-F949</f>
      </c>
      <c r="J949" s="78" t="str">
        <f>G949-E949</f>
      </c>
    </row>
    <row r="950">
      <c r="A950" t="s">
        <v>207</v>
      </c>
      <c r="B950" t="s">
        <v>425</v>
      </c>
      <c r="C950" s="72" t="n">
        <v>2030</v>
      </c>
      <c r="D950" t="s">
        <v>187</v>
      </c>
      <c r="E950" s="73" t="n">
        <v>355635.941902698</v>
      </c>
      <c r="F950" s="74" t="n">
        <v>334336.075814775</v>
      </c>
      <c r="G950" s="75" t="n">
        <v>372741.795461264</v>
      </c>
      <c r="H950" s="76" t="n">
        <v>342889.635366394</v>
      </c>
      <c r="I950" s="77" t="str">
        <f>H950-F950</f>
      </c>
      <c r="J950" s="78" t="str">
        <f>G950-E950</f>
      </c>
    </row>
    <row r="951">
      <c r="A951" t="s">
        <v>207</v>
      </c>
      <c r="B951" t="s">
        <v>425</v>
      </c>
      <c r="C951" s="72" t="n">
        <v>2030</v>
      </c>
      <c r="D951" t="s">
        <v>190</v>
      </c>
      <c r="E951" s="73" t="n">
        <v>613899.055069505</v>
      </c>
      <c r="F951" s="74" t="n">
        <v>375529.561856242</v>
      </c>
      <c r="G951" s="75" t="n">
        <v>643154.211305628</v>
      </c>
      <c r="H951" s="76" t="n">
        <v>378940.231267445</v>
      </c>
      <c r="I951" s="77" t="str">
        <f>H951-F951</f>
      </c>
      <c r="J951" s="78" t="str">
        <f>G951-E951</f>
      </c>
    </row>
    <row r="952">
      <c r="A952" t="s">
        <v>207</v>
      </c>
      <c r="B952" t="s">
        <v>425</v>
      </c>
      <c r="C952" s="72" t="n">
        <v>2030</v>
      </c>
      <c r="D952" t="s">
        <v>193</v>
      </c>
      <c r="E952" s="73" t="n">
        <v>443282.731870387</v>
      </c>
      <c r="F952" s="74" t="n">
        <v>238665.690229671</v>
      </c>
      <c r="G952" s="75" t="n">
        <v>464360.518103772</v>
      </c>
      <c r="H952" s="76" t="n">
        <v>241310.309903655</v>
      </c>
      <c r="I952" s="77" t="str">
        <f>H952-F952</f>
      </c>
      <c r="J952" s="78" t="str">
        <f>G952-E952</f>
      </c>
    </row>
    <row r="953">
      <c r="A953" t="s">
        <v>207</v>
      </c>
      <c r="B953" t="s">
        <v>425</v>
      </c>
      <c r="C953" s="72" t="n">
        <v>2030</v>
      </c>
      <c r="D953" t="s">
        <v>424</v>
      </c>
      <c r="E953" s="73" t="n">
        <v>44648.0714721281</v>
      </c>
      <c r="F953" s="74" t="n">
        <v>7223.11635294762</v>
      </c>
      <c r="G953" s="75" t="n">
        <v>44647.268915283</v>
      </c>
      <c r="H953" s="76" t="n">
        <v>7223.11031474236</v>
      </c>
      <c r="I953" s="77" t="str">
        <f>H953-F953</f>
      </c>
      <c r="J953" s="78" t="str">
        <f>G953-E953</f>
      </c>
    </row>
    <row r="954">
      <c r="A954" t="s">
        <v>207</v>
      </c>
      <c r="B954" t="s">
        <v>425</v>
      </c>
      <c r="C954" s="72" t="n">
        <v>2031</v>
      </c>
      <c r="D954" t="s">
        <v>176</v>
      </c>
      <c r="E954" s="73" t="n">
        <v>15091.9775681148</v>
      </c>
      <c r="F954" s="74" t="n">
        <v>10957.0262792565</v>
      </c>
      <c r="G954" s="75" t="n">
        <v>15080.3825495532</v>
      </c>
      <c r="H954" s="76" t="n">
        <v>10955.4255331558</v>
      </c>
      <c r="I954" s="77" t="str">
        <f>H954-F954</f>
      </c>
      <c r="J954" s="78" t="str">
        <f>G954-E954</f>
      </c>
    </row>
    <row r="955">
      <c r="A955" t="s">
        <v>207</v>
      </c>
      <c r="B955" t="s">
        <v>425</v>
      </c>
      <c r="C955" s="72" t="n">
        <v>2031</v>
      </c>
      <c r="D955" t="s">
        <v>238</v>
      </c>
      <c r="E955" s="73" t="n">
        <v>1107298.77004081</v>
      </c>
      <c r="F955" s="74" t="n">
        <v>177515.388062289</v>
      </c>
      <c r="G955" s="75" t="n">
        <v>1107027.69162894</v>
      </c>
      <c r="H955" s="76" t="n">
        <v>177510.906196669</v>
      </c>
      <c r="I955" s="77" t="str">
        <f>H955-F955</f>
      </c>
      <c r="J955" s="78" t="str">
        <f>G955-E955</f>
      </c>
    </row>
    <row r="956">
      <c r="A956" t="s">
        <v>207</v>
      </c>
      <c r="B956" t="s">
        <v>425</v>
      </c>
      <c r="C956" s="72" t="n">
        <v>2031</v>
      </c>
      <c r="D956" t="s">
        <v>184</v>
      </c>
      <c r="E956" s="73" t="n">
        <v>106550.313860087</v>
      </c>
      <c r="F956" s="74" t="n">
        <v>73430.5655299613</v>
      </c>
      <c r="G956" s="75" t="n">
        <v>111632.947554352</v>
      </c>
      <c r="H956" s="76" t="n">
        <v>75230.219664338</v>
      </c>
      <c r="I956" s="77" t="str">
        <f>H956-F956</f>
      </c>
      <c r="J956" s="78" t="str">
        <f>G956-E956</f>
      </c>
    </row>
    <row r="957">
      <c r="A957" t="s">
        <v>207</v>
      </c>
      <c r="B957" t="s">
        <v>425</v>
      </c>
      <c r="C957" s="72" t="n">
        <v>2031</v>
      </c>
      <c r="D957" t="s">
        <v>187</v>
      </c>
      <c r="E957" s="73" t="n">
        <v>364060.855329122</v>
      </c>
      <c r="F957" s="74" t="n">
        <v>339915.93799408</v>
      </c>
      <c r="G957" s="75" t="n">
        <v>381470.266781021</v>
      </c>
      <c r="H957" s="76" t="n">
        <v>351432.518672951</v>
      </c>
      <c r="I957" s="77" t="str">
        <f>H957-F957</f>
      </c>
      <c r="J957" s="78" t="str">
        <f>G957-E957</f>
      </c>
    </row>
    <row r="958">
      <c r="A958" t="s">
        <v>207</v>
      </c>
      <c r="B958" t="s">
        <v>425</v>
      </c>
      <c r="C958" s="72" t="n">
        <v>2031</v>
      </c>
      <c r="D958" t="s">
        <v>190</v>
      </c>
      <c r="E958" s="73" t="n">
        <v>628650.894899715</v>
      </c>
      <c r="F958" s="74" t="n">
        <v>385134.830081502</v>
      </c>
      <c r="G958" s="75" t="n">
        <v>658282.149268814</v>
      </c>
      <c r="H958" s="76" t="n">
        <v>390181.003020302</v>
      </c>
      <c r="I958" s="77" t="str">
        <f>H958-F958</f>
      </c>
      <c r="J958" s="78" t="str">
        <f>G958-E958</f>
      </c>
    </row>
    <row r="959">
      <c r="A959" t="s">
        <v>207</v>
      </c>
      <c r="B959" t="s">
        <v>425</v>
      </c>
      <c r="C959" s="72" t="n">
        <v>2031</v>
      </c>
      <c r="D959" t="s">
        <v>193</v>
      </c>
      <c r="E959" s="73" t="n">
        <v>456345.335322462</v>
      </c>
      <c r="F959" s="74" t="n">
        <v>246956.080162606</v>
      </c>
      <c r="G959" s="75" t="n">
        <v>477778.146047482</v>
      </c>
      <c r="H959" s="76" t="n">
        <v>250815.782662592</v>
      </c>
      <c r="I959" s="77" t="str">
        <f>H959-F959</f>
      </c>
      <c r="J959" s="78" t="str">
        <f>G959-E959</f>
      </c>
    </row>
    <row r="960">
      <c r="A960" t="s">
        <v>207</v>
      </c>
      <c r="B960" t="s">
        <v>425</v>
      </c>
      <c r="C960" s="72" t="n">
        <v>2031</v>
      </c>
      <c r="D960" t="s">
        <v>424</v>
      </c>
      <c r="E960" s="73" t="n">
        <v>44641.8444377744</v>
      </c>
      <c r="F960" s="74" t="n">
        <v>7266.78238733201</v>
      </c>
      <c r="G960" s="75" t="n">
        <v>44640.3472954778</v>
      </c>
      <c r="H960" s="76" t="n">
        <v>7266.76600020754</v>
      </c>
      <c r="I960" s="77" t="str">
        <f>H960-F960</f>
      </c>
      <c r="J960" s="78" t="str">
        <f>G960-E960</f>
      </c>
    </row>
    <row r="961">
      <c r="A961" t="s">
        <v>207</v>
      </c>
      <c r="B961" t="s">
        <v>425</v>
      </c>
      <c r="C961" s="72" t="n">
        <v>2032</v>
      </c>
      <c r="D961" t="s">
        <v>176</v>
      </c>
      <c r="E961" s="73" t="n">
        <v>15550.52084472</v>
      </c>
      <c r="F961" s="74" t="n">
        <v>11277.8284028274</v>
      </c>
      <c r="G961" s="75" t="n">
        <v>15531.2601955666</v>
      </c>
      <c r="H961" s="76" t="n">
        <v>11274.4954497352</v>
      </c>
      <c r="I961" s="77" t="str">
        <f>H961-F961</f>
      </c>
      <c r="J961" s="78" t="str">
        <f>G961-E961</f>
      </c>
    </row>
    <row r="962">
      <c r="A962" t="s">
        <v>207</v>
      </c>
      <c r="B962" t="s">
        <v>425</v>
      </c>
      <c r="C962" s="72" t="n">
        <v>2032</v>
      </c>
      <c r="D962" t="s">
        <v>238</v>
      </c>
      <c r="E962" s="73" t="n">
        <v>1118920.60896672</v>
      </c>
      <c r="F962" s="74" t="n">
        <v>185735.715554434</v>
      </c>
      <c r="G962" s="75" t="n">
        <v>1118477.32749824</v>
      </c>
      <c r="H962" s="76" t="n">
        <v>185725.999058801</v>
      </c>
      <c r="I962" s="77" t="str">
        <f>H962-F962</f>
      </c>
      <c r="J962" s="78" t="str">
        <f>G962-E962</f>
      </c>
    </row>
    <row r="963">
      <c r="A963" t="s">
        <v>207</v>
      </c>
      <c r="B963" t="s">
        <v>425</v>
      </c>
      <c r="C963" s="72" t="n">
        <v>2032</v>
      </c>
      <c r="D963" t="s">
        <v>184</v>
      </c>
      <c r="E963" s="73" t="n">
        <v>109654.604851172</v>
      </c>
      <c r="F963" s="74" t="n">
        <v>75124.5938219305</v>
      </c>
      <c r="G963" s="75" t="n">
        <v>114835.221802653</v>
      </c>
      <c r="H963" s="76" t="n">
        <v>77353.0610239329</v>
      </c>
      <c r="I963" s="77" t="str">
        <f>H963-F963</f>
      </c>
      <c r="J963" s="78" t="str">
        <f>G963-E963</f>
      </c>
    </row>
    <row r="964">
      <c r="A964" t="s">
        <v>207</v>
      </c>
      <c r="B964" t="s">
        <v>425</v>
      </c>
      <c r="C964" s="72" t="n">
        <v>2032</v>
      </c>
      <c r="D964" t="s">
        <v>187</v>
      </c>
      <c r="E964" s="73" t="n">
        <v>372312.672930821</v>
      </c>
      <c r="F964" s="74" t="n">
        <v>346711.443865772</v>
      </c>
      <c r="G964" s="75" t="n">
        <v>389998.376688754</v>
      </c>
      <c r="H964" s="76" t="n">
        <v>359834.546852866</v>
      </c>
      <c r="I964" s="77" t="str">
        <f>H964-F964</f>
      </c>
      <c r="J964" s="78" t="str">
        <f>G964-E964</f>
      </c>
    </row>
    <row r="965">
      <c r="A965" t="s">
        <v>207</v>
      </c>
      <c r="B965" t="s">
        <v>425</v>
      </c>
      <c r="C965" s="72" t="n">
        <v>2032</v>
      </c>
      <c r="D965" t="s">
        <v>190</v>
      </c>
      <c r="E965" s="73" t="n">
        <v>643183.796702133</v>
      </c>
      <c r="F965" s="74" t="n">
        <v>394758.561941515</v>
      </c>
      <c r="G965" s="75" t="n">
        <v>673133.888273266</v>
      </c>
      <c r="H965" s="76" t="n">
        <v>401318.286193472</v>
      </c>
      <c r="I965" s="77" t="str">
        <f>H965-F965</f>
      </c>
      <c r="J965" s="78" t="str">
        <f>G965-E965</f>
      </c>
    </row>
    <row r="966">
      <c r="A966" t="s">
        <v>207</v>
      </c>
      <c r="B966" t="s">
        <v>425</v>
      </c>
      <c r="C966" s="72" t="n">
        <v>2032</v>
      </c>
      <c r="D966" t="s">
        <v>193</v>
      </c>
      <c r="E966" s="73" t="n">
        <v>469171.687592642</v>
      </c>
      <c r="F966" s="74" t="n">
        <v>255445.321212416</v>
      </c>
      <c r="G966" s="75" t="n">
        <v>490904.70344578</v>
      </c>
      <c r="H966" s="76" t="n">
        <v>260346.937343717</v>
      </c>
      <c r="I966" s="77" t="str">
        <f>H966-F966</f>
      </c>
      <c r="J966" s="78" t="str">
        <f>G966-E966</f>
      </c>
    </row>
    <row r="967">
      <c r="A967" t="s">
        <v>207</v>
      </c>
      <c r="B967" t="s">
        <v>425</v>
      </c>
      <c r="C967" s="72" t="n">
        <v>2032</v>
      </c>
      <c r="D967" t="s">
        <v>424</v>
      </c>
      <c r="E967" s="73" t="n">
        <v>44585.7086607842</v>
      </c>
      <c r="F967" s="74" t="n">
        <v>7308.72442455996</v>
      </c>
      <c r="G967" s="75" t="n">
        <v>44583.2455015959</v>
      </c>
      <c r="H967" s="76" t="n">
        <v>7308.68956833998</v>
      </c>
      <c r="I967" s="77" t="str">
        <f>H967-F967</f>
      </c>
      <c r="J967" s="78" t="str">
        <f>G967-E967</f>
      </c>
    </row>
    <row r="968">
      <c r="A968" t="s">
        <v>207</v>
      </c>
      <c r="B968" t="s">
        <v>425</v>
      </c>
      <c r="C968" s="72" t="n">
        <v>2033</v>
      </c>
      <c r="D968" t="s">
        <v>176</v>
      </c>
      <c r="E968" s="73" t="n">
        <v>16012.2189836055</v>
      </c>
      <c r="F968" s="74" t="n">
        <v>11592.9391887729</v>
      </c>
      <c r="G968" s="75" t="n">
        <v>15983.7175379286</v>
      </c>
      <c r="H968" s="76" t="n">
        <v>11586.9335708044</v>
      </c>
      <c r="I968" s="77" t="str">
        <f>H968-F968</f>
      </c>
      <c r="J968" s="78" t="str">
        <f>G968-E968</f>
      </c>
    </row>
    <row r="969">
      <c r="A969" t="s">
        <v>207</v>
      </c>
      <c r="B969" t="s">
        <v>425</v>
      </c>
      <c r="C969" s="72" t="n">
        <v>2033</v>
      </c>
      <c r="D969" t="s">
        <v>238</v>
      </c>
      <c r="E969" s="73" t="n">
        <v>1129879.97422081</v>
      </c>
      <c r="F969" s="74" t="n">
        <v>193971.387760369</v>
      </c>
      <c r="G969" s="75" t="n">
        <v>1129233.47845058</v>
      </c>
      <c r="H969" s="76" t="n">
        <v>193953.224223645</v>
      </c>
      <c r="I969" s="77" t="str">
        <f>H969-F969</f>
      </c>
      <c r="J969" s="78" t="str">
        <f>G969-E969</f>
      </c>
    </row>
    <row r="970">
      <c r="A970" t="s">
        <v>207</v>
      </c>
      <c r="B970" t="s">
        <v>425</v>
      </c>
      <c r="C970" s="72" t="n">
        <v>2033</v>
      </c>
      <c r="D970" t="s">
        <v>184</v>
      </c>
      <c r="E970" s="73" t="n">
        <v>112730.295334815</v>
      </c>
      <c r="F970" s="74" t="n">
        <v>76903.2878843452</v>
      </c>
      <c r="G970" s="75" t="n">
        <v>117998.738437442</v>
      </c>
      <c r="H970" s="76" t="n">
        <v>79480.4761690429</v>
      </c>
      <c r="I970" s="77" t="str">
        <f>H970-F970</f>
      </c>
      <c r="J970" s="78" t="str">
        <f>G970-E970</f>
      </c>
    </row>
    <row r="971">
      <c r="A971" t="s">
        <v>207</v>
      </c>
      <c r="B971" t="s">
        <v>425</v>
      </c>
      <c r="C971" s="72" t="n">
        <v>2033</v>
      </c>
      <c r="D971" t="s">
        <v>187</v>
      </c>
      <c r="E971" s="73" t="n">
        <v>380415.653494538</v>
      </c>
      <c r="F971" s="74" t="n">
        <v>353849.502700527</v>
      </c>
      <c r="G971" s="75" t="n">
        <v>398354.344992358</v>
      </c>
      <c r="H971" s="76" t="n">
        <v>368051.624575443</v>
      </c>
      <c r="I971" s="77" t="str">
        <f>H971-F971</f>
      </c>
      <c r="J971" s="78" t="str">
        <f>G971-E971</f>
      </c>
    </row>
    <row r="972">
      <c r="A972" t="s">
        <v>207</v>
      </c>
      <c r="B972" t="s">
        <v>425</v>
      </c>
      <c r="C972" s="72" t="n">
        <v>2033</v>
      </c>
      <c r="D972" t="s">
        <v>190</v>
      </c>
      <c r="E972" s="73" t="n">
        <v>657408.883174232</v>
      </c>
      <c r="F972" s="74" t="n">
        <v>404385.999589443</v>
      </c>
      <c r="G972" s="75" t="n">
        <v>687634.699546926</v>
      </c>
      <c r="H972" s="76" t="n">
        <v>412348.075678578</v>
      </c>
      <c r="I972" s="77" t="str">
        <f>H972-F972</f>
      </c>
      <c r="J972" s="78" t="str">
        <f>G972-E972</f>
      </c>
    </row>
    <row r="973">
      <c r="A973" t="s">
        <v>207</v>
      </c>
      <c r="B973" t="s">
        <v>425</v>
      </c>
      <c r="C973" s="72" t="n">
        <v>2033</v>
      </c>
      <c r="D973" t="s">
        <v>193</v>
      </c>
      <c r="E973" s="73" t="n">
        <v>481758.785880409</v>
      </c>
      <c r="F973" s="74" t="n">
        <v>264053.394519716</v>
      </c>
      <c r="G973" s="75" t="n">
        <v>503751.109420694</v>
      </c>
      <c r="H973" s="76" t="n">
        <v>269883.407599987</v>
      </c>
      <c r="I973" s="77" t="str">
        <f>H973-F973</f>
      </c>
      <c r="J973" s="78" t="str">
        <f>G973-E973</f>
      </c>
    </row>
    <row r="974">
      <c r="A974" t="s">
        <v>207</v>
      </c>
      <c r="B974" t="s">
        <v>425</v>
      </c>
      <c r="C974" s="72" t="n">
        <v>2033</v>
      </c>
      <c r="D974" t="s">
        <v>424</v>
      </c>
      <c r="E974" s="73" t="n">
        <v>44487.2957714644</v>
      </c>
      <c r="F974" s="74" t="n">
        <v>7348.13804715017</v>
      </c>
      <c r="G974" s="75" t="n">
        <v>44483.6835898413</v>
      </c>
      <c r="H974" s="76" t="n">
        <v>7348.07414732206</v>
      </c>
      <c r="I974" s="77" t="str">
        <f>H974-F974</f>
      </c>
      <c r="J974" s="78" t="str">
        <f>G974-E974</f>
      </c>
    </row>
    <row r="975">
      <c r="A975" t="s">
        <v>207</v>
      </c>
      <c r="B975" t="s">
        <v>425</v>
      </c>
      <c r="C975" s="72" t="n">
        <v>2034</v>
      </c>
      <c r="D975" t="s">
        <v>176</v>
      </c>
      <c r="E975" s="73" t="n">
        <v>16475.9686509968</v>
      </c>
      <c r="F975" s="74" t="n">
        <v>11906.0052416302</v>
      </c>
      <c r="G975" s="75" t="n">
        <v>16436.9312806497</v>
      </c>
      <c r="H975" s="76" t="n">
        <v>11896.3823187386</v>
      </c>
      <c r="I975" s="77" t="str">
        <f>H975-F975</f>
      </c>
      <c r="J975" s="78" t="str">
        <f>G975-E975</f>
      </c>
    </row>
    <row r="976">
      <c r="A976" t="s">
        <v>207</v>
      </c>
      <c r="B976" t="s">
        <v>425</v>
      </c>
      <c r="C976" s="72" t="n">
        <v>2034</v>
      </c>
      <c r="D976" t="s">
        <v>238</v>
      </c>
      <c r="E976" s="73" t="n">
        <v>1140229.47238041</v>
      </c>
      <c r="F976" s="74" t="n">
        <v>202177.514188762</v>
      </c>
      <c r="G976" s="75" t="n">
        <v>1139357.01951607</v>
      </c>
      <c r="H976" s="76" t="n">
        <v>202147.27044605</v>
      </c>
      <c r="I976" s="77" t="str">
        <f>H976-F976</f>
      </c>
      <c r="J976" s="78" t="str">
        <f>G976-E976</f>
      </c>
    </row>
    <row r="977">
      <c r="A977" t="s">
        <v>207</v>
      </c>
      <c r="B977" t="s">
        <v>425</v>
      </c>
      <c r="C977" s="72" t="n">
        <v>2034</v>
      </c>
      <c r="D977" t="s">
        <v>184</v>
      </c>
      <c r="E977" s="73" t="n">
        <v>115758.409856181</v>
      </c>
      <c r="F977" s="74" t="n">
        <v>78730.866642033</v>
      </c>
      <c r="G977" s="75" t="n">
        <v>121105.471839437</v>
      </c>
      <c r="H977" s="76" t="n">
        <v>81594.9482339212</v>
      </c>
      <c r="I977" s="77" t="str">
        <f>H977-F977</f>
      </c>
      <c r="J977" s="78" t="str">
        <f>G977-E977</f>
      </c>
    </row>
    <row r="978">
      <c r="A978" t="s">
        <v>207</v>
      </c>
      <c r="B978" t="s">
        <v>425</v>
      </c>
      <c r="C978" s="72" t="n">
        <v>2034</v>
      </c>
      <c r="D978" t="s">
        <v>187</v>
      </c>
      <c r="E978" s="73" t="n">
        <v>388388.470378806</v>
      </c>
      <c r="F978" s="74" t="n">
        <v>361038.564516864</v>
      </c>
      <c r="G978" s="75" t="n">
        <v>406559.867353788</v>
      </c>
      <c r="H978" s="76" t="n">
        <v>376028.132278335</v>
      </c>
      <c r="I978" s="77" t="str">
        <f>H978-F978</f>
      </c>
      <c r="J978" s="78" t="str">
        <f>G978-E978</f>
      </c>
    </row>
    <row r="979">
      <c r="A979" t="s">
        <v>207</v>
      </c>
      <c r="B979" t="s">
        <v>425</v>
      </c>
      <c r="C979" s="72" t="n">
        <v>2034</v>
      </c>
      <c r="D979" t="s">
        <v>190</v>
      </c>
      <c r="E979" s="73" t="n">
        <v>671229.520256128</v>
      </c>
      <c r="F979" s="74" t="n">
        <v>413995.077003354</v>
      </c>
      <c r="G979" s="75" t="n">
        <v>701691.677358768</v>
      </c>
      <c r="H979" s="76" t="n">
        <v>423259.100590806</v>
      </c>
      <c r="I979" s="77" t="str">
        <f>H979-F979</f>
      </c>
      <c r="J979" s="78" t="str">
        <f>G979-E979</f>
      </c>
    </row>
    <row r="980">
      <c r="A980" t="s">
        <v>207</v>
      </c>
      <c r="B980" t="s">
        <v>425</v>
      </c>
      <c r="C980" s="72" t="n">
        <v>2034</v>
      </c>
      <c r="D980" t="s">
        <v>193</v>
      </c>
      <c r="E980" s="73" t="n">
        <v>494186.618500065</v>
      </c>
      <c r="F980" s="74" t="n">
        <v>272812.757602871</v>
      </c>
      <c r="G980" s="75" t="n">
        <v>516406.53850878</v>
      </c>
      <c r="H980" s="76" t="n">
        <v>279484.980285229</v>
      </c>
      <c r="I980" s="77" t="str">
        <f>H980-F980</f>
      </c>
      <c r="J980" s="78" t="str">
        <f>G980-E980</f>
      </c>
    </row>
    <row r="981">
      <c r="A981" t="s">
        <v>207</v>
      </c>
      <c r="B981" t="s">
        <v>425</v>
      </c>
      <c r="C981" s="72" t="n">
        <v>2034</v>
      </c>
      <c r="D981" t="s">
        <v>424</v>
      </c>
      <c r="E981" s="73" t="n">
        <v>44360.0835496249</v>
      </c>
      <c r="F981" s="74" t="n">
        <v>7385.14510704356</v>
      </c>
      <c r="G981" s="75" t="n">
        <v>44355.184450179</v>
      </c>
      <c r="H981" s="76" t="n">
        <v>7385.04094675217</v>
      </c>
      <c r="I981" s="77" t="str">
        <f>H981-F981</f>
      </c>
      <c r="J981" s="78" t="str">
        <f>G981-E981</f>
      </c>
    </row>
    <row r="982">
      <c r="A982" t="s">
        <v>207</v>
      </c>
      <c r="B982" t="s">
        <v>425</v>
      </c>
      <c r="C982" s="72" t="n">
        <v>2035</v>
      </c>
      <c r="D982" t="s">
        <v>176</v>
      </c>
      <c r="E982" s="73" t="n">
        <v>16942.9127959776</v>
      </c>
      <c r="F982" s="74" t="n">
        <v>12217.1878966443</v>
      </c>
      <c r="G982" s="75" t="n">
        <v>16892.2141390053</v>
      </c>
      <c r="H982" s="76" t="n">
        <v>12203.0577178634</v>
      </c>
      <c r="I982" s="77" t="str">
        <f>H982-F982</f>
      </c>
      <c r="J982" s="78" t="str">
        <f>G982-E982</f>
      </c>
    </row>
    <row r="983">
      <c r="A983" t="s">
        <v>207</v>
      </c>
      <c r="B983" t="s">
        <v>425</v>
      </c>
      <c r="C983" s="72" t="n">
        <v>2035</v>
      </c>
      <c r="D983" t="s">
        <v>238</v>
      </c>
      <c r="E983" s="73" t="n">
        <v>1150087.68059674</v>
      </c>
      <c r="F983" s="74" t="n">
        <v>210337.157214282</v>
      </c>
      <c r="G983" s="75" t="n">
        <v>1148972.16574985</v>
      </c>
      <c r="H983" s="76" t="n">
        <v>210290.980527925</v>
      </c>
      <c r="I983" s="77" t="str">
        <f>H983-F983</f>
      </c>
      <c r="J983" s="78" t="str">
        <f>G983-E983</f>
      </c>
    </row>
    <row r="984">
      <c r="A984" t="s">
        <v>207</v>
      </c>
      <c r="B984" t="s">
        <v>425</v>
      </c>
      <c r="C984" s="72" t="n">
        <v>2035</v>
      </c>
      <c r="D984" t="s">
        <v>184</v>
      </c>
      <c r="E984" s="73" t="n">
        <v>118730.849763855</v>
      </c>
      <c r="F984" s="74" t="n">
        <v>80592.6490234385</v>
      </c>
      <c r="G984" s="75" t="n">
        <v>124148.207195844</v>
      </c>
      <c r="H984" s="76" t="n">
        <v>83695.1178728798</v>
      </c>
      <c r="I984" s="77" t="str">
        <f>H984-F984</f>
      </c>
      <c r="J984" s="78" t="str">
        <f>G984-E984</f>
      </c>
    </row>
    <row r="985">
      <c r="A985" t="s">
        <v>207</v>
      </c>
      <c r="B985" t="s">
        <v>425</v>
      </c>
      <c r="C985" s="72" t="n">
        <v>2035</v>
      </c>
      <c r="D985" t="s">
        <v>187</v>
      </c>
      <c r="E985" s="73" t="n">
        <v>396151.365873773</v>
      </c>
      <c r="F985" s="74" t="n">
        <v>368191.156656384</v>
      </c>
      <c r="G985" s="75" t="n">
        <v>414533.160603145</v>
      </c>
      <c r="H985" s="76" t="n">
        <v>383788.762526672</v>
      </c>
      <c r="I985" s="77" t="str">
        <f>H985-F985</f>
      </c>
      <c r="J985" s="78" t="str">
        <f>G985-E985</f>
      </c>
    </row>
    <row r="986">
      <c r="A986" t="s">
        <v>207</v>
      </c>
      <c r="B986" t="s">
        <v>425</v>
      </c>
      <c r="C986" s="72" t="n">
        <v>2035</v>
      </c>
      <c r="D986" t="s">
        <v>190</v>
      </c>
      <c r="E986" s="73" t="n">
        <v>684666.454517578</v>
      </c>
      <c r="F986" s="74" t="n">
        <v>423605.856946407</v>
      </c>
      <c r="G986" s="75" t="n">
        <v>715331.788822102</v>
      </c>
      <c r="H986" s="76" t="n">
        <v>434082.031551195</v>
      </c>
      <c r="I986" s="77" t="str">
        <f>H986-F986</f>
      </c>
      <c r="J986" s="78" t="str">
        <f>G986-E986</f>
      </c>
    </row>
    <row r="987">
      <c r="A987" t="s">
        <v>207</v>
      </c>
      <c r="B987" t="s">
        <v>425</v>
      </c>
      <c r="C987" s="72" t="n">
        <v>2035</v>
      </c>
      <c r="D987" t="s">
        <v>193</v>
      </c>
      <c r="E987" s="73" t="n">
        <v>506401.399445075</v>
      </c>
      <c r="F987" s="74" t="n">
        <v>281707.427535224</v>
      </c>
      <c r="G987" s="75" t="n">
        <v>528818.371883953</v>
      </c>
      <c r="H987" s="76" t="n">
        <v>289150.802435983</v>
      </c>
      <c r="I987" s="77" t="str">
        <f>H987-F987</f>
      </c>
      <c r="J987" s="78" t="str">
        <f>G987-E987</f>
      </c>
    </row>
    <row r="988">
      <c r="A988" t="s">
        <v>207</v>
      </c>
      <c r="B988" t="s">
        <v>425</v>
      </c>
      <c r="C988" s="72" t="n">
        <v>2035</v>
      </c>
      <c r="D988" t="s">
        <v>424</v>
      </c>
      <c r="E988" s="73" t="n">
        <v>44213.00069585</v>
      </c>
      <c r="F988" s="74" t="n">
        <v>7420.13434025696</v>
      </c>
      <c r="G988" s="75" t="n">
        <v>44206.7073067121</v>
      </c>
      <c r="H988" s="76" t="n">
        <v>7419.97885519321</v>
      </c>
      <c r="I988" s="77" t="str">
        <f>H988-F988</f>
      </c>
      <c r="J988" s="78" t="str">
        <f>G988-E988</f>
      </c>
    </row>
    <row r="989">
      <c r="A989" t="s">
        <v>207</v>
      </c>
      <c r="B989" t="s">
        <v>425</v>
      </c>
      <c r="C989" s="72" t="n">
        <v>2036</v>
      </c>
      <c r="D989" t="s">
        <v>176</v>
      </c>
      <c r="E989" s="73" t="n">
        <v>17414.0317985759</v>
      </c>
      <c r="F989" s="74" t="n">
        <v>12526.3552795585</v>
      </c>
      <c r="G989" s="75" t="n">
        <v>17350.6546269342</v>
      </c>
      <c r="H989" s="76" t="n">
        <v>12506.9021026876</v>
      </c>
      <c r="I989" s="77" t="str">
        <f>H989-F989</f>
      </c>
      <c r="J989" s="78" t="str">
        <f>G989-E989</f>
      </c>
    </row>
    <row r="990">
      <c r="A990" t="s">
        <v>207</v>
      </c>
      <c r="B990" t="s">
        <v>425</v>
      </c>
      <c r="C990" s="72" t="n">
        <v>2036</v>
      </c>
      <c r="D990" t="s">
        <v>238</v>
      </c>
      <c r="E990" s="73" t="n">
        <v>1159637.61780612</v>
      </c>
      <c r="F990" s="74" t="n">
        <v>218436.737509198</v>
      </c>
      <c r="G990" s="75" t="n">
        <v>1158266.13775829</v>
      </c>
      <c r="H990" s="76" t="n">
        <v>218370.687575925</v>
      </c>
      <c r="I990" s="77" t="str">
        <f>H990-F990</f>
      </c>
      <c r="J990" s="78" t="str">
        <f>G990-E990</f>
      </c>
    </row>
    <row r="991">
      <c r="A991" t="s">
        <v>207</v>
      </c>
      <c r="B991" t="s">
        <v>425</v>
      </c>
      <c r="C991" s="72" t="n">
        <v>2036</v>
      </c>
      <c r="D991" t="s">
        <v>184</v>
      </c>
      <c r="E991" s="73" t="n">
        <v>121657.725435876</v>
      </c>
      <c r="F991" s="74" t="n">
        <v>82463.9832139042</v>
      </c>
      <c r="G991" s="75" t="n">
        <v>127138.451085333</v>
      </c>
      <c r="H991" s="76" t="n">
        <v>85765.5647353171</v>
      </c>
      <c r="I991" s="77" t="str">
        <f>H991-F991</f>
      </c>
      <c r="J991" s="78" t="str">
        <f>G991-E991</f>
      </c>
    </row>
    <row r="992">
      <c r="A992" t="s">
        <v>207</v>
      </c>
      <c r="B992" t="s">
        <v>425</v>
      </c>
      <c r="C992" s="72" t="n">
        <v>2036</v>
      </c>
      <c r="D992" t="s">
        <v>187</v>
      </c>
      <c r="E992" s="73" t="n">
        <v>403663.120332715</v>
      </c>
      <c r="F992" s="74" t="n">
        <v>375202.859001504</v>
      </c>
      <c r="G992" s="75" t="n">
        <v>422232.659922133</v>
      </c>
      <c r="H992" s="76" t="n">
        <v>391285.955739587</v>
      </c>
      <c r="I992" s="77" t="str">
        <f>H992-F992</f>
      </c>
      <c r="J992" s="78" t="str">
        <f>G992-E992</f>
      </c>
    </row>
    <row r="993">
      <c r="A993" t="s">
        <v>207</v>
      </c>
      <c r="B993" t="s">
        <v>425</v>
      </c>
      <c r="C993" s="72" t="n">
        <v>2036</v>
      </c>
      <c r="D993" t="s">
        <v>190</v>
      </c>
      <c r="E993" s="73" t="n">
        <v>697693.914545466</v>
      </c>
      <c r="F993" s="74" t="n">
        <v>433141.636136721</v>
      </c>
      <c r="G993" s="75" t="n">
        <v>728531.610160843</v>
      </c>
      <c r="H993" s="76" t="n">
        <v>444747.907566169</v>
      </c>
      <c r="I993" s="77" t="str">
        <f>H993-F993</f>
      </c>
      <c r="J993" s="78" t="str">
        <f>G993-E993</f>
      </c>
    </row>
    <row r="994">
      <c r="A994" t="s">
        <v>207</v>
      </c>
      <c r="B994" t="s">
        <v>425</v>
      </c>
      <c r="C994" s="72" t="n">
        <v>2036</v>
      </c>
      <c r="D994" t="s">
        <v>193</v>
      </c>
      <c r="E994" s="73" t="n">
        <v>518463.630928271</v>
      </c>
      <c r="F994" s="74" t="n">
        <v>290726.161944825</v>
      </c>
      <c r="G994" s="75" t="n">
        <v>541052.28077363</v>
      </c>
      <c r="H994" s="76" t="n">
        <v>298879.611309733</v>
      </c>
      <c r="I994" s="77" t="str">
        <f>H994-F994</f>
      </c>
      <c r="J994" s="78" t="str">
        <f>G994-E994</f>
      </c>
    </row>
    <row r="995">
      <c r="A995" t="s">
        <v>207</v>
      </c>
      <c r="B995" t="s">
        <v>425</v>
      </c>
      <c r="C995" s="72" t="n">
        <v>2036</v>
      </c>
      <c r="D995" t="s">
        <v>424</v>
      </c>
      <c r="E995" s="73" t="n">
        <v>44057.7702999924</v>
      </c>
      <c r="F995" s="74" t="n">
        <v>7453.55241770703</v>
      </c>
      <c r="G995" s="75" t="n">
        <v>44049.9983782722</v>
      </c>
      <c r="H995" s="76" t="n">
        <v>7453.3351271514</v>
      </c>
      <c r="I995" s="77" t="str">
        <f>H995-F995</f>
      </c>
      <c r="J995" s="78" t="str">
        <f>G995-E995</f>
      </c>
    </row>
    <row r="996">
      <c r="A996" t="s">
        <v>207</v>
      </c>
      <c r="B996" t="s">
        <v>425</v>
      </c>
      <c r="C996" s="72" t="n">
        <v>2037</v>
      </c>
      <c r="D996" t="s">
        <v>176</v>
      </c>
      <c r="E996" s="73" t="n">
        <v>17889.4745885397</v>
      </c>
      <c r="F996" s="74" t="n">
        <v>12833.0133977355</v>
      </c>
      <c r="G996" s="75" t="n">
        <v>17812.5035281772</v>
      </c>
      <c r="H996" s="76" t="n">
        <v>12807.5012683992</v>
      </c>
      <c r="I996" s="77" t="str">
        <f>H996-F996</f>
      </c>
      <c r="J996" s="78" t="str">
        <f>G996-E996</f>
      </c>
    </row>
    <row r="997">
      <c r="A997" t="s">
        <v>207</v>
      </c>
      <c r="B997" t="s">
        <v>425</v>
      </c>
      <c r="C997" s="72" t="n">
        <v>2037</v>
      </c>
      <c r="D997" t="s">
        <v>238</v>
      </c>
      <c r="E997" s="73" t="n">
        <v>1169001.72045226</v>
      </c>
      <c r="F997" s="74" t="n">
        <v>226463.250716514</v>
      </c>
      <c r="G997" s="75" t="n">
        <v>1167364.66541375</v>
      </c>
      <c r="H997" s="76" t="n">
        <v>226373.365626062</v>
      </c>
      <c r="I997" s="77" t="str">
        <f>H997-F997</f>
      </c>
      <c r="J997" s="78" t="str">
        <f>G997-E997</f>
      </c>
    </row>
    <row r="998">
      <c r="A998" t="s">
        <v>207</v>
      </c>
      <c r="B998" t="s">
        <v>425</v>
      </c>
      <c r="C998" s="72" t="n">
        <v>2037</v>
      </c>
      <c r="D998" t="s">
        <v>184</v>
      </c>
      <c r="E998" s="73" t="n">
        <v>124553.58298922</v>
      </c>
      <c r="F998" s="74" t="n">
        <v>84317.3760706993</v>
      </c>
      <c r="G998" s="75" t="n">
        <v>130092.112965313</v>
      </c>
      <c r="H998" s="76" t="n">
        <v>87785.8739142287</v>
      </c>
      <c r="I998" s="77" t="str">
        <f>H998-F998</f>
      </c>
      <c r="J998" s="78" t="str">
        <f>G998-E998</f>
      </c>
    </row>
    <row r="999">
      <c r="A999" t="s">
        <v>207</v>
      </c>
      <c r="B999" t="s">
        <v>425</v>
      </c>
      <c r="C999" s="72" t="n">
        <v>2037</v>
      </c>
      <c r="D999" t="s">
        <v>187</v>
      </c>
      <c r="E999" s="73" t="n">
        <v>410937.818971508</v>
      </c>
      <c r="F999" s="74" t="n">
        <v>381993.304225688</v>
      </c>
      <c r="G999" s="75" t="n">
        <v>429674.679324948</v>
      </c>
      <c r="H999" s="76" t="n">
        <v>398473.813386608</v>
      </c>
      <c r="I999" s="77" t="str">
        <f>H999-F999</f>
      </c>
      <c r="J999" s="78" t="str">
        <f>G999-E999</f>
      </c>
    </row>
    <row r="1000">
      <c r="A1000" t="s">
        <v>207</v>
      </c>
      <c r="B1000" t="s">
        <v>425</v>
      </c>
      <c r="C1000" s="72" t="n">
        <v>2037</v>
      </c>
      <c r="D1000" t="s">
        <v>190</v>
      </c>
      <c r="E1000" s="73" t="n">
        <v>710280.68150709</v>
      </c>
      <c r="F1000" s="74" t="n">
        <v>442512.413723206</v>
      </c>
      <c r="G1000" s="75" t="n">
        <v>741261.427234993</v>
      </c>
      <c r="H1000" s="76" t="n">
        <v>455168.184528758</v>
      </c>
      <c r="I1000" s="77" t="str">
        <f>H1000-F1000</f>
      </c>
      <c r="J1000" s="78" t="str">
        <f>G1000-E1000</f>
      </c>
    </row>
    <row r="1001">
      <c r="A1001" t="s">
        <v>207</v>
      </c>
      <c r="B1001" t="s">
        <v>425</v>
      </c>
      <c r="C1001" s="72" t="n">
        <v>2037</v>
      </c>
      <c r="D1001" t="s">
        <v>193</v>
      </c>
      <c r="E1001" s="73" t="n">
        <v>530515.108394803</v>
      </c>
      <c r="F1001" s="74" t="n">
        <v>299855.617703026</v>
      </c>
      <c r="G1001" s="75" t="n">
        <v>553258.517761357</v>
      </c>
      <c r="H1001" s="76" t="n">
        <v>308666.043562302</v>
      </c>
      <c r="I1001" s="77" t="str">
        <f>H1001-F1001</f>
      </c>
      <c r="J1001" s="78" t="str">
        <f>G1001-E1001</f>
      </c>
    </row>
    <row r="1002">
      <c r="A1002" t="s">
        <v>207</v>
      </c>
      <c r="B1002" t="s">
        <v>425</v>
      </c>
      <c r="C1002" s="72" t="n">
        <v>2037</v>
      </c>
      <c r="D1002" t="s">
        <v>424</v>
      </c>
      <c r="E1002" s="73" t="n">
        <v>43895.8130737757</v>
      </c>
      <c r="F1002" s="74" t="n">
        <v>7485.92840329189</v>
      </c>
      <c r="G1002" s="75" t="n">
        <v>43886.4966397613</v>
      </c>
      <c r="H1002" s="76" t="n">
        <v>7485.63945861012</v>
      </c>
      <c r="I1002" s="77" t="str">
        <f>H1002-F1002</f>
      </c>
      <c r="J1002" s="78" t="str">
        <f>G1002-E1002</f>
      </c>
    </row>
    <row r="1003">
      <c r="A1003" t="s">
        <v>207</v>
      </c>
      <c r="B1003" t="s">
        <v>425</v>
      </c>
      <c r="C1003" s="72" t="n">
        <v>2038</v>
      </c>
      <c r="D1003" t="s">
        <v>176</v>
      </c>
      <c r="E1003" s="73" t="n">
        <v>18370.0319114469</v>
      </c>
      <c r="F1003" s="74" t="n">
        <v>13140.4969163894</v>
      </c>
      <c r="G1003" s="75" t="n">
        <v>18278.6195315823</v>
      </c>
      <c r="H1003" s="76" t="n">
        <v>13108.2586821674</v>
      </c>
      <c r="I1003" s="77" t="str">
        <f>H1003-F1003</f>
      </c>
      <c r="J1003" s="78" t="str">
        <f>G1003-E1003</f>
      </c>
    </row>
    <row r="1004">
      <c r="A1004" t="s">
        <v>207</v>
      </c>
      <c r="B1004" t="s">
        <v>425</v>
      </c>
      <c r="C1004" s="72" t="n">
        <v>2038</v>
      </c>
      <c r="D1004" t="s">
        <v>238</v>
      </c>
      <c r="E1004" s="73" t="n">
        <v>1178195.65219814</v>
      </c>
      <c r="F1004" s="74" t="n">
        <v>234403.955434313</v>
      </c>
      <c r="G1004" s="75" t="n">
        <v>1176286.23006217</v>
      </c>
      <c r="H1004" s="76" t="n">
        <v>234286.302403295</v>
      </c>
      <c r="I1004" s="77" t="str">
        <f>H1004-F1004</f>
      </c>
      <c r="J1004" s="78" t="str">
        <f>G1004-E1004</f>
      </c>
    </row>
    <row r="1005">
      <c r="A1005" t="s">
        <v>207</v>
      </c>
      <c r="B1005" t="s">
        <v>425</v>
      </c>
      <c r="C1005" s="72" t="n">
        <v>2038</v>
      </c>
      <c r="D1005" t="s">
        <v>184</v>
      </c>
      <c r="E1005" s="73" t="n">
        <v>127413.638622359</v>
      </c>
      <c r="F1005" s="74" t="n">
        <v>86153.3424988647</v>
      </c>
      <c r="G1005" s="75" t="n">
        <v>133004.77137127</v>
      </c>
      <c r="H1005" s="76" t="n">
        <v>89762.9085046272</v>
      </c>
      <c r="I1005" s="77" t="str">
        <f>H1005-F1005</f>
      </c>
      <c r="J1005" s="78" t="str">
        <f>G1005-E1005</f>
      </c>
    </row>
    <row r="1006">
      <c r="A1006" t="s">
        <v>207</v>
      </c>
      <c r="B1006" t="s">
        <v>425</v>
      </c>
      <c r="C1006" s="72" t="n">
        <v>2038</v>
      </c>
      <c r="D1006" t="s">
        <v>187</v>
      </c>
      <c r="E1006" s="73" t="n">
        <v>417992.458374612</v>
      </c>
      <c r="F1006" s="74" t="n">
        <v>388571.748727192</v>
      </c>
      <c r="G1006" s="75" t="n">
        <v>436878.359538317</v>
      </c>
      <c r="H1006" s="76" t="n">
        <v>405384.957772321</v>
      </c>
      <c r="I1006" s="77" t="str">
        <f>H1006-F1006</f>
      </c>
      <c r="J1006" s="78" t="str">
        <f>G1006-E1006</f>
      </c>
    </row>
    <row r="1007">
      <c r="A1007" t="s">
        <v>207</v>
      </c>
      <c r="B1007" t="s">
        <v>425</v>
      </c>
      <c r="C1007" s="72" t="n">
        <v>2038</v>
      </c>
      <c r="D1007" t="s">
        <v>190</v>
      </c>
      <c r="E1007" s="73" t="n">
        <v>722462.406187188</v>
      </c>
      <c r="F1007" s="74" t="n">
        <v>451715.792035861</v>
      </c>
      <c r="G1007" s="75" t="n">
        <v>753560.822146793</v>
      </c>
      <c r="H1007" s="76" t="n">
        <v>465342.91786371</v>
      </c>
      <c r="I1007" s="77" t="str">
        <f>H1007-F1007</f>
      </c>
      <c r="J1007" s="78" t="str">
        <f>G1007-E1007</f>
      </c>
    </row>
    <row r="1008">
      <c r="A1008" t="s">
        <v>207</v>
      </c>
      <c r="B1008" t="s">
        <v>425</v>
      </c>
      <c r="C1008" s="72" t="n">
        <v>2038</v>
      </c>
      <c r="D1008" t="s">
        <v>193</v>
      </c>
      <c r="E1008" s="73" t="n">
        <v>542522.316534382</v>
      </c>
      <c r="F1008" s="74" t="n">
        <v>309041.753509076</v>
      </c>
      <c r="G1008" s="75" t="n">
        <v>565403.758799385</v>
      </c>
      <c r="H1008" s="76" t="n">
        <v>318461.022248122</v>
      </c>
      <c r="I1008" s="77" t="str">
        <f>H1008-F1008</f>
      </c>
      <c r="J1008" s="78" t="str">
        <f>G1008-E1008</f>
      </c>
    </row>
    <row r="1009">
      <c r="A1009" t="s">
        <v>207</v>
      </c>
      <c r="B1009" t="s">
        <v>425</v>
      </c>
      <c r="C1009" s="72" t="n">
        <v>2038</v>
      </c>
      <c r="D1009" t="s">
        <v>424</v>
      </c>
      <c r="E1009" s="73" t="n">
        <v>43741.6589535389</v>
      </c>
      <c r="F1009" s="74" t="n">
        <v>7518.14008877627</v>
      </c>
      <c r="G1009" s="75" t="n">
        <v>43730.7448506382</v>
      </c>
      <c r="H1009" s="76" t="n">
        <v>7517.77035327065</v>
      </c>
      <c r="I1009" s="77" t="str">
        <f>H1009-F1009</f>
      </c>
      <c r="J1009" s="78" t="str">
        <f>G1009-E1009</f>
      </c>
    </row>
    <row r="1010">
      <c r="A1010" t="s">
        <v>207</v>
      </c>
      <c r="B1010" t="s">
        <v>425</v>
      </c>
      <c r="C1010" s="72" t="n">
        <v>2039</v>
      </c>
      <c r="D1010" t="s">
        <v>176</v>
      </c>
      <c r="E1010" s="73" t="n">
        <v>18858.7707337041</v>
      </c>
      <c r="F1010" s="74" t="n">
        <v>13444.2383191218</v>
      </c>
      <c r="G1010" s="75" t="n">
        <v>18752.090499403</v>
      </c>
      <c r="H1010" s="76" t="n">
        <v>13404.6696202756</v>
      </c>
      <c r="I1010" s="77" t="str">
        <f>H1010-F1010</f>
      </c>
      <c r="J1010" s="78" t="str">
        <f>G1010-E1010</f>
      </c>
    </row>
    <row r="1011">
      <c r="A1011" t="s">
        <v>207</v>
      </c>
      <c r="B1011" t="s">
        <v>425</v>
      </c>
      <c r="C1011" s="72" t="n">
        <v>2039</v>
      </c>
      <c r="D1011" t="s">
        <v>238</v>
      </c>
      <c r="E1011" s="73" t="n">
        <v>1186924.63158893</v>
      </c>
      <c r="F1011" s="74" t="n">
        <v>242281.463078648</v>
      </c>
      <c r="G1011" s="75" t="n">
        <v>1184738.39184491</v>
      </c>
      <c r="H1011" s="76" t="n">
        <v>242132.191153164</v>
      </c>
      <c r="I1011" s="77" t="str">
        <f>H1011-F1011</f>
      </c>
      <c r="J1011" s="78" t="str">
        <f>G1011-E1011</f>
      </c>
    </row>
    <row r="1012">
      <c r="A1012" t="s">
        <v>207</v>
      </c>
      <c r="B1012" t="s">
        <v>425</v>
      </c>
      <c r="C1012" s="72" t="n">
        <v>2039</v>
      </c>
      <c r="D1012" t="s">
        <v>184</v>
      </c>
      <c r="E1012" s="73" t="n">
        <v>130233.333362557</v>
      </c>
      <c r="F1012" s="74" t="n">
        <v>87986.1587899621</v>
      </c>
      <c r="G1012" s="75" t="n">
        <v>135872.13136763</v>
      </c>
      <c r="H1012" s="76" t="n">
        <v>91716.3663536023</v>
      </c>
      <c r="I1012" s="77" t="str">
        <f>H1012-F1012</f>
      </c>
      <c r="J1012" s="78" t="str">
        <f>G1012-E1012</f>
      </c>
    </row>
    <row r="1013">
      <c r="A1013" t="s">
        <v>207</v>
      </c>
      <c r="B1013" t="s">
        <v>425</v>
      </c>
      <c r="C1013" s="72" t="n">
        <v>2039</v>
      </c>
      <c r="D1013" t="s">
        <v>187</v>
      </c>
      <c r="E1013" s="73" t="n">
        <v>424885.432453615</v>
      </c>
      <c r="F1013" s="74" t="n">
        <v>395021.76601996</v>
      </c>
      <c r="G1013" s="75" t="n">
        <v>443905.980748337</v>
      </c>
      <c r="H1013" s="76" t="n">
        <v>412120.21350488</v>
      </c>
      <c r="I1013" s="77" t="str">
        <f>H1013-F1013</f>
      </c>
      <c r="J1013" s="78" t="str">
        <f>G1013-E1013</f>
      </c>
    </row>
    <row r="1014">
      <c r="A1014" t="s">
        <v>207</v>
      </c>
      <c r="B1014" t="s">
        <v>425</v>
      </c>
      <c r="C1014" s="72" t="n">
        <v>2039</v>
      </c>
      <c r="D1014" t="s">
        <v>190</v>
      </c>
      <c r="E1014" s="73" t="n">
        <v>734331.378717944</v>
      </c>
      <c r="F1014" s="74" t="n">
        <v>460747.993981409</v>
      </c>
      <c r="G1014" s="75" t="n">
        <v>765528.467838857</v>
      </c>
      <c r="H1014" s="76" t="n">
        <v>475269.787528918</v>
      </c>
      <c r="I1014" s="77" t="str">
        <f>H1014-F1014</f>
      </c>
      <c r="J1014" s="78" t="str">
        <f>G1014-E1014</f>
      </c>
    </row>
    <row r="1015">
      <c r="A1015" t="s">
        <v>207</v>
      </c>
      <c r="B1015" t="s">
        <v>425</v>
      </c>
      <c r="C1015" s="72" t="n">
        <v>2039</v>
      </c>
      <c r="D1015" t="s">
        <v>193</v>
      </c>
      <c r="E1015" s="73" t="n">
        <v>554413.521448281</v>
      </c>
      <c r="F1015" s="74" t="n">
        <v>318262.421952831</v>
      </c>
      <c r="G1015" s="75" t="n">
        <v>577414.514396235</v>
      </c>
      <c r="H1015" s="76" t="n">
        <v>328246.401276368</v>
      </c>
      <c r="I1015" s="77" t="str">
        <f>H1015-F1015</f>
      </c>
      <c r="J1015" s="78" t="str">
        <f>G1015-E1015</f>
      </c>
    </row>
    <row r="1016">
      <c r="A1016" t="s">
        <v>207</v>
      </c>
      <c r="B1016" t="s">
        <v>425</v>
      </c>
      <c r="C1016" s="72" t="n">
        <v>2039</v>
      </c>
      <c r="D1016" t="s">
        <v>424</v>
      </c>
      <c r="E1016" s="73" t="n">
        <v>43601.4023565185</v>
      </c>
      <c r="F1016" s="74" t="n">
        <v>7548.01884268865</v>
      </c>
      <c r="G1016" s="75" t="n">
        <v>43588.845456637</v>
      </c>
      <c r="H1016" s="76" t="n">
        <v>7547.5598608641</v>
      </c>
      <c r="I1016" s="77" t="str">
        <f>H1016-F1016</f>
      </c>
      <c r="J1016" s="78" t="str">
        <f>G1016-E1016</f>
      </c>
    </row>
    <row r="1017">
      <c r="A1017" t="s">
        <v>207</v>
      </c>
      <c r="B1017" t="s">
        <v>425</v>
      </c>
      <c r="C1017" s="72" t="n">
        <v>2040</v>
      </c>
      <c r="D1017" t="s">
        <v>176</v>
      </c>
      <c r="E1017" s="73" t="n">
        <v>19358.5173009973</v>
      </c>
      <c r="F1017" s="74" t="n">
        <v>13746.4432227372</v>
      </c>
      <c r="G1017" s="75" t="n">
        <v>19235.7365429273</v>
      </c>
      <c r="H1017" s="76" t="n">
        <v>13698.9721681132</v>
      </c>
      <c r="I1017" s="77" t="str">
        <f>H1017-F1017</f>
      </c>
      <c r="J1017" s="78" t="str">
        <f>G1017-E1017</f>
      </c>
    </row>
    <row r="1018">
      <c r="A1018" t="s">
        <v>207</v>
      </c>
      <c r="B1018" t="s">
        <v>425</v>
      </c>
      <c r="C1018" s="72" t="n">
        <v>2040</v>
      </c>
      <c r="D1018" t="s">
        <v>238</v>
      </c>
      <c r="E1018" s="73" t="n">
        <v>1195100.25542133</v>
      </c>
      <c r="F1018" s="74" t="n">
        <v>250079.117081695</v>
      </c>
      <c r="G1018" s="75" t="n">
        <v>1192634.43006365</v>
      </c>
      <c r="H1018" s="76" t="n">
        <v>249894.478827588</v>
      </c>
      <c r="I1018" s="77" t="str">
        <f>H1018-F1018</f>
      </c>
      <c r="J1018" s="78" t="str">
        <f>G1018-E1018</f>
      </c>
    </row>
    <row r="1019">
      <c r="A1019" t="s">
        <v>207</v>
      </c>
      <c r="B1019" t="s">
        <v>425</v>
      </c>
      <c r="C1019" s="72" t="n">
        <v>2040</v>
      </c>
      <c r="D1019" t="s">
        <v>184</v>
      </c>
      <c r="E1019" s="73" t="n">
        <v>133008.092586138</v>
      </c>
      <c r="F1019" s="74" t="n">
        <v>89803.0755803802</v>
      </c>
      <c r="G1019" s="75" t="n">
        <v>138689.796610277</v>
      </c>
      <c r="H1019" s="76" t="n">
        <v>93636.8967600593</v>
      </c>
      <c r="I1019" s="77" t="str">
        <f>H1019-F1019</f>
      </c>
      <c r="J1019" s="78" t="str">
        <f>G1019-E1019</f>
      </c>
    </row>
    <row r="1020">
      <c r="A1020" t="s">
        <v>207</v>
      </c>
      <c r="B1020" t="s">
        <v>425</v>
      </c>
      <c r="C1020" s="72" t="n">
        <v>2040</v>
      </c>
      <c r="D1020" t="s">
        <v>187</v>
      </c>
      <c r="E1020" s="73" t="n">
        <v>431696.362878052</v>
      </c>
      <c r="F1020" s="74" t="n">
        <v>401277.292545477</v>
      </c>
      <c r="G1020" s="75" t="n">
        <v>450841.764596063</v>
      </c>
      <c r="H1020" s="76" t="n">
        <v>418620.908948174</v>
      </c>
      <c r="I1020" s="77" t="str">
        <f>H1020-F1020</f>
      </c>
      <c r="J1020" s="78" t="str">
        <f>G1020-E1020</f>
      </c>
    </row>
    <row r="1021">
      <c r="A1021" t="s">
        <v>207</v>
      </c>
      <c r="B1021" t="s">
        <v>425</v>
      </c>
      <c r="C1021" s="72" t="n">
        <v>2040</v>
      </c>
      <c r="D1021" t="s">
        <v>190</v>
      </c>
      <c r="E1021" s="73" t="n">
        <v>745813.158382954</v>
      </c>
      <c r="F1021" s="74" t="n">
        <v>469603.965117423</v>
      </c>
      <c r="G1021" s="75" t="n">
        <v>777088.496702091</v>
      </c>
      <c r="H1021" s="76" t="n">
        <v>484947.105425179</v>
      </c>
      <c r="I1021" s="77" t="str">
        <f>H1021-F1021</f>
      </c>
      <c r="J1021" s="78" t="str">
        <f>G1021-E1021</f>
      </c>
    </row>
    <row r="1022">
      <c r="A1022" t="s">
        <v>207</v>
      </c>
      <c r="B1022" t="s">
        <v>425</v>
      </c>
      <c r="C1022" s="72" t="n">
        <v>2040</v>
      </c>
      <c r="D1022" t="s">
        <v>193</v>
      </c>
      <c r="E1022" s="73" t="n">
        <v>566253.856790981</v>
      </c>
      <c r="F1022" s="74" t="n">
        <v>327531.018750963</v>
      </c>
      <c r="G1022" s="75" t="n">
        <v>589359.733832842</v>
      </c>
      <c r="H1022" s="76" t="n">
        <v>338039.010430446</v>
      </c>
      <c r="I1022" s="77" t="str">
        <f>H1022-F1022</f>
      </c>
      <c r="J1022" s="78" t="str">
        <f>G1022-E1022</f>
      </c>
    </row>
    <row r="1023">
      <c r="A1023" t="s">
        <v>207</v>
      </c>
      <c r="B1023" t="s">
        <v>425</v>
      </c>
      <c r="C1023" s="72" t="n">
        <v>2040</v>
      </c>
      <c r="D1023" t="s">
        <v>424</v>
      </c>
      <c r="E1023" s="73" t="n">
        <v>43479.0988528329</v>
      </c>
      <c r="F1023" s="74" t="n">
        <v>7574.28161623629</v>
      </c>
      <c r="G1023" s="75" t="n">
        <v>43464.8596818836</v>
      </c>
      <c r="H1023" s="76" t="n">
        <v>7573.72556082699</v>
      </c>
      <c r="I1023" s="77" t="str">
        <f>H1023-F1023</f>
      </c>
      <c r="J1023" s="78" t="str">
        <f>G1023-E1023</f>
      </c>
    </row>
    <row r="1024">
      <c r="A1024" t="s">
        <v>207</v>
      </c>
      <c r="B1024" t="s">
        <v>425</v>
      </c>
      <c r="C1024" s="72" t="n">
        <v>2041</v>
      </c>
      <c r="D1024" t="s">
        <v>176</v>
      </c>
      <c r="E1024" s="73" t="n">
        <v>19866.9734891255</v>
      </c>
      <c r="F1024" s="74" t="n">
        <v>14047.5363645584</v>
      </c>
      <c r="G1024" s="75" t="n">
        <v>19727.283486384</v>
      </c>
      <c r="H1024" s="76" t="n">
        <v>13991.6066902828</v>
      </c>
      <c r="I1024" s="77" t="str">
        <f>H1024-F1024</f>
      </c>
      <c r="J1024" s="78" t="str">
        <f>G1024-E1024</f>
      </c>
    </row>
    <row r="1025">
      <c r="A1025" t="s">
        <v>207</v>
      </c>
      <c r="B1025" t="s">
        <v>425</v>
      </c>
      <c r="C1025" s="72" t="n">
        <v>2041</v>
      </c>
      <c r="D1025" t="s">
        <v>238</v>
      </c>
      <c r="E1025" s="73" t="n">
        <v>1202734.99269736</v>
      </c>
      <c r="F1025" s="74" t="n">
        <v>257822.71499922</v>
      </c>
      <c r="G1025" s="75" t="n">
        <v>1199988.17586749</v>
      </c>
      <c r="H1025" s="76" t="n">
        <v>257599.044002988</v>
      </c>
      <c r="I1025" s="77" t="str">
        <f>H1025-F1025</f>
      </c>
      <c r="J1025" s="78" t="str">
        <f>G1025-E1025</f>
      </c>
    </row>
    <row r="1026">
      <c r="A1026" t="s">
        <v>207</v>
      </c>
      <c r="B1026" t="s">
        <v>425</v>
      </c>
      <c r="C1026" s="72" t="n">
        <v>2041</v>
      </c>
      <c r="D1026" t="s">
        <v>184</v>
      </c>
      <c r="E1026" s="73" t="n">
        <v>135754.789876958</v>
      </c>
      <c r="F1026" s="74" t="n">
        <v>91603.5208435033</v>
      </c>
      <c r="G1026" s="75" t="n">
        <v>141475.570851386</v>
      </c>
      <c r="H1026" s="76" t="n">
        <v>95527.0063786807</v>
      </c>
      <c r="I1026" s="77" t="str">
        <f>H1026-F1026</f>
      </c>
      <c r="J1026" s="78" t="str">
        <f>G1026-E1026</f>
      </c>
    </row>
    <row r="1027">
      <c r="A1027" t="s">
        <v>207</v>
      </c>
      <c r="B1027" t="s">
        <v>425</v>
      </c>
      <c r="C1027" s="72" t="n">
        <v>2041</v>
      </c>
      <c r="D1027" t="s">
        <v>187</v>
      </c>
      <c r="E1027" s="73" t="n">
        <v>438436.63818369</v>
      </c>
      <c r="F1027" s="74" t="n">
        <v>407445.257650821</v>
      </c>
      <c r="G1027" s="75" t="n">
        <v>457698.128134802</v>
      </c>
      <c r="H1027" s="76" t="n">
        <v>425005.77720965</v>
      </c>
      <c r="I1027" s="77" t="str">
        <f>H1027-F1027</f>
      </c>
      <c r="J1027" s="78" t="str">
        <f>G1027-E1027</f>
      </c>
    </row>
    <row r="1028">
      <c r="A1028" t="s">
        <v>207</v>
      </c>
      <c r="B1028" t="s">
        <v>425</v>
      </c>
      <c r="C1028" s="72" t="n">
        <v>2041</v>
      </c>
      <c r="D1028" t="s">
        <v>190</v>
      </c>
      <c r="E1028" s="73" t="n">
        <v>756957.883942749</v>
      </c>
      <c r="F1028" s="74" t="n">
        <v>478295.79151012</v>
      </c>
      <c r="G1028" s="75" t="n">
        <v>788293.242756689</v>
      </c>
      <c r="H1028" s="76" t="n">
        <v>494390.873248259</v>
      </c>
      <c r="I1028" s="77" t="str">
        <f>H1028-F1028</f>
      </c>
      <c r="J1028" s="78" t="str">
        <f>G1028-E1028</f>
      </c>
    </row>
    <row r="1029">
      <c r="A1029" t="s">
        <v>207</v>
      </c>
      <c r="B1029" t="s">
        <v>425</v>
      </c>
      <c r="C1029" s="72" t="n">
        <v>2041</v>
      </c>
      <c r="D1029" t="s">
        <v>193</v>
      </c>
      <c r="E1029" s="73" t="n">
        <v>577961.577313159</v>
      </c>
      <c r="F1029" s="74" t="n">
        <v>336927.733687399</v>
      </c>
      <c r="G1029" s="75" t="n">
        <v>601155.340946961</v>
      </c>
      <c r="H1029" s="76" t="n">
        <v>347924.766327078</v>
      </c>
      <c r="I1029" s="77" t="str">
        <f>H1029-F1029</f>
      </c>
      <c r="J1029" s="78" t="str">
        <f>G1029-E1029</f>
      </c>
    </row>
    <row r="1030">
      <c r="A1030" t="s">
        <v>207</v>
      </c>
      <c r="B1030" t="s">
        <v>425</v>
      </c>
      <c r="C1030" s="72" t="n">
        <v>2041</v>
      </c>
      <c r="D1030" t="s">
        <v>424</v>
      </c>
      <c r="E1030" s="73" t="n">
        <v>43376.8917110018</v>
      </c>
      <c r="F1030" s="74" t="n">
        <v>7596.65611319299</v>
      </c>
      <c r="G1030" s="75" t="n">
        <v>43360.9356755525</v>
      </c>
      <c r="H1030" s="76" t="n">
        <v>7595.99533386821</v>
      </c>
      <c r="I1030" s="77" t="str">
        <f>H1030-F1030</f>
      </c>
      <c r="J1030" s="78" t="str">
        <f>G1030-E1030</f>
      </c>
    </row>
    <row r="1031">
      <c r="A1031" t="s">
        <v>207</v>
      </c>
      <c r="B1031" t="s">
        <v>425</v>
      </c>
      <c r="C1031" s="72" t="n">
        <v>2042</v>
      </c>
      <c r="D1031" t="s">
        <v>176</v>
      </c>
      <c r="E1031" s="73" t="n">
        <v>20379.6643515084</v>
      </c>
      <c r="F1031" s="74" t="n">
        <v>14349.5682029514</v>
      </c>
      <c r="G1031" s="75" t="n">
        <v>20222.2683991647</v>
      </c>
      <c r="H1031" s="76" t="n">
        <v>14284.6169088399</v>
      </c>
      <c r="I1031" s="77" t="str">
        <f>H1031-F1031</f>
      </c>
      <c r="J1031" s="78" t="str">
        <f>G1031-E1031</f>
      </c>
    </row>
    <row r="1032">
      <c r="A1032" t="s">
        <v>207</v>
      </c>
      <c r="B1032" t="s">
        <v>425</v>
      </c>
      <c r="C1032" s="72" t="n">
        <v>2042</v>
      </c>
      <c r="D1032" t="s">
        <v>238</v>
      </c>
      <c r="E1032" s="73" t="n">
        <v>1209827.78517278</v>
      </c>
      <c r="F1032" s="74" t="n">
        <v>265555.733891529</v>
      </c>
      <c r="G1032" s="75" t="n">
        <v>1206799.58929471</v>
      </c>
      <c r="H1032" s="76" t="n">
        <v>265289.409116733</v>
      </c>
      <c r="I1032" s="77" t="str">
        <f>H1032-F1032</f>
      </c>
      <c r="J1032" s="78" t="str">
        <f>G1032-E1032</f>
      </c>
    </row>
    <row r="1033">
      <c r="A1033" t="s">
        <v>207</v>
      </c>
      <c r="B1033" t="s">
        <v>425</v>
      </c>
      <c r="C1033" s="72" t="n">
        <v>2042</v>
      </c>
      <c r="D1033" t="s">
        <v>184</v>
      </c>
      <c r="E1033" s="73" t="n">
        <v>138491.40547105</v>
      </c>
      <c r="F1033" s="74" t="n">
        <v>93403.9844246805</v>
      </c>
      <c r="G1033" s="75" t="n">
        <v>144248.066926011</v>
      </c>
      <c r="H1033" s="76" t="n">
        <v>97406.1569770963</v>
      </c>
      <c r="I1033" s="77" t="str">
        <f>H1033-F1033</f>
      </c>
      <c r="J1033" s="78" t="str">
        <f>G1033-E1033</f>
      </c>
    </row>
    <row r="1034">
      <c r="A1034" t="s">
        <v>207</v>
      </c>
      <c r="B1034" t="s">
        <v>425</v>
      </c>
      <c r="C1034" s="72" t="n">
        <v>2042</v>
      </c>
      <c r="D1034" t="s">
        <v>187</v>
      </c>
      <c r="E1034" s="73" t="n">
        <v>445117.464487189</v>
      </c>
      <c r="F1034" s="74" t="n">
        <v>413638.679983298</v>
      </c>
      <c r="G1034" s="75" t="n">
        <v>464487.038990191</v>
      </c>
      <c r="H1034" s="76" t="n">
        <v>431397.042999706</v>
      </c>
      <c r="I1034" s="77" t="str">
        <f>H1034-F1034</f>
      </c>
      <c r="J1034" s="78" t="str">
        <f>G1034-E1034</f>
      </c>
    </row>
    <row r="1035">
      <c r="A1035" t="s">
        <v>207</v>
      </c>
      <c r="B1035" t="s">
        <v>425</v>
      </c>
      <c r="C1035" s="72" t="n">
        <v>2042</v>
      </c>
      <c r="D1035" t="s">
        <v>190</v>
      </c>
      <c r="E1035" s="73" t="n">
        <v>767847.238642348</v>
      </c>
      <c r="F1035" s="74" t="n">
        <v>486821.442149132</v>
      </c>
      <c r="G1035" s="75" t="n">
        <v>799225.499121645</v>
      </c>
      <c r="H1035" s="76" t="n">
        <v>503603.803809569</v>
      </c>
      <c r="I1035" s="77" t="str">
        <f>H1035-F1035</f>
      </c>
      <c r="J1035" s="78" t="str">
        <f>G1035-E1035</f>
      </c>
    </row>
    <row r="1036">
      <c r="A1036" t="s">
        <v>207</v>
      </c>
      <c r="B1036" t="s">
        <v>425</v>
      </c>
      <c r="C1036" s="72" t="n">
        <v>2042</v>
      </c>
      <c r="D1036" t="s">
        <v>193</v>
      </c>
      <c r="E1036" s="73" t="n">
        <v>589403.834032375</v>
      </c>
      <c r="F1036" s="74" t="n">
        <v>346475.72091755</v>
      </c>
      <c r="G1036" s="75" t="n">
        <v>612664.177038008</v>
      </c>
      <c r="H1036" s="76" t="n">
        <v>357930.939504437</v>
      </c>
      <c r="I1036" s="77" t="str">
        <f>H1036-F1036</f>
      </c>
      <c r="J1036" s="78" t="str">
        <f>G1036-E1036</f>
      </c>
    </row>
    <row r="1037">
      <c r="A1037" t="s">
        <v>207</v>
      </c>
      <c r="B1037" t="s">
        <v>425</v>
      </c>
      <c r="C1037" s="72" t="n">
        <v>2042</v>
      </c>
      <c r="D1037" t="s">
        <v>424</v>
      </c>
      <c r="E1037" s="73" t="n">
        <v>43296.4321903482</v>
      </c>
      <c r="F1037" s="74" t="n">
        <v>7617.36599759511</v>
      </c>
      <c r="G1037" s="75" t="n">
        <v>43278.7284816073</v>
      </c>
      <c r="H1037" s="76" t="n">
        <v>7616.59280355029</v>
      </c>
      <c r="I1037" s="77" t="str">
        <f>H1037-F1037</f>
      </c>
      <c r="J1037" s="78" t="str">
        <f>G1037-E1037</f>
      </c>
    </row>
    <row r="1038">
      <c r="A1038" t="s">
        <v>207</v>
      </c>
      <c r="B1038" t="s">
        <v>425</v>
      </c>
      <c r="C1038" s="72" t="n">
        <v>2043</v>
      </c>
      <c r="D1038" t="s">
        <v>176</v>
      </c>
      <c r="E1038" s="73" t="n">
        <v>20896.4864883974</v>
      </c>
      <c r="F1038" s="74" t="n">
        <v>14647.4051257805</v>
      </c>
      <c r="G1038" s="75" t="n">
        <v>20720.5482054553</v>
      </c>
      <c r="H1038" s="76" t="n">
        <v>14572.8831532714</v>
      </c>
      <c r="I1038" s="77" t="str">
        <f>H1038-F1038</f>
      </c>
      <c r="J1038" s="78" t="str">
        <f>G1038-E1038</f>
      </c>
    </row>
    <row r="1039">
      <c r="A1039" t="s">
        <v>207</v>
      </c>
      <c r="B1039" t="s">
        <v>425</v>
      </c>
      <c r="C1039" s="72" t="n">
        <v>2043</v>
      </c>
      <c r="D1039" t="s">
        <v>238</v>
      </c>
      <c r="E1039" s="73" t="n">
        <v>1216358.56171008</v>
      </c>
      <c r="F1039" s="74" t="n">
        <v>273262.939365704</v>
      </c>
      <c r="G1039" s="75" t="n">
        <v>1213049.26096591</v>
      </c>
      <c r="H1039" s="76" t="n">
        <v>272950.435419178</v>
      </c>
      <c r="I1039" s="77" t="str">
        <f>H1039-F1039</f>
      </c>
      <c r="J1039" s="78" t="str">
        <f>G1039-E1039</f>
      </c>
    </row>
    <row r="1040">
      <c r="A1040" t="s">
        <v>207</v>
      </c>
      <c r="B1040" t="s">
        <v>425</v>
      </c>
      <c r="C1040" s="72" t="n">
        <v>2043</v>
      </c>
      <c r="D1040" t="s">
        <v>184</v>
      </c>
      <c r="E1040" s="73" t="n">
        <v>141205.107912551</v>
      </c>
      <c r="F1040" s="74" t="n">
        <v>95200.0277061517</v>
      </c>
      <c r="G1040" s="75" t="n">
        <v>146993.814208207</v>
      </c>
      <c r="H1040" s="76" t="n">
        <v>99271.3911680729</v>
      </c>
      <c r="I1040" s="77" t="str">
        <f>H1040-F1040</f>
      </c>
      <c r="J1040" s="78" t="str">
        <f>G1040-E1040</f>
      </c>
    </row>
    <row r="1041">
      <c r="A1041" t="s">
        <v>207</v>
      </c>
      <c r="B1041" t="s">
        <v>425</v>
      </c>
      <c r="C1041" s="72" t="n">
        <v>2043</v>
      </c>
      <c r="D1041" t="s">
        <v>187</v>
      </c>
      <c r="E1041" s="73" t="n">
        <v>451687.244037627</v>
      </c>
      <c r="F1041" s="74" t="n">
        <v>419744.548549314</v>
      </c>
      <c r="G1041" s="75" t="n">
        <v>471154.839580669</v>
      </c>
      <c r="H1041" s="76" t="n">
        <v>437679.988471842</v>
      </c>
      <c r="I1041" s="77" t="str">
        <f>H1041-F1041</f>
      </c>
      <c r="J1041" s="78" t="str">
        <f>G1041-E1041</f>
      </c>
    </row>
    <row r="1042">
      <c r="A1042" t="s">
        <v>207</v>
      </c>
      <c r="B1042" t="s">
        <v>425</v>
      </c>
      <c r="C1042" s="72" t="n">
        <v>2043</v>
      </c>
      <c r="D1042" t="s">
        <v>190</v>
      </c>
      <c r="E1042" s="73" t="n">
        <v>778606.07682035</v>
      </c>
      <c r="F1042" s="74" t="n">
        <v>495200.283653304</v>
      </c>
      <c r="G1042" s="75" t="n">
        <v>810014.772834319</v>
      </c>
      <c r="H1042" s="76" t="n">
        <v>512610.449179313</v>
      </c>
      <c r="I1042" s="77" t="str">
        <f>H1042-F1042</f>
      </c>
      <c r="J1042" s="78" t="str">
        <f>G1042-E1042</f>
      </c>
    </row>
    <row r="1043">
      <c r="A1043" t="s">
        <v>207</v>
      </c>
      <c r="B1043" t="s">
        <v>425</v>
      </c>
      <c r="C1043" s="72" t="n">
        <v>2043</v>
      </c>
      <c r="D1043" t="s">
        <v>193</v>
      </c>
      <c r="E1043" s="73" t="n">
        <v>600644.006170127</v>
      </c>
      <c r="F1043" s="74" t="n">
        <v>356077.665139194</v>
      </c>
      <c r="G1043" s="75" t="n">
        <v>623953.356494139</v>
      </c>
      <c r="H1043" s="76" t="n">
        <v>367959.059248153</v>
      </c>
      <c r="I1043" s="77" t="str">
        <f>H1043-F1043</f>
      </c>
      <c r="J1043" s="78" t="str">
        <f>G1043-E1043</f>
      </c>
    </row>
    <row r="1044">
      <c r="A1044" t="s">
        <v>207</v>
      </c>
      <c r="B1044" t="s">
        <v>425</v>
      </c>
      <c r="C1044" s="72" t="n">
        <v>2043</v>
      </c>
      <c r="D1044" t="s">
        <v>424</v>
      </c>
      <c r="E1044" s="73" t="n">
        <v>43251.6190052782</v>
      </c>
      <c r="F1044" s="74" t="n">
        <v>7635.53140701853</v>
      </c>
      <c r="G1044" s="75" t="n">
        <v>43232.1385441846</v>
      </c>
      <c r="H1044" s="76" t="n">
        <v>7634.63809790975</v>
      </c>
      <c r="I1044" s="77" t="str">
        <f>H1044-F1044</f>
      </c>
      <c r="J1044" s="78" t="str">
        <f>G1044-E1044</f>
      </c>
    </row>
    <row r="1045">
      <c r="A1045" t="s">
        <v>207</v>
      </c>
      <c r="B1045" t="s">
        <v>425</v>
      </c>
      <c r="C1045" s="72" t="n">
        <v>2044</v>
      </c>
      <c r="D1045" t="s">
        <v>176</v>
      </c>
      <c r="E1045" s="73" t="n">
        <v>21415.584310479</v>
      </c>
      <c r="F1045" s="74" t="n">
        <v>14946.0490870367</v>
      </c>
      <c r="G1045" s="75" t="n">
        <v>21220.2473713984</v>
      </c>
      <c r="H1045" s="76" t="n">
        <v>14861.4315691186</v>
      </c>
      <c r="I1045" s="77" t="str">
        <f>H1045-F1045</f>
      </c>
      <c r="J1045" s="78" t="str">
        <f>G1045-E1045</f>
      </c>
    </row>
    <row r="1046">
      <c r="A1046" t="s">
        <v>207</v>
      </c>
      <c r="B1046" t="s">
        <v>425</v>
      </c>
      <c r="C1046" s="72" t="n">
        <v>2044</v>
      </c>
      <c r="D1046" t="s">
        <v>238</v>
      </c>
      <c r="E1046" s="73" t="n">
        <v>1222578.06464378</v>
      </c>
      <c r="F1046" s="74" t="n">
        <v>280868.525359005</v>
      </c>
      <c r="G1046" s="75" t="n">
        <v>1218988.4670045</v>
      </c>
      <c r="H1046" s="76" t="n">
        <v>280506.441535508</v>
      </c>
      <c r="I1046" s="77" t="str">
        <f>H1046-F1046</f>
      </c>
      <c r="J1046" s="78" t="str">
        <f>G1046-E1046</f>
      </c>
    </row>
    <row r="1047">
      <c r="A1047" t="s">
        <v>207</v>
      </c>
      <c r="B1047" t="s">
        <v>425</v>
      </c>
      <c r="C1047" s="72" t="n">
        <v>2044</v>
      </c>
      <c r="D1047" t="s">
        <v>184</v>
      </c>
      <c r="E1047" s="73" t="n">
        <v>143880.034655583</v>
      </c>
      <c r="F1047" s="74" t="n">
        <v>96980.3137352214</v>
      </c>
      <c r="G1047" s="75" t="n">
        <v>149696.213967301</v>
      </c>
      <c r="H1047" s="76" t="n">
        <v>101112.290089553</v>
      </c>
      <c r="I1047" s="77" t="str">
        <f>H1047-F1047</f>
      </c>
      <c r="J1047" s="78" t="str">
        <f>G1047-E1047</f>
      </c>
    </row>
    <row r="1048">
      <c r="A1048" t="s">
        <v>207</v>
      </c>
      <c r="B1048" t="s">
        <v>425</v>
      </c>
      <c r="C1048" s="72" t="n">
        <v>2044</v>
      </c>
      <c r="D1048" t="s">
        <v>187</v>
      </c>
      <c r="E1048" s="73" t="n">
        <v>458030.359007145</v>
      </c>
      <c r="F1048" s="74" t="n">
        <v>425708.735154838</v>
      </c>
      <c r="G1048" s="75" t="n">
        <v>477581.314836645</v>
      </c>
      <c r="H1048" s="76" t="n">
        <v>443800.637197395</v>
      </c>
      <c r="I1048" s="77" t="str">
        <f>H1048-F1048</f>
      </c>
      <c r="J1048" s="78" t="str">
        <f>G1048-E1048</f>
      </c>
    </row>
    <row r="1049">
      <c r="A1049" t="s">
        <v>207</v>
      </c>
      <c r="B1049" t="s">
        <v>425</v>
      </c>
      <c r="C1049" s="72" t="n">
        <v>2044</v>
      </c>
      <c r="D1049" t="s">
        <v>190</v>
      </c>
      <c r="E1049" s="73" t="n">
        <v>789313.055190471</v>
      </c>
      <c r="F1049" s="74" t="n">
        <v>503436.091094886</v>
      </c>
      <c r="G1049" s="75" t="n">
        <v>820742.370121934</v>
      </c>
      <c r="H1049" s="76" t="n">
        <v>521420.170330997</v>
      </c>
      <c r="I1049" s="77" t="str">
        <f>H1049-F1049</f>
      </c>
      <c r="J1049" s="78" t="str">
        <f>G1049-E1049</f>
      </c>
    </row>
    <row r="1050">
      <c r="A1050" t="s">
        <v>207</v>
      </c>
      <c r="B1050" t="s">
        <v>425</v>
      </c>
      <c r="C1050" s="72" t="n">
        <v>2044</v>
      </c>
      <c r="D1050" t="s">
        <v>193</v>
      </c>
      <c r="E1050" s="73" t="n">
        <v>611682.465675873</v>
      </c>
      <c r="F1050" s="74" t="n">
        <v>365643.498990666</v>
      </c>
      <c r="G1050" s="75" t="n">
        <v>635024.546467649</v>
      </c>
      <c r="H1050" s="76" t="n">
        <v>377918.589898958</v>
      </c>
      <c r="I1050" s="77" t="str">
        <f>H1050-F1050</f>
      </c>
      <c r="J1050" s="78" t="str">
        <f>G1050-E1050</f>
      </c>
    </row>
    <row r="1051">
      <c r="A1051" t="s">
        <v>207</v>
      </c>
      <c r="B1051" t="s">
        <v>425</v>
      </c>
      <c r="C1051" s="72" t="n">
        <v>2044</v>
      </c>
      <c r="D1051" t="s">
        <v>424</v>
      </c>
      <c r="E1051" s="73" t="n">
        <v>43223.9119957832</v>
      </c>
      <c r="F1051" s="74" t="n">
        <v>7653.7429707118</v>
      </c>
      <c r="G1051" s="75" t="n">
        <v>43202.6300388595</v>
      </c>
      <c r="H1051" s="76" t="n">
        <v>7652.72182573668</v>
      </c>
      <c r="I1051" s="77" t="str">
        <f>H1051-F1051</f>
      </c>
      <c r="J1051" s="78" t="str">
        <f>G1051-E1051</f>
      </c>
    </row>
    <row r="1052">
      <c r="A1052" t="s">
        <v>207</v>
      </c>
      <c r="B1052" t="s">
        <v>425</v>
      </c>
      <c r="C1052" s="72" t="n">
        <v>2045</v>
      </c>
      <c r="D1052" t="s">
        <v>176</v>
      </c>
      <c r="E1052" s="73" t="n">
        <v>21933.1637687217</v>
      </c>
      <c r="F1052" s="74" t="n">
        <v>15243.5109850327</v>
      </c>
      <c r="G1052" s="75" t="n">
        <v>21717.6165215297</v>
      </c>
      <c r="H1052" s="76" t="n">
        <v>15148.2979562423</v>
      </c>
      <c r="I1052" s="77" t="str">
        <f>H1052-F1052</f>
      </c>
      <c r="J1052" s="78" t="str">
        <f>G1052-E1052</f>
      </c>
    </row>
    <row r="1053">
      <c r="A1053" t="s">
        <v>207</v>
      </c>
      <c r="B1053" t="s">
        <v>425</v>
      </c>
      <c r="C1053" s="72" t="n">
        <v>2045</v>
      </c>
      <c r="D1053" t="s">
        <v>238</v>
      </c>
      <c r="E1053" s="73" t="n">
        <v>1228537.01412465</v>
      </c>
      <c r="F1053" s="74" t="n">
        <v>288339.983333145</v>
      </c>
      <c r="G1053" s="75" t="n">
        <v>1224668.96644768</v>
      </c>
      <c r="H1053" s="76" t="n">
        <v>287925.043222784</v>
      </c>
      <c r="I1053" s="77" t="str">
        <f>H1053-F1053</f>
      </c>
      <c r="J1053" s="78" t="str">
        <f>G1053-E1053</f>
      </c>
    </row>
    <row r="1054">
      <c r="A1054" t="s">
        <v>207</v>
      </c>
      <c r="B1054" t="s">
        <v>425</v>
      </c>
      <c r="C1054" s="72" t="n">
        <v>2045</v>
      </c>
      <c r="D1054" t="s">
        <v>184</v>
      </c>
      <c r="E1054" s="73" t="n">
        <v>146499.584490634</v>
      </c>
      <c r="F1054" s="74" t="n">
        <v>98749.9452186837</v>
      </c>
      <c r="G1054" s="75" t="n">
        <v>152338.052815886</v>
      </c>
      <c r="H1054" s="76" t="n">
        <v>102935.314985138</v>
      </c>
      <c r="I1054" s="77" t="str">
        <f>H1054-F1054</f>
      </c>
      <c r="J1054" s="78" t="str">
        <f>G1054-E1054</f>
      </c>
    </row>
    <row r="1055">
      <c r="A1055" t="s">
        <v>207</v>
      </c>
      <c r="B1055" t="s">
        <v>425</v>
      </c>
      <c r="C1055" s="72" t="n">
        <v>2045</v>
      </c>
      <c r="D1055" t="s">
        <v>187</v>
      </c>
      <c r="E1055" s="73" t="n">
        <v>464104.829418248</v>
      </c>
      <c r="F1055" s="74" t="n">
        <v>431489.662582354</v>
      </c>
      <c r="G1055" s="75" t="n">
        <v>483723.516122198</v>
      </c>
      <c r="H1055" s="76" t="n">
        <v>449717.558047709</v>
      </c>
      <c r="I1055" s="77" t="str">
        <f>H1055-F1055</f>
      </c>
      <c r="J1055" s="78" t="str">
        <f>G1055-E1055</f>
      </c>
    </row>
    <row r="1056">
      <c r="A1056" t="s">
        <v>207</v>
      </c>
      <c r="B1056" t="s">
        <v>425</v>
      </c>
      <c r="C1056" s="72" t="n">
        <v>2045</v>
      </c>
      <c r="D1056" t="s">
        <v>190</v>
      </c>
      <c r="E1056" s="73" t="n">
        <v>800028.733108563</v>
      </c>
      <c r="F1056" s="74" t="n">
        <v>511488.140995546</v>
      </c>
      <c r="G1056" s="75" t="n">
        <v>831470.210098177</v>
      </c>
      <c r="H1056" s="76" t="n">
        <v>529994.226959208</v>
      </c>
      <c r="I1056" s="77" t="str">
        <f>H1056-F1056</f>
      </c>
      <c r="J1056" s="78" t="str">
        <f>G1056-E1056</f>
      </c>
    </row>
    <row r="1057">
      <c r="A1057" t="s">
        <v>207</v>
      </c>
      <c r="B1057" t="s">
        <v>425</v>
      </c>
      <c r="C1057" s="72" t="n">
        <v>2045</v>
      </c>
      <c r="D1057" t="s">
        <v>193</v>
      </c>
      <c r="E1057" s="73" t="n">
        <v>622376.30850557</v>
      </c>
      <c r="F1057" s="74" t="n">
        <v>375114.48308884</v>
      </c>
      <c r="G1057" s="75" t="n">
        <v>645730.44769896</v>
      </c>
      <c r="H1057" s="76" t="n">
        <v>387750.678781898</v>
      </c>
      <c r="I1057" s="77" t="str">
        <f>H1057-F1057</f>
      </c>
      <c r="J1057" s="78" t="str">
        <f>G1057-E1057</f>
      </c>
    </row>
    <row r="1058">
      <c r="A1058" t="s">
        <v>207</v>
      </c>
      <c r="B1058" t="s">
        <v>425</v>
      </c>
      <c r="C1058" s="72" t="n">
        <v>2045</v>
      </c>
      <c r="D1058" t="s">
        <v>424</v>
      </c>
      <c r="E1058" s="73" t="n">
        <v>43213.707948893</v>
      </c>
      <c r="F1058" s="74" t="n">
        <v>7673.22485124034</v>
      </c>
      <c r="G1058" s="75" t="n">
        <v>43190.6037513161</v>
      </c>
      <c r="H1058" s="76" t="n">
        <v>7672.06822678464</v>
      </c>
      <c r="I1058" s="77" t="str">
        <f>H1058-F1058</f>
      </c>
      <c r="J1058" s="78" t="str">
        <f>G1058-E1058</f>
      </c>
    </row>
    <row r="1059">
      <c r="A1059" t="s">
        <v>207</v>
      </c>
      <c r="B1059" t="s">
        <v>425</v>
      </c>
      <c r="C1059" s="72" t="n">
        <v>2046</v>
      </c>
      <c r="D1059" t="s">
        <v>176</v>
      </c>
      <c r="E1059" s="73" t="n">
        <v>22447.5099679667</v>
      </c>
      <c r="F1059" s="74" t="n">
        <v>15543.2469122473</v>
      </c>
      <c r="G1059" s="75" t="n">
        <v>22210.9745219107</v>
      </c>
      <c r="H1059" s="76" t="n">
        <v>15436.8918612077</v>
      </c>
      <c r="I1059" s="77" t="str">
        <f>H1059-F1059</f>
      </c>
      <c r="J1059" s="78" t="str">
        <f>G1059-E1059</f>
      </c>
    </row>
    <row r="1060">
      <c r="A1060" t="s">
        <v>207</v>
      </c>
      <c r="B1060" t="s">
        <v>425</v>
      </c>
      <c r="C1060" s="72" t="n">
        <v>2046</v>
      </c>
      <c r="D1060" t="s">
        <v>238</v>
      </c>
      <c r="E1060" s="73" t="n">
        <v>1234268.75843955</v>
      </c>
      <c r="F1060" s="74" t="n">
        <v>295636.878703557</v>
      </c>
      <c r="G1060" s="75" t="n">
        <v>1230125.0687767</v>
      </c>
      <c r="H1060" s="76" t="n">
        <v>295165.877208802</v>
      </c>
      <c r="I1060" s="77" t="str">
        <f>H1060-F1060</f>
      </c>
      <c r="J1060" s="78" t="str">
        <f>G1060-E1060</f>
      </c>
    </row>
    <row r="1061">
      <c r="A1061" t="s">
        <v>207</v>
      </c>
      <c r="B1061" t="s">
        <v>425</v>
      </c>
      <c r="C1061" s="72" t="n">
        <v>2046</v>
      </c>
      <c r="D1061" t="s">
        <v>184</v>
      </c>
      <c r="E1061" s="73" t="n">
        <v>149063.585436824</v>
      </c>
      <c r="F1061" s="74" t="n">
        <v>100499.165163791</v>
      </c>
      <c r="G1061" s="75" t="n">
        <v>154919.185199882</v>
      </c>
      <c r="H1061" s="76" t="n">
        <v>104731.133984312</v>
      </c>
      <c r="I1061" s="77" t="str">
        <f>H1061-F1061</f>
      </c>
      <c r="J1061" s="78" t="str">
        <f>G1061-E1061</f>
      </c>
    </row>
    <row r="1062">
      <c r="A1062" t="s">
        <v>207</v>
      </c>
      <c r="B1062" t="s">
        <v>425</v>
      </c>
      <c r="C1062" s="72" t="n">
        <v>2046</v>
      </c>
      <c r="D1062" t="s">
        <v>187</v>
      </c>
      <c r="E1062" s="73" t="n">
        <v>469889.243928015</v>
      </c>
      <c r="F1062" s="74" t="n">
        <v>436969.771822824</v>
      </c>
      <c r="G1062" s="75" t="n">
        <v>489559.569488497</v>
      </c>
      <c r="H1062" s="76" t="n">
        <v>455310.080020589</v>
      </c>
      <c r="I1062" s="77" t="str">
        <f>H1062-F1062</f>
      </c>
      <c r="J1062" s="78" t="str">
        <f>G1062-E1062</f>
      </c>
    </row>
    <row r="1063">
      <c r="A1063" t="s">
        <v>207</v>
      </c>
      <c r="B1063" t="s">
        <v>425</v>
      </c>
      <c r="C1063" s="72" t="n">
        <v>2046</v>
      </c>
      <c r="D1063" t="s">
        <v>190</v>
      </c>
      <c r="E1063" s="73" t="n">
        <v>810583.402981824</v>
      </c>
      <c r="F1063" s="74" t="n">
        <v>519458.943450112</v>
      </c>
      <c r="G1063" s="75" t="n">
        <v>842022.211146035</v>
      </c>
      <c r="H1063" s="76" t="n">
        <v>538440.168228285</v>
      </c>
      <c r="I1063" s="77" t="str">
        <f>H1063-F1063</f>
      </c>
      <c r="J1063" s="78" t="str">
        <f>G1063-E1063</f>
      </c>
    </row>
    <row r="1064">
      <c r="A1064" t="s">
        <v>207</v>
      </c>
      <c r="B1064" t="s">
        <v>425</v>
      </c>
      <c r="C1064" s="72" t="n">
        <v>2046</v>
      </c>
      <c r="D1064" t="s">
        <v>193</v>
      </c>
      <c r="E1064" s="73" t="n">
        <v>632679.325846361</v>
      </c>
      <c r="F1064" s="74" t="n">
        <v>384466.455957773</v>
      </c>
      <c r="G1064" s="75" t="n">
        <v>656023.203848247</v>
      </c>
      <c r="H1064" s="76" t="n">
        <v>397431.950602612</v>
      </c>
      <c r="I1064" s="77" t="str">
        <f>H1064-F1064</f>
      </c>
      <c r="J1064" s="78" t="str">
        <f>G1064-E1064</f>
      </c>
    </row>
    <row r="1065">
      <c r="A1065" t="s">
        <v>207</v>
      </c>
      <c r="B1065" t="s">
        <v>425</v>
      </c>
      <c r="C1065" s="72" t="n">
        <v>2046</v>
      </c>
      <c r="D1065" t="s">
        <v>424</v>
      </c>
      <c r="E1065" s="73" t="n">
        <v>43221.2586671</v>
      </c>
      <c r="F1065" s="74" t="n">
        <v>7694.85638325341</v>
      </c>
      <c r="G1065" s="75" t="n">
        <v>43196.3103231123</v>
      </c>
      <c r="H1065" s="76" t="n">
        <v>7693.55704865625</v>
      </c>
      <c r="I1065" s="77" t="str">
        <f>H1065-F1065</f>
      </c>
      <c r="J1065" s="78" t="str">
        <f>G1065-E1065</f>
      </c>
    </row>
    <row r="1066">
      <c r="A1066" t="s">
        <v>207</v>
      </c>
      <c r="B1066" t="s">
        <v>425</v>
      </c>
      <c r="C1066" s="72" t="n">
        <v>2047</v>
      </c>
      <c r="D1066" t="s">
        <v>176</v>
      </c>
      <c r="E1066" s="73" t="n">
        <v>22957.9330294102</v>
      </c>
      <c r="F1066" s="74" t="n">
        <v>15846.5678801919</v>
      </c>
      <c r="G1066" s="75" t="n">
        <v>22699.6629629007</v>
      </c>
      <c r="H1066" s="76" t="n">
        <v>15728.4854947303</v>
      </c>
      <c r="I1066" s="77" t="str">
        <f>H1066-F1066</f>
      </c>
      <c r="J1066" s="78" t="str">
        <f>G1066-E1066</f>
      </c>
    </row>
    <row r="1067">
      <c r="A1067" t="s">
        <v>207</v>
      </c>
      <c r="B1067" t="s">
        <v>425</v>
      </c>
      <c r="C1067" s="72" t="n">
        <v>2047</v>
      </c>
      <c r="D1067" t="s">
        <v>238</v>
      </c>
      <c r="E1067" s="73" t="n">
        <v>1239690.22842758</v>
      </c>
      <c r="F1067" s="74" t="n">
        <v>302710.787327104</v>
      </c>
      <c r="G1067" s="75" t="n">
        <v>1235274.66521773</v>
      </c>
      <c r="H1067" s="76" t="n">
        <v>302180.550312501</v>
      </c>
      <c r="I1067" s="77" t="str">
        <f>H1067-F1067</f>
      </c>
      <c r="J1067" s="78" t="str">
        <f>G1067-E1067</f>
      </c>
    </row>
    <row r="1068">
      <c r="A1068" t="s">
        <v>207</v>
      </c>
      <c r="B1068" t="s">
        <v>425</v>
      </c>
      <c r="C1068" s="72" t="n">
        <v>2047</v>
      </c>
      <c r="D1068" t="s">
        <v>184</v>
      </c>
      <c r="E1068" s="73" t="n">
        <v>151568.465525505</v>
      </c>
      <c r="F1068" s="74" t="n">
        <v>102215.61953717</v>
      </c>
      <c r="G1068" s="75" t="n">
        <v>157435.937342911</v>
      </c>
      <c r="H1068" s="76" t="n">
        <v>106487.677760342</v>
      </c>
      <c r="I1068" s="77" t="str">
        <f>H1068-F1068</f>
      </c>
      <c r="J1068" s="78" t="str">
        <f>G1068-E1068</f>
      </c>
    </row>
    <row r="1069">
      <c r="A1069" t="s">
        <v>207</v>
      </c>
      <c r="B1069" t="s">
        <v>425</v>
      </c>
      <c r="C1069" s="72" t="n">
        <v>2047</v>
      </c>
      <c r="D1069" t="s">
        <v>187</v>
      </c>
      <c r="E1069" s="73" t="n">
        <v>475342.903285342</v>
      </c>
      <c r="F1069" s="74" t="n">
        <v>442110.195951851</v>
      </c>
      <c r="G1069" s="75" t="n">
        <v>495047.331680699</v>
      </c>
      <c r="H1069" s="76" t="n">
        <v>460539.427749469</v>
      </c>
      <c r="I1069" s="77" t="str">
        <f>H1069-F1069</f>
      </c>
      <c r="J1069" s="78" t="str">
        <f>G1069-E1069</f>
      </c>
    </row>
    <row r="1070">
      <c r="A1070" t="s">
        <v>207</v>
      </c>
      <c r="B1070" t="s">
        <v>425</v>
      </c>
      <c r="C1070" s="72" t="n">
        <v>2047</v>
      </c>
      <c r="D1070" t="s">
        <v>190</v>
      </c>
      <c r="E1070" s="73" t="n">
        <v>820934.514809184</v>
      </c>
      <c r="F1070" s="74" t="n">
        <v>527477.263022267</v>
      </c>
      <c r="G1070" s="75" t="n">
        <v>852357.036896631</v>
      </c>
      <c r="H1070" s="76" t="n">
        <v>546892.884748123</v>
      </c>
      <c r="I1070" s="77" t="str">
        <f>H1070-F1070</f>
      </c>
      <c r="J1070" s="78" t="str">
        <f>G1070-E1070</f>
      </c>
    </row>
    <row r="1071">
      <c r="A1071" t="s">
        <v>207</v>
      </c>
      <c r="B1071" t="s">
        <v>425</v>
      </c>
      <c r="C1071" s="72" t="n">
        <v>2047</v>
      </c>
      <c r="D1071" t="s">
        <v>193</v>
      </c>
      <c r="E1071" s="73" t="n">
        <v>642647.127825791</v>
      </c>
      <c r="F1071" s="74" t="n">
        <v>393676.053127205</v>
      </c>
      <c r="G1071" s="75" t="n">
        <v>665960.530537607</v>
      </c>
      <c r="H1071" s="76" t="n">
        <v>406938.309858621</v>
      </c>
      <c r="I1071" s="77" t="str">
        <f>H1071-F1071</f>
      </c>
      <c r="J1071" s="78" t="str">
        <f>G1071-E1071</f>
      </c>
    </row>
    <row r="1072">
      <c r="A1072" t="s">
        <v>207</v>
      </c>
      <c r="B1072" t="s">
        <v>425</v>
      </c>
      <c r="C1072" s="72" t="n">
        <v>2047</v>
      </c>
      <c r="D1072" t="s">
        <v>424</v>
      </c>
      <c r="E1072" s="73" t="n">
        <v>43244.4506966626</v>
      </c>
      <c r="F1072" s="74" t="n">
        <v>7717.71349117819</v>
      </c>
      <c r="G1072" s="75" t="n">
        <v>43217.6341923504</v>
      </c>
      <c r="H1072" s="76" t="n">
        <v>7716.26452507886</v>
      </c>
      <c r="I1072" s="77" t="str">
        <f>H1072-F1072</f>
      </c>
      <c r="J1072" s="78" t="str">
        <f>G1072-E1072</f>
      </c>
    </row>
    <row r="1073">
      <c r="A1073" t="s">
        <v>207</v>
      </c>
      <c r="B1073" t="s">
        <v>425</v>
      </c>
      <c r="C1073" s="72" t="n">
        <v>2048</v>
      </c>
      <c r="D1073" t="s">
        <v>176</v>
      </c>
      <c r="E1073" s="73" t="n">
        <v>23460.4447834779</v>
      </c>
      <c r="F1073" s="74" t="n">
        <v>16155.5316654945</v>
      </c>
      <c r="G1073" s="75" t="n">
        <v>23179.7775298232</v>
      </c>
      <c r="H1073" s="76" t="n">
        <v>16025.2187605858</v>
      </c>
      <c r="I1073" s="77" t="str">
        <f>H1073-F1073</f>
      </c>
      <c r="J1073" s="78" t="str">
        <f>G1073-E1073</f>
      </c>
    </row>
    <row r="1074">
      <c r="A1074" t="s">
        <v>207</v>
      </c>
      <c r="B1074" t="s">
        <v>425</v>
      </c>
      <c r="C1074" s="72" t="n">
        <v>2048</v>
      </c>
      <c r="D1074" t="s">
        <v>238</v>
      </c>
      <c r="E1074" s="73" t="n">
        <v>1244892.17828273</v>
      </c>
      <c r="F1074" s="74" t="n">
        <v>309556.757447631</v>
      </c>
      <c r="G1074" s="75" t="n">
        <v>1240209.10376068</v>
      </c>
      <c r="H1074" s="76" t="n">
        <v>308964.310377282</v>
      </c>
      <c r="I1074" s="77" t="str">
        <f>H1074-F1074</f>
      </c>
      <c r="J1074" s="78" t="str">
        <f>G1074-E1074</f>
      </c>
    </row>
    <row r="1075">
      <c r="A1075" t="s">
        <v>207</v>
      </c>
      <c r="B1075" t="s">
        <v>425</v>
      </c>
      <c r="C1075" s="72" t="n">
        <v>2048</v>
      </c>
      <c r="D1075" t="s">
        <v>184</v>
      </c>
      <c r="E1075" s="73" t="n">
        <v>154003.10744769</v>
      </c>
      <c r="F1075" s="74" t="n">
        <v>103898.859954449</v>
      </c>
      <c r="G1075" s="75" t="n">
        <v>159877.069557409</v>
      </c>
      <c r="H1075" s="76" t="n">
        <v>108205.309376064</v>
      </c>
      <c r="I1075" s="77" t="str">
        <f>H1075-F1075</f>
      </c>
      <c r="J1075" s="78" t="str">
        <f>G1075-E1075</f>
      </c>
    </row>
    <row r="1076">
      <c r="A1076" t="s">
        <v>207</v>
      </c>
      <c r="B1076" t="s">
        <v>425</v>
      </c>
      <c r="C1076" s="72" t="n">
        <v>2048</v>
      </c>
      <c r="D1076" t="s">
        <v>187</v>
      </c>
      <c r="E1076" s="73" t="n">
        <v>480527.222804292</v>
      </c>
      <c r="F1076" s="74" t="n">
        <v>447055.745638786</v>
      </c>
      <c r="G1076" s="75" t="n">
        <v>500251.963676638</v>
      </c>
      <c r="H1076" s="76" t="n">
        <v>465558.478994868</v>
      </c>
      <c r="I1076" s="77" t="str">
        <f>H1076-F1076</f>
      </c>
      <c r="J1076" s="78" t="str">
        <f>G1076-E1076</f>
      </c>
    </row>
    <row r="1077">
      <c r="A1077" t="s">
        <v>207</v>
      </c>
      <c r="B1077" t="s">
        <v>425</v>
      </c>
      <c r="C1077" s="72" t="n">
        <v>2048</v>
      </c>
      <c r="D1077" t="s">
        <v>190</v>
      </c>
      <c r="E1077" s="73" t="n">
        <v>831029.89839778</v>
      </c>
      <c r="F1077" s="74" t="n">
        <v>535411.261318223</v>
      </c>
      <c r="G1077" s="75" t="n">
        <v>862421.197666068</v>
      </c>
      <c r="H1077" s="76" t="n">
        <v>555219.254274076</v>
      </c>
      <c r="I1077" s="77" t="str">
        <f>H1077-F1077</f>
      </c>
      <c r="J1077" s="78" t="str">
        <f>G1077-E1077</f>
      </c>
    </row>
    <row r="1078">
      <c r="A1078" t="s">
        <v>207</v>
      </c>
      <c r="B1078" t="s">
        <v>425</v>
      </c>
      <c r="C1078" s="72" t="n">
        <v>2048</v>
      </c>
      <c r="D1078" t="s">
        <v>193</v>
      </c>
      <c r="E1078" s="73" t="n">
        <v>652273.79458433</v>
      </c>
      <c r="F1078" s="74" t="n">
        <v>402695.69046015</v>
      </c>
      <c r="G1078" s="75" t="n">
        <v>675538.067131439</v>
      </c>
      <c r="H1078" s="76" t="n">
        <v>416221.145643516</v>
      </c>
      <c r="I1078" s="77" t="str">
        <f>H1078-F1078</f>
      </c>
      <c r="J1078" s="78" t="str">
        <f>G1078-E1078</f>
      </c>
    </row>
    <row r="1079">
      <c r="A1079" t="s">
        <v>207</v>
      </c>
      <c r="B1079" t="s">
        <v>425</v>
      </c>
      <c r="C1079" s="72" t="n">
        <v>2048</v>
      </c>
      <c r="D1079" t="s">
        <v>424</v>
      </c>
      <c r="E1079" s="73" t="n">
        <v>43275.8185837614</v>
      </c>
      <c r="F1079" s="74" t="n">
        <v>7742.573817284</v>
      </c>
      <c r="G1079" s="75" t="n">
        <v>43247.1165682685</v>
      </c>
      <c r="H1079" s="76" t="n">
        <v>7740.96823230914</v>
      </c>
      <c r="I1079" s="77" t="str">
        <f>H1079-F1079</f>
      </c>
      <c r="J1079" s="78" t="str">
        <f>G1079-E1079</f>
      </c>
    </row>
    <row r="1080">
      <c r="A1080" t="s">
        <v>207</v>
      </c>
      <c r="B1080" t="s">
        <v>425</v>
      </c>
      <c r="C1080" s="72" t="n">
        <v>2049</v>
      </c>
      <c r="D1080" t="s">
        <v>176</v>
      </c>
      <c r="E1080" s="73" t="n">
        <v>23953.9736965837</v>
      </c>
      <c r="F1080" s="74" t="n">
        <v>16465.6190601568</v>
      </c>
      <c r="G1080" s="75" t="n">
        <v>23650.3614840449</v>
      </c>
      <c r="H1080" s="76" t="n">
        <v>16322.61151708</v>
      </c>
      <c r="I1080" s="77" t="str">
        <f>H1080-F1080</f>
      </c>
      <c r="J1080" s="78" t="str">
        <f>G1080-E1080</f>
      </c>
    </row>
    <row r="1081">
      <c r="A1081" t="s">
        <v>207</v>
      </c>
      <c r="B1081" t="s">
        <v>425</v>
      </c>
      <c r="C1081" s="72" t="n">
        <v>2049</v>
      </c>
      <c r="D1081" t="s">
        <v>238</v>
      </c>
      <c r="E1081" s="73" t="n">
        <v>1249904.49284017</v>
      </c>
      <c r="F1081" s="74" t="n">
        <v>316186.065957055</v>
      </c>
      <c r="G1081" s="75" t="n">
        <v>1244958.37630862</v>
      </c>
      <c r="H1081" s="76" t="n">
        <v>315528.654574656</v>
      </c>
      <c r="I1081" s="77" t="str">
        <f>H1081-F1081</f>
      </c>
      <c r="J1081" s="78" t="str">
        <f>G1081-E1081</f>
      </c>
    </row>
    <row r="1082">
      <c r="A1082" t="s">
        <v>207</v>
      </c>
      <c r="B1082" t="s">
        <v>425</v>
      </c>
      <c r="C1082" s="72" t="n">
        <v>2049</v>
      </c>
      <c r="D1082" t="s">
        <v>184</v>
      </c>
      <c r="E1082" s="73" t="n">
        <v>156362.854608723</v>
      </c>
      <c r="F1082" s="74" t="n">
        <v>105546.586636486</v>
      </c>
      <c r="G1082" s="75" t="n">
        <v>162238.134685625</v>
      </c>
      <c r="H1082" s="76" t="n">
        <v>109882.371148655</v>
      </c>
      <c r="I1082" s="77" t="str">
        <f>H1082-F1082</f>
      </c>
      <c r="J1082" s="78" t="str">
        <f>G1082-E1082</f>
      </c>
    </row>
    <row r="1083">
      <c r="A1083" t="s">
        <v>207</v>
      </c>
      <c r="B1083" t="s">
        <v>425</v>
      </c>
      <c r="C1083" s="72" t="n">
        <v>2049</v>
      </c>
      <c r="D1083" t="s">
        <v>187</v>
      </c>
      <c r="E1083" s="73" t="n">
        <v>485482.011898945</v>
      </c>
      <c r="F1083" s="74" t="n">
        <v>451820.573311286</v>
      </c>
      <c r="G1083" s="75" t="n">
        <v>505215.900508139</v>
      </c>
      <c r="H1083" s="76" t="n">
        <v>470383.880162835</v>
      </c>
      <c r="I1083" s="77" t="str">
        <f>H1083-F1083</f>
      </c>
      <c r="J1083" s="78" t="str">
        <f>G1083-E1083</f>
      </c>
    </row>
    <row r="1084">
      <c r="A1084" t="s">
        <v>207</v>
      </c>
      <c r="B1084" t="s">
        <v>425</v>
      </c>
      <c r="C1084" s="72" t="n">
        <v>2049</v>
      </c>
      <c r="D1084" t="s">
        <v>190</v>
      </c>
      <c r="E1084" s="73" t="n">
        <v>840700.476621636</v>
      </c>
      <c r="F1084" s="74" t="n">
        <v>543180.169614929</v>
      </c>
      <c r="G1084" s="75" t="n">
        <v>872039.412561908</v>
      </c>
      <c r="H1084" s="76" t="n">
        <v>563337.765593671</v>
      </c>
      <c r="I1084" s="77" t="str">
        <f>H1084-F1084</f>
      </c>
      <c r="J1084" s="78" t="str">
        <f>G1084-E1084</f>
      </c>
    </row>
    <row r="1085">
      <c r="A1085" t="s">
        <v>207</v>
      </c>
      <c r="B1085" t="s">
        <v>425</v>
      </c>
      <c r="C1085" s="72" t="n">
        <v>2049</v>
      </c>
      <c r="D1085" t="s">
        <v>193</v>
      </c>
      <c r="E1085" s="73" t="n">
        <v>661599.667273632</v>
      </c>
      <c r="F1085" s="74" t="n">
        <v>411457.138845154</v>
      </c>
      <c r="G1085" s="75" t="n">
        <v>684799.519243418</v>
      </c>
      <c r="H1085" s="76" t="n">
        <v>425211.294806661</v>
      </c>
      <c r="I1085" s="77" t="str">
        <f>H1085-F1085</f>
      </c>
      <c r="J1085" s="78" t="str">
        <f>G1085-E1085</f>
      </c>
    </row>
    <row r="1086">
      <c r="A1086" t="s">
        <v>207</v>
      </c>
      <c r="B1086" t="s">
        <v>425</v>
      </c>
      <c r="C1086" s="72" t="n">
        <v>2049</v>
      </c>
      <c r="D1086" t="s">
        <v>424</v>
      </c>
      <c r="E1086" s="73" t="n">
        <v>43318.2897586288</v>
      </c>
      <c r="F1086" s="74" t="n">
        <v>7766.19416567605</v>
      </c>
      <c r="G1086" s="75" t="n">
        <v>43287.6941181752</v>
      </c>
      <c r="H1086" s="76" t="n">
        <v>7764.42505773382</v>
      </c>
      <c r="I1086" s="77" t="str">
        <f>H1086-F1086</f>
      </c>
      <c r="J1086" s="78" t="str">
        <f>G1086-E1086</f>
      </c>
    </row>
    <row r="1087">
      <c r="A1087" t="s">
        <v>207</v>
      </c>
      <c r="B1087" t="s">
        <v>425</v>
      </c>
      <c r="C1087" s="72" t="n">
        <v>2050</v>
      </c>
      <c r="D1087" t="s">
        <v>176</v>
      </c>
      <c r="E1087" s="73" t="n">
        <v>24437.4368210304</v>
      </c>
      <c r="F1087" s="74" t="n">
        <v>16775.0339118107</v>
      </c>
      <c r="G1087" s="75" t="n">
        <v>24110.4306261692</v>
      </c>
      <c r="H1087" s="76" t="n">
        <v>16618.9237091261</v>
      </c>
      <c r="I1087" s="77" t="str">
        <f>H1087-F1087</f>
      </c>
      <c r="J1087" s="78" t="str">
        <f>G1087-E1087</f>
      </c>
    </row>
    <row r="1088">
      <c r="A1088" t="s">
        <v>207</v>
      </c>
      <c r="B1088" t="s">
        <v>425</v>
      </c>
      <c r="C1088" s="72" t="n">
        <v>2050</v>
      </c>
      <c r="D1088" t="s">
        <v>238</v>
      </c>
      <c r="E1088" s="73" t="n">
        <v>1254779.51298046</v>
      </c>
      <c r="F1088" s="74" t="n">
        <v>322591.050329794</v>
      </c>
      <c r="G1088" s="75" t="n">
        <v>1249574.98129843</v>
      </c>
      <c r="H1088" s="76" t="n">
        <v>321866.145423905</v>
      </c>
      <c r="I1088" s="77" t="str">
        <f>H1088-F1088</f>
      </c>
      <c r="J1088" s="78" t="str">
        <f>G1088-E1088</f>
      </c>
    </row>
    <row r="1089">
      <c r="A1089" t="s">
        <v>207</v>
      </c>
      <c r="B1089" t="s">
        <v>425</v>
      </c>
      <c r="C1089" s="72" t="n">
        <v>2050</v>
      </c>
      <c r="D1089" t="s">
        <v>184</v>
      </c>
      <c r="E1089" s="73" t="n">
        <v>158654.883833432</v>
      </c>
      <c r="F1089" s="74" t="n">
        <v>107136.517690676</v>
      </c>
      <c r="G1089" s="75" t="n">
        <v>164526.94959842</v>
      </c>
      <c r="H1089" s="76" t="n">
        <v>111496.260054028</v>
      </c>
      <c r="I1089" s="77" t="str">
        <f>H1089-F1089</f>
      </c>
      <c r="J1089" s="78" t="str">
        <f>G1089-E1089</f>
      </c>
    </row>
    <row r="1090">
      <c r="A1090" t="s">
        <v>207</v>
      </c>
      <c r="B1090" t="s">
        <v>425</v>
      </c>
      <c r="C1090" s="72" t="n">
        <v>2050</v>
      </c>
      <c r="D1090" t="s">
        <v>187</v>
      </c>
      <c r="E1090" s="73" t="n">
        <v>490192.002709198</v>
      </c>
      <c r="F1090" s="74" t="n">
        <v>456286.204689329</v>
      </c>
      <c r="G1090" s="75" t="n">
        <v>509923.794653266</v>
      </c>
      <c r="H1090" s="76" t="n">
        <v>474893.254554943</v>
      </c>
      <c r="I1090" s="77" t="str">
        <f>H1090-F1090</f>
      </c>
      <c r="J1090" s="78" t="str">
        <f>G1090-E1090</f>
      </c>
    </row>
    <row r="1091">
      <c r="A1091" t="s">
        <v>207</v>
      </c>
      <c r="B1091" t="s">
        <v>425</v>
      </c>
      <c r="C1091" s="72" t="n">
        <v>2050</v>
      </c>
      <c r="D1091" t="s">
        <v>190</v>
      </c>
      <c r="E1091" s="73" t="n">
        <v>849952.452502621</v>
      </c>
      <c r="F1091" s="74" t="n">
        <v>550835.404452917</v>
      </c>
      <c r="G1091" s="75" t="n">
        <v>881220.210178615</v>
      </c>
      <c r="H1091" s="76" t="n">
        <v>571305.130665456</v>
      </c>
      <c r="I1091" s="77" t="str">
        <f>H1091-F1091</f>
      </c>
      <c r="J1091" s="78" t="str">
        <f>G1091-E1091</f>
      </c>
    </row>
    <row r="1092">
      <c r="A1092" t="s">
        <v>207</v>
      </c>
      <c r="B1092" t="s">
        <v>425</v>
      </c>
      <c r="C1092" s="72" t="n">
        <v>2050</v>
      </c>
      <c r="D1092" t="s">
        <v>193</v>
      </c>
      <c r="E1092" s="73" t="n">
        <v>670708.306421141</v>
      </c>
      <c r="F1092" s="74" t="n">
        <v>419977.48942627</v>
      </c>
      <c r="G1092" s="75" t="n">
        <v>693833.375810026</v>
      </c>
      <c r="H1092" s="76" t="n">
        <v>433928.116842437</v>
      </c>
      <c r="I1092" s="77" t="str">
        <f>H1092-F1092</f>
      </c>
      <c r="J1092" s="78" t="str">
        <f>G1092-E1092</f>
      </c>
    </row>
    <row r="1093">
      <c r="A1093" t="s">
        <v>207</v>
      </c>
      <c r="B1093" t="s">
        <v>425</v>
      </c>
      <c r="C1093" s="72" t="n">
        <v>2050</v>
      </c>
      <c r="D1093" t="s">
        <v>424</v>
      </c>
      <c r="E1093" s="73" t="n">
        <v>43369.8243804839</v>
      </c>
      <c r="F1093" s="74" t="n">
        <v>7787.5316932331</v>
      </c>
      <c r="G1093" s="75" t="n">
        <v>43337.3340718481</v>
      </c>
      <c r="H1093" s="76" t="n">
        <v>7785.59251624651</v>
      </c>
      <c r="I1093" s="77" t="str">
        <f>H1093-F1093</f>
      </c>
      <c r="J1093" s="78" t="str">
        <f>G1093-E1093</f>
      </c>
    </row>
    <row r="1094">
      <c r="A1094" t="s">
        <v>226</v>
      </c>
      <c r="B1094" t="s">
        <v>228</v>
      </c>
      <c r="C1094" s="72" t="n">
        <v>2025</v>
      </c>
      <c r="D1094" t="s">
        <v>176</v>
      </c>
      <c r="E1094" s="73" t="n">
        <v>12347.3896757033</v>
      </c>
      <c r="F1094" s="74" t="n">
        <v>8975.30849722876</v>
      </c>
      <c r="G1094" s="75" t="n">
        <v>12347.3896757033</v>
      </c>
      <c r="H1094" s="76" t="n">
        <v>8975.30849722876</v>
      </c>
      <c r="I1094" s="77" t="str">
        <f>H1094-F1094</f>
      </c>
      <c r="J1094" s="78" t="str">
        <f>G1094-E1094</f>
      </c>
    </row>
    <row r="1095">
      <c r="A1095" t="s">
        <v>226</v>
      </c>
      <c r="B1095" t="s">
        <v>228</v>
      </c>
      <c r="C1095" s="72" t="n">
        <v>2025</v>
      </c>
      <c r="D1095" t="s">
        <v>238</v>
      </c>
      <c r="E1095" s="73" t="n">
        <v>1026043.97207164</v>
      </c>
      <c r="F1095" s="74" t="n">
        <v>129403.022830672</v>
      </c>
      <c r="G1095" s="75" t="n">
        <v>1026043.97207164</v>
      </c>
      <c r="H1095" s="76" t="n">
        <v>129403.022830672</v>
      </c>
      <c r="I1095" s="77" t="str">
        <f>H1095-F1095</f>
      </c>
      <c r="J1095" s="78" t="str">
        <f>G1095-E1095</f>
      </c>
    </row>
    <row r="1096">
      <c r="A1096" t="s">
        <v>226</v>
      </c>
      <c r="B1096" t="s">
        <v>228</v>
      </c>
      <c r="C1096" s="72" t="n">
        <v>2025</v>
      </c>
      <c r="D1096" t="s">
        <v>184</v>
      </c>
      <c r="E1096" s="73" t="n">
        <v>91684.5090142746</v>
      </c>
      <c r="F1096" s="74" t="n">
        <v>63318.7518252021</v>
      </c>
      <c r="G1096" s="75" t="n">
        <v>91684.5090142746</v>
      </c>
      <c r="H1096" s="76" t="n">
        <v>63318.7518252021</v>
      </c>
      <c r="I1096" s="77" t="str">
        <f>H1096-F1096</f>
      </c>
      <c r="J1096" s="78" t="str">
        <f>G1096-E1096</f>
      </c>
    </row>
    <row r="1097">
      <c r="A1097" t="s">
        <v>226</v>
      </c>
      <c r="B1097" t="s">
        <v>228</v>
      </c>
      <c r="C1097" s="72" t="n">
        <v>2025</v>
      </c>
      <c r="D1097" t="s">
        <v>187</v>
      </c>
      <c r="E1097" s="73" t="n">
        <v>327817.992111529</v>
      </c>
      <c r="F1097" s="74" t="n">
        <v>300216.82861998</v>
      </c>
      <c r="G1097" s="75" t="n">
        <v>327817.992111529</v>
      </c>
      <c r="H1097" s="76" t="n">
        <v>300216.82861998</v>
      </c>
      <c r="I1097" s="77" t="str">
        <f>H1097-F1097</f>
      </c>
      <c r="J1097" s="78" t="str">
        <f>G1097-E1097</f>
      </c>
    </row>
    <row r="1098">
      <c r="A1098" t="s">
        <v>226</v>
      </c>
      <c r="B1098" t="s">
        <v>228</v>
      </c>
      <c r="C1098" s="72" t="n">
        <v>2025</v>
      </c>
      <c r="D1098" t="s">
        <v>190</v>
      </c>
      <c r="E1098" s="73" t="n">
        <v>563964.128928848</v>
      </c>
      <c r="F1098" s="74" t="n">
        <v>321188.162987932</v>
      </c>
      <c r="G1098" s="75" t="n">
        <v>563964.128928848</v>
      </c>
      <c r="H1098" s="76" t="n">
        <v>321188.162987932</v>
      </c>
      <c r="I1098" s="77" t="str">
        <f>H1098-F1098</f>
      </c>
      <c r="J1098" s="78" t="str">
        <f>G1098-E1098</f>
      </c>
    </row>
    <row r="1099">
      <c r="A1099" t="s">
        <v>226</v>
      </c>
      <c r="B1099" t="s">
        <v>228</v>
      </c>
      <c r="C1099" s="72" t="n">
        <v>2025</v>
      </c>
      <c r="D1099" t="s">
        <v>193</v>
      </c>
      <c r="E1099" s="73" t="n">
        <v>396205.912797568</v>
      </c>
      <c r="F1099" s="74" t="n">
        <v>191954.713579597</v>
      </c>
      <c r="G1099" s="75" t="n">
        <v>396205.912797568</v>
      </c>
      <c r="H1099" s="76" t="n">
        <v>191954.713579597</v>
      </c>
      <c r="I1099" s="77" t="str">
        <f>H1099-F1099</f>
      </c>
      <c r="J1099" s="78" t="str">
        <f>G1099-E1099</f>
      </c>
    </row>
    <row r="1100">
      <c r="A1100" t="s">
        <v>226</v>
      </c>
      <c r="B1100" t="s">
        <v>228</v>
      </c>
      <c r="C1100" s="72" t="n">
        <v>2025</v>
      </c>
      <c r="D1100" t="s">
        <v>424</v>
      </c>
      <c r="E1100" s="73" t="n">
        <v>44024.8557845561</v>
      </c>
      <c r="F1100" s="74" t="n">
        <v>6961.02866951274</v>
      </c>
      <c r="G1100" s="75" t="n">
        <v>44024.8557845561</v>
      </c>
      <c r="H1100" s="76" t="n">
        <v>6961.02866951274</v>
      </c>
      <c r="I1100" s="77" t="str">
        <f>H1100-F1100</f>
      </c>
      <c r="J1100" s="78" t="str">
        <f>G1100-E1100</f>
      </c>
    </row>
    <row r="1101">
      <c r="A1101" t="s">
        <v>226</v>
      </c>
      <c r="B1101" t="s">
        <v>228</v>
      </c>
      <c r="C1101" s="72" t="n">
        <v>2026</v>
      </c>
      <c r="D1101" t="s">
        <v>176</v>
      </c>
      <c r="E1101" s="73" t="n">
        <v>12812.507871628</v>
      </c>
      <c r="F1101" s="74" t="n">
        <v>9308.26420910955</v>
      </c>
      <c r="G1101" s="75" t="n">
        <v>12812.507871628</v>
      </c>
      <c r="H1101" s="76" t="n">
        <v>9308.26420910955</v>
      </c>
      <c r="I1101" s="77" t="str">
        <f>H1101-F1101</f>
      </c>
      <c r="J1101" s="78" t="str">
        <f>G1101-E1101</f>
      </c>
    </row>
    <row r="1102">
      <c r="A1102" t="s">
        <v>226</v>
      </c>
      <c r="B1102" t="s">
        <v>228</v>
      </c>
      <c r="C1102" s="72" t="n">
        <v>2026</v>
      </c>
      <c r="D1102" t="s">
        <v>238</v>
      </c>
      <c r="E1102" s="73" t="n">
        <v>1040956.74283153</v>
      </c>
      <c r="F1102" s="74" t="n">
        <v>137191.896136923</v>
      </c>
      <c r="G1102" s="75" t="n">
        <v>1040956.74283153</v>
      </c>
      <c r="H1102" s="76" t="n">
        <v>137191.896136923</v>
      </c>
      <c r="I1102" s="77" t="str">
        <f>H1102-F1102</f>
      </c>
      <c r="J1102" s="78" t="str">
        <f>G1102-E1102</f>
      </c>
    </row>
    <row r="1103">
      <c r="A1103" t="s">
        <v>226</v>
      </c>
      <c r="B1103" t="s">
        <v>228</v>
      </c>
      <c r="C1103" s="72" t="n">
        <v>2026</v>
      </c>
      <c r="D1103" t="s">
        <v>184</v>
      </c>
      <c r="E1103" s="73" t="n">
        <v>94590.9072571061</v>
      </c>
      <c r="F1103" s="74" t="n">
        <v>65164.4704134017</v>
      </c>
      <c r="G1103" s="75" t="n">
        <v>95077.1833035265</v>
      </c>
      <c r="H1103" s="76" t="n">
        <v>65164.4704134017</v>
      </c>
      <c r="I1103" s="77" t="str">
        <f>H1103-F1103</f>
      </c>
      <c r="J1103" s="78" t="str">
        <f>G1103-E1103</f>
      </c>
    </row>
    <row r="1104">
      <c r="A1104" t="s">
        <v>226</v>
      </c>
      <c r="B1104" t="s">
        <v>228</v>
      </c>
      <c r="C1104" s="72" t="n">
        <v>2026</v>
      </c>
      <c r="D1104" t="s">
        <v>187</v>
      </c>
      <c r="E1104" s="73" t="n">
        <v>335152.460704936</v>
      </c>
      <c r="F1104" s="74" t="n">
        <v>308606.943045308</v>
      </c>
      <c r="G1104" s="75" t="n">
        <v>336875.423495605</v>
      </c>
      <c r="H1104" s="76" t="n">
        <v>308606.943045308</v>
      </c>
      <c r="I1104" s="77" t="str">
        <f>H1104-F1104</f>
      </c>
      <c r="J1104" s="78" t="str">
        <f>G1104-E1104</f>
      </c>
    </row>
    <row r="1105">
      <c r="A1105" t="s">
        <v>226</v>
      </c>
      <c r="B1105" t="s">
        <v>228</v>
      </c>
      <c r="C1105" s="72" t="n">
        <v>2026</v>
      </c>
      <c r="D1105" t="s">
        <v>190</v>
      </c>
      <c r="E1105" s="73" t="n">
        <v>577144.538336964</v>
      </c>
      <c r="F1105" s="74" t="n">
        <v>332896.185768311</v>
      </c>
      <c r="G1105" s="75" t="n">
        <v>580111.541957649</v>
      </c>
      <c r="H1105" s="76" t="n">
        <v>332896.185768311</v>
      </c>
      <c r="I1105" s="77" t="str">
        <f>H1105-F1105</f>
      </c>
      <c r="J1105" s="78" t="str">
        <f>G1105-E1105</f>
      </c>
    </row>
    <row r="1106">
      <c r="A1106" t="s">
        <v>226</v>
      </c>
      <c r="B1106" t="s">
        <v>228</v>
      </c>
      <c r="C1106" s="72" t="n">
        <v>2026</v>
      </c>
      <c r="D1106" t="s">
        <v>193</v>
      </c>
      <c r="E1106" s="73" t="n">
        <v>407733.781585278</v>
      </c>
      <c r="F1106" s="74" t="n">
        <v>202008.199783237</v>
      </c>
      <c r="G1106" s="75" t="n">
        <v>409829.87281699</v>
      </c>
      <c r="H1106" s="76" t="n">
        <v>202008.199783237</v>
      </c>
      <c r="I1106" s="77" t="str">
        <f>H1106-F1106</f>
      </c>
      <c r="J1106" s="78" t="str">
        <f>G1106-E1106</f>
      </c>
    </row>
    <row r="1107">
      <c r="A1107" t="s">
        <v>226</v>
      </c>
      <c r="B1107" t="s">
        <v>228</v>
      </c>
      <c r="C1107" s="72" t="n">
        <v>2026</v>
      </c>
      <c r="D1107" t="s">
        <v>424</v>
      </c>
      <c r="E1107" s="73" t="n">
        <v>44219.1707517653</v>
      </c>
      <c r="F1107" s="74" t="n">
        <v>7023.77126872287</v>
      </c>
      <c r="G1107" s="75" t="n">
        <v>44219.1707517653</v>
      </c>
      <c r="H1107" s="76" t="n">
        <v>7023.77126872287</v>
      </c>
      <c r="I1107" s="77" t="str">
        <f>H1107-F1107</f>
      </c>
      <c r="J1107" s="78" t="str">
        <f>G1107-E1107</f>
      </c>
    </row>
    <row r="1108">
      <c r="A1108" t="s">
        <v>226</v>
      </c>
      <c r="B1108" t="s">
        <v>228</v>
      </c>
      <c r="C1108" s="72" t="n">
        <v>2027</v>
      </c>
      <c r="D1108" t="s">
        <v>176</v>
      </c>
      <c r="E1108" s="73" t="n">
        <v>13273.481772584</v>
      </c>
      <c r="F1108" s="74" t="n">
        <v>9640.71530777017</v>
      </c>
      <c r="G1108" s="75" t="n">
        <v>13273.481772584</v>
      </c>
      <c r="H1108" s="76" t="n">
        <v>9640.71530777017</v>
      </c>
      <c r="I1108" s="77" t="str">
        <f>H1108-F1108</f>
      </c>
      <c r="J1108" s="78" t="str">
        <f>G1108-E1108</f>
      </c>
    </row>
    <row r="1109">
      <c r="A1109" t="s">
        <v>226</v>
      </c>
      <c r="B1109" t="s">
        <v>228</v>
      </c>
      <c r="C1109" s="72" t="n">
        <v>2027</v>
      </c>
      <c r="D1109" t="s">
        <v>238</v>
      </c>
      <c r="E1109" s="73" t="n">
        <v>1055255.40879996</v>
      </c>
      <c r="F1109" s="74" t="n">
        <v>145087.130776418</v>
      </c>
      <c r="G1109" s="75" t="n">
        <v>1055255.40879996</v>
      </c>
      <c r="H1109" s="76" t="n">
        <v>145087.130776418</v>
      </c>
      <c r="I1109" s="77" t="str">
        <f>H1109-F1109</f>
      </c>
      <c r="J1109" s="78" t="str">
        <f>G1109-E1109</f>
      </c>
    </row>
    <row r="1110">
      <c r="A1110" t="s">
        <v>226</v>
      </c>
      <c r="B1110" t="s">
        <v>228</v>
      </c>
      <c r="C1110" s="72" t="n">
        <v>2027</v>
      </c>
      <c r="D1110" t="s">
        <v>184</v>
      </c>
      <c r="E1110" s="73" t="n">
        <v>97445.2405243921</v>
      </c>
      <c r="F1110" s="74" t="n">
        <v>66985.6550954612</v>
      </c>
      <c r="G1110" s="75" t="n">
        <v>98448.8278839669</v>
      </c>
      <c r="H1110" s="76" t="n">
        <v>67068.0169086102</v>
      </c>
      <c r="I1110" s="77" t="str">
        <f>H1110-F1110</f>
      </c>
      <c r="J1110" s="78" t="str">
        <f>G1110-E1110</f>
      </c>
    </row>
    <row r="1111">
      <c r="A1111" t="s">
        <v>226</v>
      </c>
      <c r="B1111" t="s">
        <v>228</v>
      </c>
      <c r="C1111" s="72" t="n">
        <v>2027</v>
      </c>
      <c r="D1111" t="s">
        <v>187</v>
      </c>
      <c r="E1111" s="73" t="n">
        <v>342413.702250548</v>
      </c>
      <c r="F1111" s="74" t="n">
        <v>316373.026008925</v>
      </c>
      <c r="G1111" s="75" t="n">
        <v>345936.706716403</v>
      </c>
      <c r="H1111" s="76" t="n">
        <v>317119.553552555</v>
      </c>
      <c r="I1111" s="77" t="str">
        <f>H1111-F1111</f>
      </c>
      <c r="J1111" s="78" t="str">
        <f>G1111-E1111</f>
      </c>
    </row>
    <row r="1112">
      <c r="A1112" t="s">
        <v>226</v>
      </c>
      <c r="B1112" t="s">
        <v>228</v>
      </c>
      <c r="C1112" s="72" t="n">
        <v>2027</v>
      </c>
      <c r="D1112" t="s">
        <v>190</v>
      </c>
      <c r="E1112" s="73" t="n">
        <v>590087.781310307</v>
      </c>
      <c r="F1112" s="74" t="n">
        <v>344325.8815049</v>
      </c>
      <c r="G1112" s="75" t="n">
        <v>596148.832334676</v>
      </c>
      <c r="H1112" s="76" t="n">
        <v>344517.274659827</v>
      </c>
      <c r="I1112" s="77" t="str">
        <f>H1112-F1112</f>
      </c>
      <c r="J1112" s="78" t="str">
        <f>G1112-E1112</f>
      </c>
    </row>
    <row r="1113">
      <c r="A1113" t="s">
        <v>226</v>
      </c>
      <c r="B1113" t="s">
        <v>228</v>
      </c>
      <c r="C1113" s="72" t="n">
        <v>2027</v>
      </c>
      <c r="D1113" t="s">
        <v>193</v>
      </c>
      <c r="E1113" s="73" t="n">
        <v>419180.963965002</v>
      </c>
      <c r="F1113" s="74" t="n">
        <v>211836.529065243</v>
      </c>
      <c r="G1113" s="75" t="n">
        <v>423485.101321999</v>
      </c>
      <c r="H1113" s="76" t="n">
        <v>211995.488024171</v>
      </c>
      <c r="I1113" s="77" t="str">
        <f>H1113-F1113</f>
      </c>
      <c r="J1113" s="78" t="str">
        <f>G1113-E1113</f>
      </c>
    </row>
    <row r="1114">
      <c r="A1114" t="s">
        <v>226</v>
      </c>
      <c r="B1114" t="s">
        <v>228</v>
      </c>
      <c r="C1114" s="72" t="n">
        <v>2027</v>
      </c>
      <c r="D1114" t="s">
        <v>424</v>
      </c>
      <c r="E1114" s="73" t="n">
        <v>44384.2018393689</v>
      </c>
      <c r="F1114" s="74" t="n">
        <v>7080.05700568168</v>
      </c>
      <c r="G1114" s="75" t="n">
        <v>44384.2018393689</v>
      </c>
      <c r="H1114" s="76" t="n">
        <v>7080.05700568168</v>
      </c>
      <c r="I1114" s="77" t="str">
        <f>H1114-F1114</f>
      </c>
      <c r="J1114" s="78" t="str">
        <f>G1114-E1114</f>
      </c>
    </row>
    <row r="1115">
      <c r="A1115" t="s">
        <v>226</v>
      </c>
      <c r="B1115" t="s">
        <v>228</v>
      </c>
      <c r="C1115" s="72" t="n">
        <v>2028</v>
      </c>
      <c r="D1115" t="s">
        <v>176</v>
      </c>
      <c r="E1115" s="73" t="n">
        <v>13729.8995283177</v>
      </c>
      <c r="F1115" s="74" t="n">
        <v>9971.45472163389</v>
      </c>
      <c r="G1115" s="75" t="n">
        <v>13729.5005000864</v>
      </c>
      <c r="H1115" s="76" t="n">
        <v>9971.45472163389</v>
      </c>
      <c r="I1115" s="77" t="str">
        <f>H1115-F1115</f>
      </c>
      <c r="J1115" s="78" t="str">
        <f>G1115-E1115</f>
      </c>
    </row>
    <row r="1116">
      <c r="A1116" t="s">
        <v>226</v>
      </c>
      <c r="B1116" t="s">
        <v>228</v>
      </c>
      <c r="C1116" s="72" t="n">
        <v>2028</v>
      </c>
      <c r="D1116" t="s">
        <v>238</v>
      </c>
      <c r="E1116" s="73" t="n">
        <v>1069014.72456745</v>
      </c>
      <c r="F1116" s="74" t="n">
        <v>153077.867387244</v>
      </c>
      <c r="G1116" s="75" t="n">
        <v>1069005.07088018</v>
      </c>
      <c r="H1116" s="76" t="n">
        <v>153077.867387244</v>
      </c>
      <c r="I1116" s="77" t="str">
        <f>H1116-F1116</f>
      </c>
      <c r="J1116" s="78" t="str">
        <f>G1116-E1116</f>
      </c>
    </row>
    <row r="1117">
      <c r="A1117" t="s">
        <v>226</v>
      </c>
      <c r="B1117" t="s">
        <v>228</v>
      </c>
      <c r="C1117" s="72" t="n">
        <v>2028</v>
      </c>
      <c r="D1117" t="s">
        <v>184</v>
      </c>
      <c r="E1117" s="73" t="n">
        <v>100248.920248293</v>
      </c>
      <c r="F1117" s="74" t="n">
        <v>68788.2402590847</v>
      </c>
      <c r="G1117" s="75" t="n">
        <v>101797.96761407</v>
      </c>
      <c r="H1117" s="76" t="n">
        <v>69019.933123165</v>
      </c>
      <c r="I1117" s="77" t="str">
        <f>H1117-F1117</f>
      </c>
      <c r="J1117" s="78" t="str">
        <f>G1117-E1117</f>
      </c>
    </row>
    <row r="1118">
      <c r="A1118" t="s">
        <v>226</v>
      </c>
      <c r="B1118" t="s">
        <v>228</v>
      </c>
      <c r="C1118" s="72" t="n">
        <v>2028</v>
      </c>
      <c r="D1118" t="s">
        <v>187</v>
      </c>
      <c r="E1118" s="73" t="n">
        <v>349569.080777751</v>
      </c>
      <c r="F1118" s="74" t="n">
        <v>323848.633120891</v>
      </c>
      <c r="G1118" s="75" t="n">
        <v>354965.535819133</v>
      </c>
      <c r="H1118" s="76" t="n">
        <v>325690.683016893</v>
      </c>
      <c r="I1118" s="77" t="str">
        <f>H1118-F1118</f>
      </c>
      <c r="J1118" s="78" t="str">
        <f>G1118-E1118</f>
      </c>
    </row>
    <row r="1119">
      <c r="A1119" t="s">
        <v>226</v>
      </c>
      <c r="B1119" t="s">
        <v>228</v>
      </c>
      <c r="C1119" s="72" t="n">
        <v>2028</v>
      </c>
      <c r="D1119" t="s">
        <v>190</v>
      </c>
      <c r="E1119" s="73" t="n">
        <v>602763.540121506</v>
      </c>
      <c r="F1119" s="74" t="n">
        <v>355504.59382113</v>
      </c>
      <c r="G1119" s="75" t="n">
        <v>612031.659444751</v>
      </c>
      <c r="H1119" s="76" t="n">
        <v>356073.571438059</v>
      </c>
      <c r="I1119" s="77" t="str">
        <f>H1119-F1119</f>
      </c>
      <c r="J1119" s="78" t="str">
        <f>G1119-E1119</f>
      </c>
    </row>
    <row r="1120">
      <c r="A1120" t="s">
        <v>226</v>
      </c>
      <c r="B1120" t="s">
        <v>228</v>
      </c>
      <c r="C1120" s="72" t="n">
        <v>2028</v>
      </c>
      <c r="D1120" t="s">
        <v>193</v>
      </c>
      <c r="E1120" s="73" t="n">
        <v>430545.476114132</v>
      </c>
      <c r="F1120" s="74" t="n">
        <v>221450.215288651</v>
      </c>
      <c r="G1120" s="75" t="n">
        <v>437159.755191958</v>
      </c>
      <c r="H1120" s="76" t="n">
        <v>221908.958563303</v>
      </c>
      <c r="I1120" s="77" t="str">
        <f>H1120-F1120</f>
      </c>
      <c r="J1120" s="78" t="str">
        <f>G1120-E1120</f>
      </c>
    </row>
    <row r="1121">
      <c r="A1121" t="s">
        <v>226</v>
      </c>
      <c r="B1121" t="s">
        <v>228</v>
      </c>
      <c r="C1121" s="72" t="n">
        <v>2028</v>
      </c>
      <c r="D1121" t="s">
        <v>424</v>
      </c>
      <c r="E1121" s="73" t="n">
        <v>44510.117075377</v>
      </c>
      <c r="F1121" s="74" t="n">
        <v>7131.07016356498</v>
      </c>
      <c r="G1121" s="75" t="n">
        <v>44510.0649629929</v>
      </c>
      <c r="H1121" s="76" t="n">
        <v>7131.07016356498</v>
      </c>
      <c r="I1121" s="77" t="str">
        <f>H1121-F1121</f>
      </c>
      <c r="J1121" s="78" t="str">
        <f>G1121-E1121</f>
      </c>
    </row>
    <row r="1122">
      <c r="A1122" t="s">
        <v>226</v>
      </c>
      <c r="B1122" t="s">
        <v>228</v>
      </c>
      <c r="C1122" s="72" t="n">
        <v>2029</v>
      </c>
      <c r="D1122" t="s">
        <v>176</v>
      </c>
      <c r="E1122" s="73" t="n">
        <v>14182.8688314908</v>
      </c>
      <c r="F1122" s="74" t="n">
        <v>10301.3052356148</v>
      </c>
      <c r="G1122" s="75" t="n">
        <v>14181.4236375467</v>
      </c>
      <c r="H1122" s="76" t="n">
        <v>10301.2295792609</v>
      </c>
      <c r="I1122" s="77" t="str">
        <f>H1122-F1122</f>
      </c>
      <c r="J1122" s="78" t="str">
        <f>G1122-E1122</f>
      </c>
    </row>
    <row r="1123">
      <c r="A1123" t="s">
        <v>226</v>
      </c>
      <c r="B1123" t="s">
        <v>228</v>
      </c>
      <c r="C1123" s="72" t="n">
        <v>2029</v>
      </c>
      <c r="D1123" t="s">
        <v>238</v>
      </c>
      <c r="E1123" s="73" t="n">
        <v>1082287.09732759</v>
      </c>
      <c r="F1123" s="74" t="n">
        <v>161161.254908001</v>
      </c>
      <c r="G1123" s="75" t="n">
        <v>1082252.39423074</v>
      </c>
      <c r="H1123" s="76" t="n">
        <v>161161.062132093</v>
      </c>
      <c r="I1123" s="77" t="str">
        <f>H1123-F1123</f>
      </c>
      <c r="J1123" s="78" t="str">
        <f>G1123-E1123</f>
      </c>
    </row>
    <row r="1124">
      <c r="A1124" t="s">
        <v>226</v>
      </c>
      <c r="B1124" t="s">
        <v>228</v>
      </c>
      <c r="C1124" s="72" t="n">
        <v>2029</v>
      </c>
      <c r="D1124" t="s">
        <v>184</v>
      </c>
      <c r="E1124" s="73" t="n">
        <v>102994.245239929</v>
      </c>
      <c r="F1124" s="74" t="n">
        <v>70605.3998126612</v>
      </c>
      <c r="G1124" s="75" t="n">
        <v>105114.693344183</v>
      </c>
      <c r="H1124" s="76" t="n">
        <v>71042.0544294395</v>
      </c>
      <c r="I1124" s="77" t="str">
        <f>H1124-F1124</f>
      </c>
      <c r="J1124" s="78" t="str">
        <f>G1124-E1124</f>
      </c>
    </row>
    <row r="1125">
      <c r="A1125" t="s">
        <v>226</v>
      </c>
      <c r="B1125" t="s">
        <v>228</v>
      </c>
      <c r="C1125" s="72" t="n">
        <v>2029</v>
      </c>
      <c r="D1125" t="s">
        <v>187</v>
      </c>
      <c r="E1125" s="73" t="n">
        <v>356557.614710698</v>
      </c>
      <c r="F1125" s="74" t="n">
        <v>331126.244069374</v>
      </c>
      <c r="G1125" s="75" t="n">
        <v>363896.204247168</v>
      </c>
      <c r="H1125" s="76" t="n">
        <v>334292.677138926</v>
      </c>
      <c r="I1125" s="77" t="str">
        <f>H1125-F1125</f>
      </c>
      <c r="J1125" s="78" t="str">
        <f>G1125-E1125</f>
      </c>
    </row>
    <row r="1126">
      <c r="A1126" t="s">
        <v>226</v>
      </c>
      <c r="B1126" t="s">
        <v>228</v>
      </c>
      <c r="C1126" s="72" t="n">
        <v>2029</v>
      </c>
      <c r="D1126" t="s">
        <v>190</v>
      </c>
      <c r="E1126" s="73" t="n">
        <v>615148.213784507</v>
      </c>
      <c r="F1126" s="74" t="n">
        <v>366448.946235504</v>
      </c>
      <c r="G1126" s="75" t="n">
        <v>627726.336898794</v>
      </c>
      <c r="H1126" s="76" t="n">
        <v>367575.22274735</v>
      </c>
      <c r="I1126" s="77" t="str">
        <f>H1126-F1126</f>
      </c>
      <c r="J1126" s="78" t="str">
        <f>G1126-E1126</f>
      </c>
    </row>
    <row r="1127">
      <c r="A1127" t="s">
        <v>226</v>
      </c>
      <c r="B1127" t="s">
        <v>228</v>
      </c>
      <c r="C1127" s="72" t="n">
        <v>2029</v>
      </c>
      <c r="D1127" t="s">
        <v>193</v>
      </c>
      <c r="E1127" s="73" t="n">
        <v>441766.793526665</v>
      </c>
      <c r="F1127" s="74" t="n">
        <v>230819.540310235</v>
      </c>
      <c r="G1127" s="75" t="n">
        <v>450786.134013569</v>
      </c>
      <c r="H1127" s="76" t="n">
        <v>231708.01887569</v>
      </c>
      <c r="I1127" s="77" t="str">
        <f>H1127-F1127</f>
      </c>
      <c r="J1127" s="78" t="str">
        <f>G1127-E1127</f>
      </c>
    </row>
    <row r="1128">
      <c r="A1128" t="s">
        <v>226</v>
      </c>
      <c r="B1128" t="s">
        <v>228</v>
      </c>
      <c r="C1128" s="72" t="n">
        <v>2029</v>
      </c>
      <c r="D1128" t="s">
        <v>424</v>
      </c>
      <c r="E1128" s="73" t="n">
        <v>44600.4503202571</v>
      </c>
      <c r="F1128" s="74" t="n">
        <v>7178.22004818985</v>
      </c>
      <c r="G1128" s="75" t="n">
        <v>44600.2614435955</v>
      </c>
      <c r="H1128" s="76" t="n">
        <v>7178.21931597252</v>
      </c>
      <c r="I1128" s="77" t="str">
        <f>H1128-F1128</f>
      </c>
      <c r="J1128" s="78" t="str">
        <f>G1128-E1128</f>
      </c>
    </row>
    <row r="1129">
      <c r="A1129" t="s">
        <v>226</v>
      </c>
      <c r="B1129" t="s">
        <v>228</v>
      </c>
      <c r="C1129" s="72" t="n">
        <v>2030</v>
      </c>
      <c r="D1129" t="s">
        <v>176</v>
      </c>
      <c r="E1129" s="73" t="n">
        <v>14634.276937661</v>
      </c>
      <c r="F1129" s="74" t="n">
        <v>10630.5982910446</v>
      </c>
      <c r="G1129" s="75" t="n">
        <v>14630.9263575645</v>
      </c>
      <c r="H1129" s="76" t="n">
        <v>10630.2702680602</v>
      </c>
      <c r="I1129" s="77" t="str">
        <f>H1129-F1129</f>
      </c>
      <c r="J1129" s="78" t="str">
        <f>G1129-E1129</f>
      </c>
    </row>
    <row r="1130">
      <c r="A1130" t="s">
        <v>226</v>
      </c>
      <c r="B1130" t="s">
        <v>228</v>
      </c>
      <c r="C1130" s="72" t="n">
        <v>2030</v>
      </c>
      <c r="D1130" t="s">
        <v>238</v>
      </c>
      <c r="E1130" s="73" t="n">
        <v>1095036.30646904</v>
      </c>
      <c r="F1130" s="74" t="n">
        <v>169315.712333829</v>
      </c>
      <c r="G1130" s="75" t="n">
        <v>1094956.84444967</v>
      </c>
      <c r="H1130" s="76" t="n">
        <v>169314.834038038</v>
      </c>
      <c r="I1130" s="77" t="str">
        <f>H1130-F1130</f>
      </c>
      <c r="J1130" s="78" t="str">
        <f>G1130-E1130</f>
      </c>
    </row>
    <row r="1131">
      <c r="A1131" t="s">
        <v>226</v>
      </c>
      <c r="B1131" t="s">
        <v>228</v>
      </c>
      <c r="C1131" s="72" t="n">
        <v>2030</v>
      </c>
      <c r="D1131" t="s">
        <v>184</v>
      </c>
      <c r="E1131" s="73" t="n">
        <v>105677.997260794</v>
      </c>
      <c r="F1131" s="74" t="n">
        <v>72432.0822777086</v>
      </c>
      <c r="G1131" s="75" t="n">
        <v>108393.77376612</v>
      </c>
      <c r="H1131" s="76" t="n">
        <v>73120.8011068864</v>
      </c>
      <c r="I1131" s="77" t="str">
        <f>H1131-F1131</f>
      </c>
      <c r="J1131" s="78" t="str">
        <f>G1131-E1131</f>
      </c>
    </row>
    <row r="1132">
      <c r="A1132" t="s">
        <v>226</v>
      </c>
      <c r="B1132" t="s">
        <v>228</v>
      </c>
      <c r="C1132" s="72" t="n">
        <v>2030</v>
      </c>
      <c r="D1132" t="s">
        <v>187</v>
      </c>
      <c r="E1132" s="73" t="n">
        <v>363396.212596021</v>
      </c>
      <c r="F1132" s="74" t="n">
        <v>338230.522972338</v>
      </c>
      <c r="G1132" s="75" t="n">
        <v>372741.795461264</v>
      </c>
      <c r="H1132" s="76" t="n">
        <v>342889.635366394</v>
      </c>
      <c r="I1132" s="77" t="str">
        <f>H1132-F1132</f>
      </c>
      <c r="J1132" s="78" t="str">
        <f>G1132-E1132</f>
      </c>
    </row>
    <row r="1133">
      <c r="A1133" t="s">
        <v>226</v>
      </c>
      <c r="B1133" t="s">
        <v>228</v>
      </c>
      <c r="C1133" s="72" t="n">
        <v>2030</v>
      </c>
      <c r="D1133" t="s">
        <v>190</v>
      </c>
      <c r="E1133" s="73" t="n">
        <v>627173.445259129</v>
      </c>
      <c r="F1133" s="74" t="n">
        <v>377084.348946452</v>
      </c>
      <c r="G1133" s="75" t="n">
        <v>643154.211305628</v>
      </c>
      <c r="H1133" s="76" t="n">
        <v>378940.231267445</v>
      </c>
      <c r="I1133" s="77" t="str">
        <f>H1133-F1133</f>
      </c>
      <c r="J1133" s="78" t="str">
        <f>G1133-E1133</f>
      </c>
    </row>
    <row r="1134">
      <c r="A1134" t="s">
        <v>226</v>
      </c>
      <c r="B1134" t="s">
        <v>228</v>
      </c>
      <c r="C1134" s="72" t="n">
        <v>2030</v>
      </c>
      <c r="D1134" t="s">
        <v>193</v>
      </c>
      <c r="E1134" s="73" t="n">
        <v>452847.095198658</v>
      </c>
      <c r="F1134" s="74" t="n">
        <v>239871.087099842</v>
      </c>
      <c r="G1134" s="75" t="n">
        <v>464360.518103772</v>
      </c>
      <c r="H1134" s="76" t="n">
        <v>241310.309903655</v>
      </c>
      <c r="I1134" s="77" t="str">
        <f>H1134-F1134</f>
      </c>
      <c r="J1134" s="78" t="str">
        <f>G1134-E1134</f>
      </c>
    </row>
    <row r="1135">
      <c r="A1135" t="s">
        <v>226</v>
      </c>
      <c r="B1135" t="s">
        <v>228</v>
      </c>
      <c r="C1135" s="72" t="n">
        <v>2030</v>
      </c>
      <c r="D1135" t="s">
        <v>424</v>
      </c>
      <c r="E1135" s="73" t="n">
        <v>44647.704746436</v>
      </c>
      <c r="F1135" s="74" t="n">
        <v>7223.11358902008</v>
      </c>
      <c r="G1135" s="75" t="n">
        <v>44647.268915283</v>
      </c>
      <c r="H1135" s="76" t="n">
        <v>7223.11031474236</v>
      </c>
      <c r="I1135" s="77" t="str">
        <f>H1135-F1135</f>
      </c>
      <c r="J1135" s="78" t="str">
        <f>G1135-E1135</f>
      </c>
    </row>
    <row r="1136">
      <c r="A1136" t="s">
        <v>226</v>
      </c>
      <c r="B1136" t="s">
        <v>228</v>
      </c>
      <c r="C1136" s="72" t="n">
        <v>2031</v>
      </c>
      <c r="D1136" t="s">
        <v>176</v>
      </c>
      <c r="E1136" s="73" t="n">
        <v>15086.6868780356</v>
      </c>
      <c r="F1136" s="74" t="n">
        <v>10956.2945009914</v>
      </c>
      <c r="G1136" s="75" t="n">
        <v>15080.3825495532</v>
      </c>
      <c r="H1136" s="76" t="n">
        <v>10955.4255331558</v>
      </c>
      <c r="I1136" s="77" t="str">
        <f>H1136-F1136</f>
      </c>
      <c r="J1136" s="78" t="str">
        <f>G1136-E1136</f>
      </c>
    </row>
    <row r="1137">
      <c r="A1137" t="s">
        <v>226</v>
      </c>
      <c r="B1137" t="s">
        <v>228</v>
      </c>
      <c r="C1137" s="72" t="n">
        <v>2031</v>
      </c>
      <c r="D1137" t="s">
        <v>238</v>
      </c>
      <c r="E1137" s="73" t="n">
        <v>1107175.08715976</v>
      </c>
      <c r="F1137" s="74" t="n">
        <v>177513.338901942</v>
      </c>
      <c r="G1137" s="75" t="n">
        <v>1107027.69162894</v>
      </c>
      <c r="H1137" s="76" t="n">
        <v>177510.906196669</v>
      </c>
      <c r="I1137" s="77" t="str">
        <f>H1137-F1137</f>
      </c>
      <c r="J1137" s="78" t="str">
        <f>G1137-E1137</f>
      </c>
    </row>
    <row r="1138">
      <c r="A1138" t="s">
        <v>226</v>
      </c>
      <c r="B1138" t="s">
        <v>228</v>
      </c>
      <c r="C1138" s="72" t="n">
        <v>2031</v>
      </c>
      <c r="D1138" t="s">
        <v>184</v>
      </c>
      <c r="E1138" s="73" t="n">
        <v>108856.513405796</v>
      </c>
      <c r="F1138" s="74" t="n">
        <v>74248.9214715348</v>
      </c>
      <c r="G1138" s="75" t="n">
        <v>111632.947554352</v>
      </c>
      <c r="H1138" s="76" t="n">
        <v>75230.219664338</v>
      </c>
      <c r="I1138" s="77" t="str">
        <f>H1138-F1138</f>
      </c>
      <c r="J1138" s="78" t="str">
        <f>G1138-E1138</f>
      </c>
    </row>
    <row r="1139">
      <c r="A1139" t="s">
        <v>226</v>
      </c>
      <c r="B1139" t="s">
        <v>228</v>
      </c>
      <c r="C1139" s="72" t="n">
        <v>2031</v>
      </c>
      <c r="D1139" t="s">
        <v>187</v>
      </c>
      <c r="E1139" s="73" t="n">
        <v>371959.935574206</v>
      </c>
      <c r="F1139" s="74" t="n">
        <v>345147.730217647</v>
      </c>
      <c r="G1139" s="75" t="n">
        <v>381470.266781021</v>
      </c>
      <c r="H1139" s="76" t="n">
        <v>351432.518672951</v>
      </c>
      <c r="I1139" s="77" t="str">
        <f>H1139-F1139</f>
      </c>
      <c r="J1139" s="78" t="str">
        <f>G1139-E1139</f>
      </c>
    </row>
    <row r="1140">
      <c r="A1140" t="s">
        <v>226</v>
      </c>
      <c r="B1140" t="s">
        <v>228</v>
      </c>
      <c r="C1140" s="72" t="n">
        <v>2031</v>
      </c>
      <c r="D1140" t="s">
        <v>190</v>
      </c>
      <c r="E1140" s="73" t="n">
        <v>642099.50469881</v>
      </c>
      <c r="F1140" s="74" t="n">
        <v>387431.128823146</v>
      </c>
      <c r="G1140" s="75" t="n">
        <v>658282.149268814</v>
      </c>
      <c r="H1140" s="76" t="n">
        <v>390181.003020302</v>
      </c>
      <c r="I1140" s="77" t="str">
        <f>H1140-F1140</f>
      </c>
      <c r="J1140" s="78" t="str">
        <f>G1140-E1140</f>
      </c>
    </row>
    <row r="1141">
      <c r="A1141" t="s">
        <v>226</v>
      </c>
      <c r="B1141" t="s">
        <v>228</v>
      </c>
      <c r="C1141" s="72" t="n">
        <v>2031</v>
      </c>
      <c r="D1141" t="s">
        <v>193</v>
      </c>
      <c r="E1141" s="73" t="n">
        <v>466073.695406378</v>
      </c>
      <c r="F1141" s="74" t="n">
        <v>248712.201105128</v>
      </c>
      <c r="G1141" s="75" t="n">
        <v>477778.146047482</v>
      </c>
      <c r="H1141" s="76" t="n">
        <v>250815.782662592</v>
      </c>
      <c r="I1141" s="77" t="str">
        <f>H1141-F1141</f>
      </c>
      <c r="J1141" s="78" t="str">
        <f>G1141-E1141</f>
      </c>
    </row>
    <row r="1142">
      <c r="A1142" t="s">
        <v>226</v>
      </c>
      <c r="B1142" t="s">
        <v>228</v>
      </c>
      <c r="C1142" s="72" t="n">
        <v>2031</v>
      </c>
      <c r="D1142" t="s">
        <v>424</v>
      </c>
      <c r="E1142" s="73" t="n">
        <v>44641.1613202233</v>
      </c>
      <c r="F1142" s="74" t="n">
        <v>7266.77489513454</v>
      </c>
      <c r="G1142" s="75" t="n">
        <v>44640.3472954778</v>
      </c>
      <c r="H1142" s="76" t="n">
        <v>7266.76600020754</v>
      </c>
      <c r="I1142" s="77" t="str">
        <f>H1142-F1142</f>
      </c>
      <c r="J1142" s="78" t="str">
        <f>G1142-E1142</f>
      </c>
    </row>
    <row r="1143">
      <c r="A1143" t="s">
        <v>226</v>
      </c>
      <c r="B1143" t="s">
        <v>228</v>
      </c>
      <c r="C1143" s="72" t="n">
        <v>2032</v>
      </c>
      <c r="D1143" t="s">
        <v>176</v>
      </c>
      <c r="E1143" s="73" t="n">
        <v>15541.7446291982</v>
      </c>
      <c r="F1143" s="74" t="n">
        <v>11276.3066373185</v>
      </c>
      <c r="G1143" s="75" t="n">
        <v>15531.2601955666</v>
      </c>
      <c r="H1143" s="76" t="n">
        <v>11274.4954497352</v>
      </c>
      <c r="I1143" s="77" t="str">
        <f>H1143-F1143</f>
      </c>
      <c r="J1143" s="78" t="str">
        <f>G1143-E1143</f>
      </c>
    </row>
    <row r="1144">
      <c r="A1144" t="s">
        <v>226</v>
      </c>
      <c r="B1144" t="s">
        <v>228</v>
      </c>
      <c r="C1144" s="72" t="n">
        <v>2032</v>
      </c>
      <c r="D1144" t="s">
        <v>238</v>
      </c>
      <c r="E1144" s="73" t="n">
        <v>1118718.65543781</v>
      </c>
      <c r="F1144" s="74" t="n">
        <v>185731.278257387</v>
      </c>
      <c r="G1144" s="75" t="n">
        <v>1118477.32749824</v>
      </c>
      <c r="H1144" s="76" t="n">
        <v>185725.999058801</v>
      </c>
      <c r="I1144" s="77" t="str">
        <f>H1144-F1144</f>
      </c>
      <c r="J1144" s="78" t="str">
        <f>G1144-E1144</f>
      </c>
    </row>
    <row r="1145">
      <c r="A1145" t="s">
        <v>226</v>
      </c>
      <c r="B1145" t="s">
        <v>228</v>
      </c>
      <c r="C1145" s="72" t="n">
        <v>2032</v>
      </c>
      <c r="D1145" t="s">
        <v>184</v>
      </c>
      <c r="E1145" s="73" t="n">
        <v>112005.804176959</v>
      </c>
      <c r="F1145" s="74" t="n">
        <v>76137.1146176906</v>
      </c>
      <c r="G1145" s="75" t="n">
        <v>114835.221802653</v>
      </c>
      <c r="H1145" s="76" t="n">
        <v>77353.0610239329</v>
      </c>
      <c r="I1145" s="77" t="str">
        <f>H1145-F1145</f>
      </c>
      <c r="J1145" s="78" t="str">
        <f>G1145-E1145</f>
      </c>
    </row>
    <row r="1146">
      <c r="A1146" t="s">
        <v>226</v>
      </c>
      <c r="B1146" t="s">
        <v>228</v>
      </c>
      <c r="C1146" s="72" t="n">
        <v>2032</v>
      </c>
      <c r="D1146" t="s">
        <v>187</v>
      </c>
      <c r="E1146" s="73" t="n">
        <v>380338.410248424</v>
      </c>
      <c r="F1146" s="74" t="n">
        <v>352669.952244477</v>
      </c>
      <c r="G1146" s="75" t="n">
        <v>389998.376688754</v>
      </c>
      <c r="H1146" s="76" t="n">
        <v>359834.546852866</v>
      </c>
      <c r="I1146" s="77" t="str">
        <f>H1146-F1146</f>
      </c>
      <c r="J1146" s="78" t="str">
        <f>G1146-E1146</f>
      </c>
    </row>
    <row r="1147">
      <c r="A1147" t="s">
        <v>226</v>
      </c>
      <c r="B1147" t="s">
        <v>228</v>
      </c>
      <c r="C1147" s="72" t="n">
        <v>2032</v>
      </c>
      <c r="D1147" t="s">
        <v>190</v>
      </c>
      <c r="E1147" s="73" t="n">
        <v>656781.206631912</v>
      </c>
      <c r="F1147" s="74" t="n">
        <v>397741.424940086</v>
      </c>
      <c r="G1147" s="75" t="n">
        <v>673133.888273266</v>
      </c>
      <c r="H1147" s="76" t="n">
        <v>401318.286193472</v>
      </c>
      <c r="I1147" s="77" t="str">
        <f>H1147-F1147</f>
      </c>
      <c r="J1147" s="78" t="str">
        <f>G1147-E1147</f>
      </c>
    </row>
    <row r="1148">
      <c r="A1148" t="s">
        <v>226</v>
      </c>
      <c r="B1148" t="s">
        <v>228</v>
      </c>
      <c r="C1148" s="72" t="n">
        <v>2032</v>
      </c>
      <c r="D1148" t="s">
        <v>193</v>
      </c>
      <c r="E1148" s="73" t="n">
        <v>479039.688590552</v>
      </c>
      <c r="F1148" s="74" t="n">
        <v>257674.256001592</v>
      </c>
      <c r="G1148" s="75" t="n">
        <v>490904.70344578</v>
      </c>
      <c r="H1148" s="76" t="n">
        <v>260346.937343717</v>
      </c>
      <c r="I1148" s="77" t="str">
        <f>H1148-F1148</f>
      </c>
      <c r="J1148" s="78" t="str">
        <f>G1148-E1148</f>
      </c>
    </row>
    <row r="1149">
      <c r="A1149" t="s">
        <v>226</v>
      </c>
      <c r="B1149" t="s">
        <v>228</v>
      </c>
      <c r="C1149" s="72" t="n">
        <v>2032</v>
      </c>
      <c r="D1149" t="s">
        <v>424</v>
      </c>
      <c r="E1149" s="73" t="n">
        <v>44584.5863987642</v>
      </c>
      <c r="F1149" s="74" t="n">
        <v>7308.70850693158</v>
      </c>
      <c r="G1149" s="75" t="n">
        <v>44583.2455015959</v>
      </c>
      <c r="H1149" s="76" t="n">
        <v>7308.68956833998</v>
      </c>
      <c r="I1149" s="77" t="str">
        <f>H1149-F1149</f>
      </c>
      <c r="J1149" s="78" t="str">
        <f>G1149-E1149</f>
      </c>
    </row>
    <row r="1150">
      <c r="A1150" t="s">
        <v>226</v>
      </c>
      <c r="B1150" t="s">
        <v>228</v>
      </c>
      <c r="C1150" s="72" t="n">
        <v>2033</v>
      </c>
      <c r="D1150" t="s">
        <v>176</v>
      </c>
      <c r="E1150" s="73" t="n">
        <v>15999.24214699</v>
      </c>
      <c r="F1150" s="74" t="n">
        <v>11590.2004969796</v>
      </c>
      <c r="G1150" s="75" t="n">
        <v>15983.7175379286</v>
      </c>
      <c r="H1150" s="76" t="n">
        <v>11586.9335708044</v>
      </c>
      <c r="I1150" s="77" t="str">
        <f>H1150-F1150</f>
      </c>
      <c r="J1150" s="78" t="str">
        <f>G1150-E1150</f>
      </c>
    </row>
    <row r="1151">
      <c r="A1151" t="s">
        <v>226</v>
      </c>
      <c r="B1151" t="s">
        <v>228</v>
      </c>
      <c r="C1151" s="72" t="n">
        <v>2033</v>
      </c>
      <c r="D1151" t="s">
        <v>238</v>
      </c>
      <c r="E1151" s="73" t="n">
        <v>1129585.70649542</v>
      </c>
      <c r="F1151" s="74" t="n">
        <v>193963.102544201</v>
      </c>
      <c r="G1151" s="75" t="n">
        <v>1129233.47845058</v>
      </c>
      <c r="H1151" s="76" t="n">
        <v>193953.224223645</v>
      </c>
      <c r="I1151" s="77" t="str">
        <f>H1151-F1151</f>
      </c>
      <c r="J1151" s="78" t="str">
        <f>G1151-E1151</f>
      </c>
    </row>
    <row r="1152">
      <c r="A1152" t="s">
        <v>226</v>
      </c>
      <c r="B1152" t="s">
        <v>228</v>
      </c>
      <c r="C1152" s="72" t="n">
        <v>2033</v>
      </c>
      <c r="D1152" t="s">
        <v>184</v>
      </c>
      <c r="E1152" s="73" t="n">
        <v>115121.984827589</v>
      </c>
      <c r="F1152" s="74" t="n">
        <v>78073.8114899869</v>
      </c>
      <c r="G1152" s="75" t="n">
        <v>117998.738437442</v>
      </c>
      <c r="H1152" s="76" t="n">
        <v>79480.4761690429</v>
      </c>
      <c r="I1152" s="77" t="str">
        <f>H1152-F1152</f>
      </c>
      <c r="J1152" s="78" t="str">
        <f>G1152-E1152</f>
      </c>
    </row>
    <row r="1153">
      <c r="A1153" t="s">
        <v>226</v>
      </c>
      <c r="B1153" t="s">
        <v>228</v>
      </c>
      <c r="C1153" s="72" t="n">
        <v>2033</v>
      </c>
      <c r="D1153" t="s">
        <v>187</v>
      </c>
      <c r="E1153" s="73" t="n">
        <v>388557.649682855</v>
      </c>
      <c r="F1153" s="74" t="n">
        <v>360296.99121779</v>
      </c>
      <c r="G1153" s="75" t="n">
        <v>398354.344992358</v>
      </c>
      <c r="H1153" s="76" t="n">
        <v>368051.624575443</v>
      </c>
      <c r="I1153" s="77" t="str">
        <f>H1153-F1153</f>
      </c>
      <c r="J1153" s="78" t="str">
        <f>G1153-E1153</f>
      </c>
    </row>
    <row r="1154">
      <c r="A1154" t="s">
        <v>226</v>
      </c>
      <c r="B1154" t="s">
        <v>228</v>
      </c>
      <c r="C1154" s="72" t="n">
        <v>2033</v>
      </c>
      <c r="D1154" t="s">
        <v>190</v>
      </c>
      <c r="E1154" s="73" t="n">
        <v>671135.812829802</v>
      </c>
      <c r="F1154" s="74" t="n">
        <v>408005.358149408</v>
      </c>
      <c r="G1154" s="75" t="n">
        <v>687634.699546926</v>
      </c>
      <c r="H1154" s="76" t="n">
        <v>412348.075678578</v>
      </c>
      <c r="I1154" s="77" t="str">
        <f>H1154-F1154</f>
      </c>
      <c r="J1154" s="78" t="str">
        <f>G1154-E1154</f>
      </c>
    </row>
    <row r="1155">
      <c r="A1155" t="s">
        <v>226</v>
      </c>
      <c r="B1155" t="s">
        <v>228</v>
      </c>
      <c r="C1155" s="72" t="n">
        <v>2033</v>
      </c>
      <c r="D1155" t="s">
        <v>193</v>
      </c>
      <c r="E1155" s="73" t="n">
        <v>491748.16678695</v>
      </c>
      <c r="F1155" s="74" t="n">
        <v>266704.086925483</v>
      </c>
      <c r="G1155" s="75" t="n">
        <v>503751.109420694</v>
      </c>
      <c r="H1155" s="76" t="n">
        <v>269883.407599987</v>
      </c>
      <c r="I1155" s="77" t="str">
        <f>H1155-F1155</f>
      </c>
      <c r="J1155" s="78" t="str">
        <f>G1155-E1155</f>
      </c>
    </row>
    <row r="1156">
      <c r="A1156" t="s">
        <v>226</v>
      </c>
      <c r="B1156" t="s">
        <v>228</v>
      </c>
      <c r="C1156" s="72" t="n">
        <v>2033</v>
      </c>
      <c r="D1156" t="s">
        <v>424</v>
      </c>
      <c r="E1156" s="73" t="n">
        <v>44485.6514360917</v>
      </c>
      <c r="F1156" s="74" t="n">
        <v>7348.10889998883</v>
      </c>
      <c r="G1156" s="75" t="n">
        <v>44483.6835898413</v>
      </c>
      <c r="H1156" s="76" t="n">
        <v>7348.07414732206</v>
      </c>
      <c r="I1156" s="77" t="str">
        <f>H1156-F1156</f>
      </c>
      <c r="J1156" s="78" t="str">
        <f>G1156-E1156</f>
      </c>
    </row>
    <row r="1157">
      <c r="A1157" t="s">
        <v>226</v>
      </c>
      <c r="B1157" t="s">
        <v>228</v>
      </c>
      <c r="C1157" s="72" t="n">
        <v>2034</v>
      </c>
      <c r="D1157" t="s">
        <v>176</v>
      </c>
      <c r="E1157" s="73" t="n">
        <v>16458.2019658289</v>
      </c>
      <c r="F1157" s="74" t="n">
        <v>11901.620734759</v>
      </c>
      <c r="G1157" s="75" t="n">
        <v>16436.9312806497</v>
      </c>
      <c r="H1157" s="76" t="n">
        <v>11896.3823187386</v>
      </c>
      <c r="I1157" s="77" t="str">
        <f>H1157-F1157</f>
      </c>
      <c r="J1157" s="78" t="str">
        <f>G1157-E1157</f>
      </c>
    </row>
    <row r="1158">
      <c r="A1158" t="s">
        <v>226</v>
      </c>
      <c r="B1158" t="s">
        <v>228</v>
      </c>
      <c r="C1158" s="72" t="n">
        <v>2034</v>
      </c>
      <c r="D1158" t="s">
        <v>238</v>
      </c>
      <c r="E1158" s="73" t="n">
        <v>1139832.57740658</v>
      </c>
      <c r="F1158" s="74" t="n">
        <v>202163.730679338</v>
      </c>
      <c r="G1158" s="75" t="n">
        <v>1139357.01951607</v>
      </c>
      <c r="H1158" s="76" t="n">
        <v>202147.27044605</v>
      </c>
      <c r="I1158" s="77" t="str">
        <f>H1158-F1158</f>
      </c>
      <c r="J1158" s="78" t="str">
        <f>G1158-E1158</f>
      </c>
    </row>
    <row r="1159">
      <c r="A1159" t="s">
        <v>226</v>
      </c>
      <c r="B1159" t="s">
        <v>228</v>
      </c>
      <c r="C1159" s="72" t="n">
        <v>2034</v>
      </c>
      <c r="D1159" t="s">
        <v>184</v>
      </c>
      <c r="E1159" s="73" t="n">
        <v>118186.483110052</v>
      </c>
      <c r="F1159" s="74" t="n">
        <v>80031.4829271004</v>
      </c>
      <c r="G1159" s="75" t="n">
        <v>121105.471839437</v>
      </c>
      <c r="H1159" s="76" t="n">
        <v>81594.9482339212</v>
      </c>
      <c r="I1159" s="77" t="str">
        <f>H1159-F1159</f>
      </c>
      <c r="J1159" s="78" t="str">
        <f>G1159-E1159</f>
      </c>
    </row>
    <row r="1160">
      <c r="A1160" t="s">
        <v>226</v>
      </c>
      <c r="B1160" t="s">
        <v>228</v>
      </c>
      <c r="C1160" s="72" t="n">
        <v>2034</v>
      </c>
      <c r="D1160" t="s">
        <v>187</v>
      </c>
      <c r="E1160" s="73" t="n">
        <v>396637.66693794</v>
      </c>
      <c r="F1160" s="74" t="n">
        <v>367843.583637844</v>
      </c>
      <c r="G1160" s="75" t="n">
        <v>406559.867353788</v>
      </c>
      <c r="H1160" s="76" t="n">
        <v>376028.132278335</v>
      </c>
      <c r="I1160" s="77" t="str">
        <f>H1160-F1160</f>
      </c>
      <c r="J1160" s="78" t="str">
        <f>G1160-E1160</f>
      </c>
    </row>
    <row r="1161">
      <c r="A1161" t="s">
        <v>226</v>
      </c>
      <c r="B1161" t="s">
        <v>228</v>
      </c>
      <c r="C1161" s="72" t="n">
        <v>2034</v>
      </c>
      <c r="D1161" t="s">
        <v>190</v>
      </c>
      <c r="E1161" s="73" t="n">
        <v>685068.261435539</v>
      </c>
      <c r="F1161" s="74" t="n">
        <v>418205.719822785</v>
      </c>
      <c r="G1161" s="75" t="n">
        <v>701691.677358768</v>
      </c>
      <c r="H1161" s="76" t="n">
        <v>423259.100590806</v>
      </c>
      <c r="I1161" s="77" t="str">
        <f>H1161-F1161</f>
      </c>
      <c r="J1161" s="78" t="str">
        <f>G1161-E1161</f>
      </c>
    </row>
    <row r="1162">
      <c r="A1162" t="s">
        <v>226</v>
      </c>
      <c r="B1162" t="s">
        <v>228</v>
      </c>
      <c r="C1162" s="72" t="n">
        <v>2034</v>
      </c>
      <c r="D1162" t="s">
        <v>193</v>
      </c>
      <c r="E1162" s="73" t="n">
        <v>504283.203849628</v>
      </c>
      <c r="F1162" s="74" t="n">
        <v>275846.444700922</v>
      </c>
      <c r="G1162" s="75" t="n">
        <v>516406.53850878</v>
      </c>
      <c r="H1162" s="76" t="n">
        <v>279484.980285229</v>
      </c>
      <c r="I1162" s="77" t="str">
        <f>H1162-F1162</f>
      </c>
      <c r="J1162" s="78" t="str">
        <f>G1162-E1162</f>
      </c>
    </row>
    <row r="1163">
      <c r="A1163" t="s">
        <v>226</v>
      </c>
      <c r="B1163" t="s">
        <v>228</v>
      </c>
      <c r="C1163" s="72" t="n">
        <v>2034</v>
      </c>
      <c r="D1163" t="s">
        <v>424</v>
      </c>
      <c r="E1163" s="73" t="n">
        <v>44357.8545476359</v>
      </c>
      <c r="F1163" s="74" t="n">
        <v>7385.09763527183</v>
      </c>
      <c r="G1163" s="75" t="n">
        <v>44355.184450179</v>
      </c>
      <c r="H1163" s="76" t="n">
        <v>7385.04094675217</v>
      </c>
      <c r="I1163" s="77" t="str">
        <f>H1163-F1163</f>
      </c>
      <c r="J1163" s="78" t="str">
        <f>G1163-E1163</f>
      </c>
    </row>
    <row r="1164">
      <c r="A1164" t="s">
        <v>226</v>
      </c>
      <c r="B1164" t="s">
        <v>228</v>
      </c>
      <c r="C1164" s="72" t="n">
        <v>2035</v>
      </c>
      <c r="D1164" t="s">
        <v>176</v>
      </c>
      <c r="E1164" s="73" t="n">
        <v>16919.8433204869</v>
      </c>
      <c r="F1164" s="74" t="n">
        <v>12210.7532153945</v>
      </c>
      <c r="G1164" s="75" t="n">
        <v>16892.2141390053</v>
      </c>
      <c r="H1164" s="76" t="n">
        <v>12203.0577178634</v>
      </c>
      <c r="I1164" s="77" t="str">
        <f>H1164-F1164</f>
      </c>
      <c r="J1164" s="78" t="str">
        <f>G1164-E1164</f>
      </c>
    </row>
    <row r="1165">
      <c r="A1165" t="s">
        <v>226</v>
      </c>
      <c r="B1165" t="s">
        <v>228</v>
      </c>
      <c r="C1165" s="72" t="n">
        <v>2035</v>
      </c>
      <c r="D1165" t="s">
        <v>238</v>
      </c>
      <c r="E1165" s="73" t="n">
        <v>1149580.39135867</v>
      </c>
      <c r="F1165" s="74" t="n">
        <v>210316.125186919</v>
      </c>
      <c r="G1165" s="75" t="n">
        <v>1148972.16574985</v>
      </c>
      <c r="H1165" s="76" t="n">
        <v>210290.980527925</v>
      </c>
      <c r="I1165" s="77" t="str">
        <f>H1165-F1165</f>
      </c>
      <c r="J1165" s="78" t="str">
        <f>G1165-E1165</f>
      </c>
    </row>
    <row r="1166">
      <c r="A1166" t="s">
        <v>226</v>
      </c>
      <c r="B1166" t="s">
        <v>228</v>
      </c>
      <c r="C1166" s="72" t="n">
        <v>2035</v>
      </c>
      <c r="D1166" t="s">
        <v>184</v>
      </c>
      <c r="E1166" s="73" t="n">
        <v>121191.582828158</v>
      </c>
      <c r="F1166" s="74" t="n">
        <v>82001.4646735234</v>
      </c>
      <c r="G1166" s="75" t="n">
        <v>124148.207195844</v>
      </c>
      <c r="H1166" s="76" t="n">
        <v>83695.1178728798</v>
      </c>
      <c r="I1166" s="77" t="str">
        <f>H1166-F1166</f>
      </c>
      <c r="J1166" s="78" t="str">
        <f>G1166-E1166</f>
      </c>
    </row>
    <row r="1167">
      <c r="A1167" t="s">
        <v>226</v>
      </c>
      <c r="B1167" t="s">
        <v>228</v>
      </c>
      <c r="C1167" s="72" t="n">
        <v>2035</v>
      </c>
      <c r="D1167" t="s">
        <v>187</v>
      </c>
      <c r="E1167" s="73" t="n">
        <v>404497.76006508</v>
      </c>
      <c r="F1167" s="74" t="n">
        <v>375272.815232064</v>
      </c>
      <c r="G1167" s="75" t="n">
        <v>414533.160603145</v>
      </c>
      <c r="H1167" s="76" t="n">
        <v>383788.762526672</v>
      </c>
      <c r="I1167" s="77" t="str">
        <f>H1167-F1167</f>
      </c>
      <c r="J1167" s="78" t="str">
        <f>G1167-E1167</f>
      </c>
    </row>
    <row r="1168">
      <c r="A1168" t="s">
        <v>226</v>
      </c>
      <c r="B1168" t="s">
        <v>228</v>
      </c>
      <c r="C1168" s="72" t="n">
        <v>2035</v>
      </c>
      <c r="D1168" t="s">
        <v>190</v>
      </c>
      <c r="E1168" s="73" t="n">
        <v>698602.050821467</v>
      </c>
      <c r="F1168" s="74" t="n">
        <v>428367.332429372</v>
      </c>
      <c r="G1168" s="75" t="n">
        <v>715331.788822102</v>
      </c>
      <c r="H1168" s="76" t="n">
        <v>434082.031551195</v>
      </c>
      <c r="I1168" s="77" t="str">
        <f>H1168-F1168</f>
      </c>
      <c r="J1168" s="78" t="str">
        <f>G1168-E1168</f>
      </c>
    </row>
    <row r="1169">
      <c r="A1169" t="s">
        <v>226</v>
      </c>
      <c r="B1169" t="s">
        <v>228</v>
      </c>
      <c r="C1169" s="72" t="n">
        <v>2035</v>
      </c>
      <c r="D1169" t="s">
        <v>193</v>
      </c>
      <c r="E1169" s="73" t="n">
        <v>516591.489221665</v>
      </c>
      <c r="F1169" s="74" t="n">
        <v>285092.148713833</v>
      </c>
      <c r="G1169" s="75" t="n">
        <v>528818.371883953</v>
      </c>
      <c r="H1169" s="76" t="n">
        <v>289150.802435983</v>
      </c>
      <c r="I1169" s="77" t="str">
        <f>H1169-F1169</f>
      </c>
      <c r="J1169" s="78" t="str">
        <f>G1169-E1169</f>
      </c>
    </row>
    <row r="1170">
      <c r="A1170" t="s">
        <v>226</v>
      </c>
      <c r="B1170" t="s">
        <v>228</v>
      </c>
      <c r="C1170" s="72" t="n">
        <v>2035</v>
      </c>
      <c r="D1170" t="s">
        <v>424</v>
      </c>
      <c r="E1170" s="73" t="n">
        <v>44210.1381983963</v>
      </c>
      <c r="F1170" s="74" t="n">
        <v>7420.06351621139</v>
      </c>
      <c r="G1170" s="75" t="n">
        <v>44206.7073067121</v>
      </c>
      <c r="H1170" s="76" t="n">
        <v>7419.97885519321</v>
      </c>
      <c r="I1170" s="77" t="str">
        <f>H1170-F1170</f>
      </c>
      <c r="J1170" s="78" t="str">
        <f>G1170-E1170</f>
      </c>
    </row>
    <row r="1171">
      <c r="A1171" t="s">
        <v>226</v>
      </c>
      <c r="B1171" t="s">
        <v>228</v>
      </c>
      <c r="C1171" s="72" t="n">
        <v>2036</v>
      </c>
      <c r="D1171" t="s">
        <v>176</v>
      </c>
      <c r="E1171" s="73" t="n">
        <v>17385.1951961729</v>
      </c>
      <c r="F1171" s="74" t="n">
        <v>12517.4993966713</v>
      </c>
      <c r="G1171" s="75" t="n">
        <v>17350.6546269342</v>
      </c>
      <c r="H1171" s="76" t="n">
        <v>12506.9021026876</v>
      </c>
      <c r="I1171" s="77" t="str">
        <f>H1171-F1171</f>
      </c>
      <c r="J1171" s="78" t="str">
        <f>G1171-E1171</f>
      </c>
    </row>
    <row r="1172">
      <c r="A1172" t="s">
        <v>226</v>
      </c>
      <c r="B1172" t="s">
        <v>228</v>
      </c>
      <c r="C1172" s="72" t="n">
        <v>2036</v>
      </c>
      <c r="D1172" t="s">
        <v>238</v>
      </c>
      <c r="E1172" s="73" t="n">
        <v>1159014.06577038</v>
      </c>
      <c r="F1172" s="74" t="n">
        <v>218406.66652134</v>
      </c>
      <c r="G1172" s="75" t="n">
        <v>1158266.13775829</v>
      </c>
      <c r="H1172" s="76" t="n">
        <v>218370.687575925</v>
      </c>
      <c r="I1172" s="77" t="str">
        <f>H1172-F1172</f>
      </c>
      <c r="J1172" s="78" t="str">
        <f>G1172-E1172</f>
      </c>
    </row>
    <row r="1173">
      <c r="A1173" t="s">
        <v>226</v>
      </c>
      <c r="B1173" t="s">
        <v>228</v>
      </c>
      <c r="C1173" s="72" t="n">
        <v>2036</v>
      </c>
      <c r="D1173" t="s">
        <v>184</v>
      </c>
      <c r="E1173" s="73" t="n">
        <v>124148.014752801</v>
      </c>
      <c r="F1173" s="74" t="n">
        <v>83963.272881256</v>
      </c>
      <c r="G1173" s="75" t="n">
        <v>127138.451085333</v>
      </c>
      <c r="H1173" s="76" t="n">
        <v>85765.5647353171</v>
      </c>
      <c r="I1173" s="77" t="str">
        <f>H1173-F1173</f>
      </c>
      <c r="J1173" s="78" t="str">
        <f>G1173-E1173</f>
      </c>
    </row>
    <row r="1174">
      <c r="A1174" t="s">
        <v>226</v>
      </c>
      <c r="B1174" t="s">
        <v>228</v>
      </c>
      <c r="C1174" s="72" t="n">
        <v>2036</v>
      </c>
      <c r="D1174" t="s">
        <v>187</v>
      </c>
      <c r="E1174" s="73" t="n">
        <v>412096.531319828</v>
      </c>
      <c r="F1174" s="74" t="n">
        <v>382505.892858434</v>
      </c>
      <c r="G1174" s="75" t="n">
        <v>422232.659922133</v>
      </c>
      <c r="H1174" s="76" t="n">
        <v>391285.955739587</v>
      </c>
      <c r="I1174" s="77" t="str">
        <f>H1174-F1174</f>
      </c>
      <c r="J1174" s="78" t="str">
        <f>G1174-E1174</f>
      </c>
    </row>
    <row r="1175">
      <c r="A1175" t="s">
        <v>226</v>
      </c>
      <c r="B1175" t="s">
        <v>228</v>
      </c>
      <c r="C1175" s="72" t="n">
        <v>2036</v>
      </c>
      <c r="D1175" t="s">
        <v>190</v>
      </c>
      <c r="E1175" s="73" t="n">
        <v>711712.429901347</v>
      </c>
      <c r="F1175" s="74" t="n">
        <v>438416.946577543</v>
      </c>
      <c r="G1175" s="75" t="n">
        <v>728531.610160843</v>
      </c>
      <c r="H1175" s="76" t="n">
        <v>444747.907566169</v>
      </c>
      <c r="I1175" s="77" t="str">
        <f>H1175-F1175</f>
      </c>
      <c r="J1175" s="78" t="str">
        <f>G1175-E1175</f>
      </c>
    </row>
    <row r="1176">
      <c r="A1176" t="s">
        <v>226</v>
      </c>
      <c r="B1176" t="s">
        <v>228</v>
      </c>
      <c r="C1176" s="72" t="n">
        <v>2036</v>
      </c>
      <c r="D1176" t="s">
        <v>193</v>
      </c>
      <c r="E1176" s="73" t="n">
        <v>528735.838199165</v>
      </c>
      <c r="F1176" s="74" t="n">
        <v>294434.440868381</v>
      </c>
      <c r="G1176" s="75" t="n">
        <v>541052.28077363</v>
      </c>
      <c r="H1176" s="76" t="n">
        <v>298879.611309733</v>
      </c>
      <c r="I1176" s="77" t="str">
        <f>H1176-F1176</f>
      </c>
      <c r="J1176" s="78" t="str">
        <f>G1176-E1176</f>
      </c>
    </row>
    <row r="1177">
      <c r="A1177" t="s">
        <v>226</v>
      </c>
      <c r="B1177" t="s">
        <v>228</v>
      </c>
      <c r="C1177" s="72" t="n">
        <v>2036</v>
      </c>
      <c r="D1177" t="s">
        <v>424</v>
      </c>
      <c r="E1177" s="73" t="n">
        <v>44054.235914664</v>
      </c>
      <c r="F1177" s="74" t="n">
        <v>7453.45347594429</v>
      </c>
      <c r="G1177" s="75" t="n">
        <v>44049.9983782722</v>
      </c>
      <c r="H1177" s="76" t="n">
        <v>7453.3351271514</v>
      </c>
      <c r="I1177" s="77" t="str">
        <f>H1177-F1177</f>
      </c>
      <c r="J1177" s="78" t="str">
        <f>G1177-E1177</f>
      </c>
    </row>
    <row r="1178">
      <c r="A1178" t="s">
        <v>226</v>
      </c>
      <c r="B1178" t="s">
        <v>228</v>
      </c>
      <c r="C1178" s="72" t="n">
        <v>2037</v>
      </c>
      <c r="D1178" t="s">
        <v>176</v>
      </c>
      <c r="E1178" s="73" t="n">
        <v>17854.4524869962</v>
      </c>
      <c r="F1178" s="74" t="n">
        <v>12821.4012310192</v>
      </c>
      <c r="G1178" s="75" t="n">
        <v>17812.5035281772</v>
      </c>
      <c r="H1178" s="76" t="n">
        <v>12807.5012683992</v>
      </c>
      <c r="I1178" s="77" t="str">
        <f>H1178-F1178</f>
      </c>
      <c r="J1178" s="78" t="str">
        <f>G1178-E1178</f>
      </c>
    </row>
    <row r="1179">
      <c r="A1179" t="s">
        <v>226</v>
      </c>
      <c r="B1179" t="s">
        <v>228</v>
      </c>
      <c r="C1179" s="72" t="n">
        <v>2037</v>
      </c>
      <c r="D1179" t="s">
        <v>238</v>
      </c>
      <c r="E1179" s="73" t="n">
        <v>1168257.52594174</v>
      </c>
      <c r="F1179" s="74" t="n">
        <v>226422.339987635</v>
      </c>
      <c r="G1179" s="75" t="n">
        <v>1167364.66541375</v>
      </c>
      <c r="H1179" s="76" t="n">
        <v>226373.365626062</v>
      </c>
      <c r="I1179" s="77" t="str">
        <f>H1179-F1179</f>
      </c>
      <c r="J1179" s="78" t="str">
        <f>G1179-E1179</f>
      </c>
    </row>
    <row r="1180">
      <c r="A1180" t="s">
        <v>226</v>
      </c>
      <c r="B1180" t="s">
        <v>228</v>
      </c>
      <c r="C1180" s="72" t="n">
        <v>2037</v>
      </c>
      <c r="D1180" t="s">
        <v>184</v>
      </c>
      <c r="E1180" s="73" t="n">
        <v>127070.934659254</v>
      </c>
      <c r="F1180" s="74" t="n">
        <v>85892.6086493952</v>
      </c>
      <c r="G1180" s="75" t="n">
        <v>130092.112965313</v>
      </c>
      <c r="H1180" s="76" t="n">
        <v>87785.8739142287</v>
      </c>
      <c r="I1180" s="77" t="str">
        <f>H1180-F1180</f>
      </c>
      <c r="J1180" s="78" t="str">
        <f>G1180-E1180</f>
      </c>
    </row>
    <row r="1181">
      <c r="A1181" t="s">
        <v>226</v>
      </c>
      <c r="B1181" t="s">
        <v>228</v>
      </c>
      <c r="C1181" s="72" t="n">
        <v>2037</v>
      </c>
      <c r="D1181" t="s">
        <v>187</v>
      </c>
      <c r="E1181" s="73" t="n">
        <v>419449.056471037</v>
      </c>
      <c r="F1181" s="74" t="n">
        <v>389477.978204649</v>
      </c>
      <c r="G1181" s="75" t="n">
        <v>429674.679324948</v>
      </c>
      <c r="H1181" s="76" t="n">
        <v>398473.813386608</v>
      </c>
      <c r="I1181" s="77" t="str">
        <f>H1181-F1181</f>
      </c>
      <c r="J1181" s="78" t="str">
        <f>G1181-E1181</f>
      </c>
    </row>
    <row r="1182">
      <c r="A1182" t="s">
        <v>226</v>
      </c>
      <c r="B1182" t="s">
        <v>228</v>
      </c>
      <c r="C1182" s="72" t="n">
        <v>2037</v>
      </c>
      <c r="D1182" t="s">
        <v>190</v>
      </c>
      <c r="E1182" s="73" t="n">
        <v>724368.825522664</v>
      </c>
      <c r="F1182" s="74" t="n">
        <v>448265.18264832</v>
      </c>
      <c r="G1182" s="75" t="n">
        <v>741261.427234993</v>
      </c>
      <c r="H1182" s="76" t="n">
        <v>455168.184528758</v>
      </c>
      <c r="I1182" s="77" t="str">
        <f>H1182-F1182</f>
      </c>
      <c r="J1182" s="78" t="str">
        <f>G1182-E1182</f>
      </c>
    </row>
    <row r="1183">
      <c r="A1183" t="s">
        <v>226</v>
      </c>
      <c r="B1183" t="s">
        <v>228</v>
      </c>
      <c r="C1183" s="72" t="n">
        <v>2037</v>
      </c>
      <c r="D1183" t="s">
        <v>193</v>
      </c>
      <c r="E1183" s="73" t="n">
        <v>540861.858157921</v>
      </c>
      <c r="F1183" s="74" t="n">
        <v>303863.567052808</v>
      </c>
      <c r="G1183" s="75" t="n">
        <v>553258.517761357</v>
      </c>
      <c r="H1183" s="76" t="n">
        <v>308666.043562302</v>
      </c>
      <c r="I1183" s="77" t="str">
        <f>H1183-F1183</f>
      </c>
      <c r="J1183" s="78" t="str">
        <f>G1183-E1183</f>
      </c>
    </row>
    <row r="1184">
      <c r="A1184" t="s">
        <v>226</v>
      </c>
      <c r="B1184" t="s">
        <v>228</v>
      </c>
      <c r="C1184" s="72" t="n">
        <v>2037</v>
      </c>
      <c r="D1184" t="s">
        <v>424</v>
      </c>
      <c r="E1184" s="73" t="n">
        <v>43891.5766565</v>
      </c>
      <c r="F1184" s="74" t="n">
        <v>7485.7968618817</v>
      </c>
      <c r="G1184" s="75" t="n">
        <v>43886.4966397613</v>
      </c>
      <c r="H1184" s="76" t="n">
        <v>7485.63945861012</v>
      </c>
      <c r="I1184" s="77" t="str">
        <f>H1184-F1184</f>
      </c>
      <c r="J1184" s="78" t="str">
        <f>G1184-E1184</f>
      </c>
    </row>
    <row r="1185">
      <c r="A1185" t="s">
        <v>226</v>
      </c>
      <c r="B1185" t="s">
        <v>228</v>
      </c>
      <c r="C1185" s="72" t="n">
        <v>2038</v>
      </c>
      <c r="D1185" t="s">
        <v>176</v>
      </c>
      <c r="E1185" s="73" t="n">
        <v>18328.4365982736</v>
      </c>
      <c r="F1185" s="74" t="n">
        <v>13125.8243812268</v>
      </c>
      <c r="G1185" s="75" t="n">
        <v>18278.6195315823</v>
      </c>
      <c r="H1185" s="76" t="n">
        <v>13108.2586821674</v>
      </c>
      <c r="I1185" s="77" t="str">
        <f>H1185-F1185</f>
      </c>
      <c r="J1185" s="78" t="str">
        <f>G1185-E1185</f>
      </c>
    </row>
    <row r="1186">
      <c r="A1186" t="s">
        <v>226</v>
      </c>
      <c r="B1186" t="s">
        <v>228</v>
      </c>
      <c r="C1186" s="72" t="n">
        <v>2038</v>
      </c>
      <c r="D1186" t="s">
        <v>238</v>
      </c>
      <c r="E1186" s="73" t="n">
        <v>1177327.71020668</v>
      </c>
      <c r="F1186" s="74" t="n">
        <v>234350.416856767</v>
      </c>
      <c r="G1186" s="75" t="n">
        <v>1176286.23006217</v>
      </c>
      <c r="H1186" s="76" t="n">
        <v>234286.302403295</v>
      </c>
      <c r="I1186" s="77" t="str">
        <f>H1186-F1186</f>
      </c>
      <c r="J1186" s="78" t="str">
        <f>G1186-E1186</f>
      </c>
    </row>
    <row r="1187">
      <c r="A1187" t="s">
        <v>226</v>
      </c>
      <c r="B1187" t="s">
        <v>228</v>
      </c>
      <c r="C1187" s="72" t="n">
        <v>2038</v>
      </c>
      <c r="D1187" t="s">
        <v>184</v>
      </c>
      <c r="E1187" s="73" t="n">
        <v>129955.715830067</v>
      </c>
      <c r="F1187" s="74" t="n">
        <v>87792.8532191974</v>
      </c>
      <c r="G1187" s="75" t="n">
        <v>133004.77137127</v>
      </c>
      <c r="H1187" s="76" t="n">
        <v>89762.9085046272</v>
      </c>
      <c r="I1187" s="77" t="str">
        <f>H1187-F1187</f>
      </c>
      <c r="J1187" s="78" t="str">
        <f>G1187-E1187</f>
      </c>
    </row>
    <row r="1188">
      <c r="A1188" t="s">
        <v>226</v>
      </c>
      <c r="B1188" t="s">
        <v>228</v>
      </c>
      <c r="C1188" s="72" t="n">
        <v>2038</v>
      </c>
      <c r="D1188" t="s">
        <v>187</v>
      </c>
      <c r="E1188" s="73" t="n">
        <v>426573.287705991</v>
      </c>
      <c r="F1188" s="74" t="n">
        <v>396208.860855722</v>
      </c>
      <c r="G1188" s="75" t="n">
        <v>436878.359538317</v>
      </c>
      <c r="H1188" s="76" t="n">
        <v>405384.957772321</v>
      </c>
      <c r="I1188" s="77" t="str">
        <f>H1188-F1188</f>
      </c>
      <c r="J1188" s="78" t="str">
        <f>G1188-E1188</f>
      </c>
    </row>
    <row r="1189">
      <c r="A1189" t="s">
        <v>226</v>
      </c>
      <c r="B1189" t="s">
        <v>228</v>
      </c>
      <c r="C1189" s="72" t="n">
        <v>2038</v>
      </c>
      <c r="D1189" t="s">
        <v>190</v>
      </c>
      <c r="E1189" s="73" t="n">
        <v>736608.646455722</v>
      </c>
      <c r="F1189" s="74" t="n">
        <v>457910.728109491</v>
      </c>
      <c r="G1189" s="75" t="n">
        <v>753560.822146793</v>
      </c>
      <c r="H1189" s="76" t="n">
        <v>465342.91786371</v>
      </c>
      <c r="I1189" s="77" t="str">
        <f>H1189-F1189</f>
      </c>
      <c r="J1189" s="78" t="str">
        <f>G1189-E1189</f>
      </c>
    </row>
    <row r="1190">
      <c r="A1190" t="s">
        <v>226</v>
      </c>
      <c r="B1190" t="s">
        <v>228</v>
      </c>
      <c r="C1190" s="72" t="n">
        <v>2038</v>
      </c>
      <c r="D1190" t="s">
        <v>193</v>
      </c>
      <c r="E1190" s="73" t="n">
        <v>552936.096531372</v>
      </c>
      <c r="F1190" s="74" t="n">
        <v>313327.712938318</v>
      </c>
      <c r="G1190" s="75" t="n">
        <v>565403.758799385</v>
      </c>
      <c r="H1190" s="76" t="n">
        <v>318461.022248122</v>
      </c>
      <c r="I1190" s="77" t="str">
        <f>H1190-F1190</f>
      </c>
      <c r="J1190" s="78" t="str">
        <f>G1190-E1190</f>
      </c>
    </row>
    <row r="1191">
      <c r="A1191" t="s">
        <v>226</v>
      </c>
      <c r="B1191" t="s">
        <v>228</v>
      </c>
      <c r="C1191" s="72" t="n">
        <v>2038</v>
      </c>
      <c r="D1191" t="s">
        <v>424</v>
      </c>
      <c r="E1191" s="73" t="n">
        <v>43736.6961517988</v>
      </c>
      <c r="F1191" s="74" t="n">
        <v>7517.97178609015</v>
      </c>
      <c r="G1191" s="75" t="n">
        <v>43730.7448506382</v>
      </c>
      <c r="H1191" s="76" t="n">
        <v>7517.77035327065</v>
      </c>
      <c r="I1191" s="77" t="str">
        <f>H1191-F1191</f>
      </c>
      <c r="J1191" s="78" t="str">
        <f>G1191-E1191</f>
      </c>
    </row>
    <row r="1192">
      <c r="A1192" t="s">
        <v>226</v>
      </c>
      <c r="B1192" t="s">
        <v>228</v>
      </c>
      <c r="C1192" s="72" t="n">
        <v>2039</v>
      </c>
      <c r="D1192" t="s">
        <v>176</v>
      </c>
      <c r="E1192" s="73" t="n">
        <v>18810.2238174469</v>
      </c>
      <c r="F1192" s="74" t="n">
        <v>13426.2296773817</v>
      </c>
      <c r="G1192" s="75" t="n">
        <v>18752.090499403</v>
      </c>
      <c r="H1192" s="76" t="n">
        <v>13404.6696202756</v>
      </c>
      <c r="I1192" s="77" t="str">
        <f>H1192-F1192</f>
      </c>
      <c r="J1192" s="78" t="str">
        <f>G1192-E1192</f>
      </c>
    </row>
    <row r="1193">
      <c r="A1193" t="s">
        <v>226</v>
      </c>
      <c r="B1193" t="s">
        <v>228</v>
      </c>
      <c r="C1193" s="72" t="n">
        <v>2039</v>
      </c>
      <c r="D1193" t="s">
        <v>238</v>
      </c>
      <c r="E1193" s="73" t="n">
        <v>1185930.89682393</v>
      </c>
      <c r="F1193" s="74" t="n">
        <v>242213.545232219</v>
      </c>
      <c r="G1193" s="75" t="n">
        <v>1184738.39184491</v>
      </c>
      <c r="H1193" s="76" t="n">
        <v>242132.191153164</v>
      </c>
      <c r="I1193" s="77" t="str">
        <f>H1193-F1193</f>
      </c>
      <c r="J1193" s="78" t="str">
        <f>G1193-E1193</f>
      </c>
    </row>
    <row r="1194">
      <c r="A1194" t="s">
        <v>226</v>
      </c>
      <c r="B1194" t="s">
        <v>228</v>
      </c>
      <c r="C1194" s="72" t="n">
        <v>2039</v>
      </c>
      <c r="D1194" t="s">
        <v>184</v>
      </c>
      <c r="E1194" s="73" t="n">
        <v>132797.913477431</v>
      </c>
      <c r="F1194" s="74" t="n">
        <v>89680.73163988</v>
      </c>
      <c r="G1194" s="75" t="n">
        <v>135872.13136763</v>
      </c>
      <c r="H1194" s="76" t="n">
        <v>91716.3663536023</v>
      </c>
      <c r="I1194" s="77" t="str">
        <f>H1194-F1194</f>
      </c>
      <c r="J1194" s="78" t="str">
        <f>G1194-E1194</f>
      </c>
    </row>
    <row r="1195">
      <c r="A1195" t="s">
        <v>226</v>
      </c>
      <c r="B1195" t="s">
        <v>228</v>
      </c>
      <c r="C1195" s="72" t="n">
        <v>2039</v>
      </c>
      <c r="D1195" t="s">
        <v>187</v>
      </c>
      <c r="E1195" s="73" t="n">
        <v>433529.368436694</v>
      </c>
      <c r="F1195" s="74" t="n">
        <v>402789.896711773</v>
      </c>
      <c r="G1195" s="75" t="n">
        <v>443905.980748337</v>
      </c>
      <c r="H1195" s="76" t="n">
        <v>412120.21350488</v>
      </c>
      <c r="I1195" s="77" t="str">
        <f>H1195-F1195</f>
      </c>
      <c r="J1195" s="78" t="str">
        <f>G1195-E1195</f>
      </c>
    </row>
    <row r="1196">
      <c r="A1196" t="s">
        <v>226</v>
      </c>
      <c r="B1196" t="s">
        <v>228</v>
      </c>
      <c r="C1196" s="72" t="n">
        <v>2039</v>
      </c>
      <c r="D1196" t="s">
        <v>190</v>
      </c>
      <c r="E1196" s="73" t="n">
        <v>748527.058250767</v>
      </c>
      <c r="F1196" s="74" t="n">
        <v>467350.447387279</v>
      </c>
      <c r="G1196" s="75" t="n">
        <v>765528.467838857</v>
      </c>
      <c r="H1196" s="76" t="n">
        <v>475269.787528918</v>
      </c>
      <c r="I1196" s="77" t="str">
        <f>H1196-F1196</f>
      </c>
      <c r="J1196" s="78" t="str">
        <f>G1196-E1196</f>
      </c>
    </row>
    <row r="1197">
      <c r="A1197" t="s">
        <v>226</v>
      </c>
      <c r="B1197" t="s">
        <v>228</v>
      </c>
      <c r="C1197" s="72" t="n">
        <v>2039</v>
      </c>
      <c r="D1197" t="s">
        <v>193</v>
      </c>
      <c r="E1197" s="73" t="n">
        <v>564886.002114398</v>
      </c>
      <c r="F1197" s="74" t="n">
        <v>322806.529028295</v>
      </c>
      <c r="G1197" s="75" t="n">
        <v>577414.514396235</v>
      </c>
      <c r="H1197" s="76" t="n">
        <v>328246.401276368</v>
      </c>
      <c r="I1197" s="77" t="str">
        <f>H1197-F1197</f>
      </c>
      <c r="J1197" s="78" t="str">
        <f>G1197-E1197</f>
      </c>
    </row>
    <row r="1198">
      <c r="A1198" t="s">
        <v>226</v>
      </c>
      <c r="B1198" t="s">
        <v>228</v>
      </c>
      <c r="C1198" s="72" t="n">
        <v>2039</v>
      </c>
      <c r="D1198" t="s">
        <v>424</v>
      </c>
      <c r="E1198" s="73" t="n">
        <v>43595.6924432567</v>
      </c>
      <c r="F1198" s="74" t="n">
        <v>7547.80992421492</v>
      </c>
      <c r="G1198" s="75" t="n">
        <v>43588.845456637</v>
      </c>
      <c r="H1198" s="76" t="n">
        <v>7547.5598608641</v>
      </c>
      <c r="I1198" s="77" t="str">
        <f>H1198-F1198</f>
      </c>
      <c r="J1198" s="78" t="str">
        <f>G1198-E1198</f>
      </c>
    </row>
    <row r="1199">
      <c r="A1199" t="s">
        <v>226</v>
      </c>
      <c r="B1199" t="s">
        <v>228</v>
      </c>
      <c r="C1199" s="72" t="n">
        <v>2040</v>
      </c>
      <c r="D1199" t="s">
        <v>176</v>
      </c>
      <c r="E1199" s="73" t="n">
        <v>19302.6374222246</v>
      </c>
      <c r="F1199" s="74" t="n">
        <v>13724.8373346275</v>
      </c>
      <c r="G1199" s="75" t="n">
        <v>19235.7365429273</v>
      </c>
      <c r="H1199" s="76" t="n">
        <v>13698.9721681132</v>
      </c>
      <c r="I1199" s="77" t="str">
        <f>H1199-F1199</f>
      </c>
      <c r="J1199" s="78" t="str">
        <f>G1199-E1199</f>
      </c>
    </row>
    <row r="1200">
      <c r="A1200" t="s">
        <v>226</v>
      </c>
      <c r="B1200" t="s">
        <v>228</v>
      </c>
      <c r="C1200" s="72" t="n">
        <v>2040</v>
      </c>
      <c r="D1200" t="s">
        <v>238</v>
      </c>
      <c r="E1200" s="73" t="n">
        <v>1193979.44382083</v>
      </c>
      <c r="F1200" s="74" t="n">
        <v>249995.115136862</v>
      </c>
      <c r="G1200" s="75" t="n">
        <v>1192634.43006365</v>
      </c>
      <c r="H1200" s="76" t="n">
        <v>249894.478827588</v>
      </c>
      <c r="I1200" s="77" t="str">
        <f>H1200-F1200</f>
      </c>
      <c r="J1200" s="78" t="str">
        <f>G1200-E1200</f>
      </c>
    </row>
    <row r="1201">
      <c r="A1201" t="s">
        <v>226</v>
      </c>
      <c r="B1201" t="s">
        <v>228</v>
      </c>
      <c r="C1201" s="72" t="n">
        <v>2040</v>
      </c>
      <c r="D1201" t="s">
        <v>184</v>
      </c>
      <c r="E1201" s="73" t="n">
        <v>135593.029344116</v>
      </c>
      <c r="F1201" s="74" t="n">
        <v>91545.0270386743</v>
      </c>
      <c r="G1201" s="75" t="n">
        <v>138689.796610277</v>
      </c>
      <c r="H1201" s="76" t="n">
        <v>93636.8967600593</v>
      </c>
      <c r="I1201" s="77" t="str">
        <f>H1201-F1201</f>
      </c>
      <c r="J1201" s="78" t="str">
        <f>G1201-E1201</f>
      </c>
    </row>
    <row r="1202">
      <c r="A1202" t="s">
        <v>226</v>
      </c>
      <c r="B1202" t="s">
        <v>228</v>
      </c>
      <c r="C1202" s="72" t="n">
        <v>2040</v>
      </c>
      <c r="D1202" t="s">
        <v>187</v>
      </c>
      <c r="E1202" s="73" t="n">
        <v>440398.997741426</v>
      </c>
      <c r="F1202" s="74" t="n">
        <v>409158.343092192</v>
      </c>
      <c r="G1202" s="75" t="n">
        <v>450841.764596063</v>
      </c>
      <c r="H1202" s="76" t="n">
        <v>418620.908948174</v>
      </c>
      <c r="I1202" s="77" t="str">
        <f>H1202-F1202</f>
      </c>
      <c r="J1202" s="78" t="str">
        <f>G1202-E1202</f>
      </c>
    </row>
    <row r="1203">
      <c r="A1203" t="s">
        <v>226</v>
      </c>
      <c r="B1203" t="s">
        <v>228</v>
      </c>
      <c r="C1203" s="72" t="n">
        <v>2040</v>
      </c>
      <c r="D1203" t="s">
        <v>190</v>
      </c>
      <c r="E1203" s="73" t="n">
        <v>760048.950790883</v>
      </c>
      <c r="F1203" s="74" t="n">
        <v>476580.798419743</v>
      </c>
      <c r="G1203" s="75" t="n">
        <v>777088.496702091</v>
      </c>
      <c r="H1203" s="76" t="n">
        <v>484947.105425179</v>
      </c>
      <c r="I1203" s="77" t="str">
        <f>H1203-F1203</f>
      </c>
      <c r="J1203" s="78" t="str">
        <f>G1203-E1203</f>
      </c>
    </row>
    <row r="1204">
      <c r="A1204" t="s">
        <v>226</v>
      </c>
      <c r="B1204" t="s">
        <v>228</v>
      </c>
      <c r="C1204" s="72" t="n">
        <v>2040</v>
      </c>
      <c r="D1204" t="s">
        <v>193</v>
      </c>
      <c r="E1204" s="73" t="n">
        <v>576778.430444398</v>
      </c>
      <c r="F1204" s="74" t="n">
        <v>332314.958420409</v>
      </c>
      <c r="G1204" s="75" t="n">
        <v>589359.733832842</v>
      </c>
      <c r="H1204" s="76" t="n">
        <v>338039.010430446</v>
      </c>
      <c r="I1204" s="77" t="str">
        <f>H1204-F1204</f>
      </c>
      <c r="J1204" s="78" t="str">
        <f>G1204-E1204</f>
      </c>
    </row>
    <row r="1205">
      <c r="A1205" t="s">
        <v>226</v>
      </c>
      <c r="B1205" t="s">
        <v>228</v>
      </c>
      <c r="C1205" s="72" t="n">
        <v>2040</v>
      </c>
      <c r="D1205" t="s">
        <v>424</v>
      </c>
      <c r="E1205" s="73" t="n">
        <v>43472.6236543677</v>
      </c>
      <c r="F1205" s="74" t="n">
        <v>7574.02851139001</v>
      </c>
      <c r="G1205" s="75" t="n">
        <v>43464.8596818836</v>
      </c>
      <c r="H1205" s="76" t="n">
        <v>7573.72556082699</v>
      </c>
      <c r="I1205" s="77" t="str">
        <f>H1205-F1205</f>
      </c>
      <c r="J1205" s="78" t="str">
        <f>G1205-E1205</f>
      </c>
    </row>
    <row r="1206">
      <c r="A1206" t="s">
        <v>226</v>
      </c>
      <c r="B1206" t="s">
        <v>228</v>
      </c>
      <c r="C1206" s="72" t="n">
        <v>2041</v>
      </c>
      <c r="D1206" t="s">
        <v>176</v>
      </c>
      <c r="E1206" s="73" t="n">
        <v>19803.3899770945</v>
      </c>
      <c r="F1206" s="74" t="n">
        <v>14022.0790583116</v>
      </c>
      <c r="G1206" s="75" t="n">
        <v>19727.283486384</v>
      </c>
      <c r="H1206" s="76" t="n">
        <v>13991.6066902828</v>
      </c>
      <c r="I1206" s="77" t="str">
        <f>H1206-F1206</f>
      </c>
      <c r="J1206" s="78" t="str">
        <f>G1206-E1206</f>
      </c>
    </row>
    <row r="1207">
      <c r="A1207" t="s">
        <v>226</v>
      </c>
      <c r="B1207" t="s">
        <v>228</v>
      </c>
      <c r="C1207" s="72" t="n">
        <v>2041</v>
      </c>
      <c r="D1207" t="s">
        <v>238</v>
      </c>
      <c r="E1207" s="73" t="n">
        <v>1201486.43665293</v>
      </c>
      <c r="F1207" s="74" t="n">
        <v>257720.960537202</v>
      </c>
      <c r="G1207" s="75" t="n">
        <v>1199988.17586749</v>
      </c>
      <c r="H1207" s="76" t="n">
        <v>257599.044002988</v>
      </c>
      <c r="I1207" s="77" t="str">
        <f>H1207-F1207</f>
      </c>
      <c r="J1207" s="78" t="str">
        <f>G1207-E1207</f>
      </c>
    </row>
    <row r="1208">
      <c r="A1208" t="s">
        <v>226</v>
      </c>
      <c r="B1208" t="s">
        <v>228</v>
      </c>
      <c r="C1208" s="72" t="n">
        <v>2041</v>
      </c>
      <c r="D1208" t="s">
        <v>184</v>
      </c>
      <c r="E1208" s="73" t="n">
        <v>138358.357320511</v>
      </c>
      <c r="F1208" s="74" t="n">
        <v>93386.556282289</v>
      </c>
      <c r="G1208" s="75" t="n">
        <v>141475.570851386</v>
      </c>
      <c r="H1208" s="76" t="n">
        <v>95527.0063786807</v>
      </c>
      <c r="I1208" s="77" t="str">
        <f>H1208-F1208</f>
      </c>
      <c r="J1208" s="78" t="str">
        <f>G1208-E1208</f>
      </c>
    </row>
    <row r="1209">
      <c r="A1209" t="s">
        <v>226</v>
      </c>
      <c r="B1209" t="s">
        <v>228</v>
      </c>
      <c r="C1209" s="72" t="n">
        <v>2041</v>
      </c>
      <c r="D1209" t="s">
        <v>187</v>
      </c>
      <c r="E1209" s="73" t="n">
        <v>447194.024818683</v>
      </c>
      <c r="F1209" s="74" t="n">
        <v>415426.467402269</v>
      </c>
      <c r="G1209" s="75" t="n">
        <v>457698.128134802</v>
      </c>
      <c r="H1209" s="76" t="n">
        <v>425005.77720965</v>
      </c>
      <c r="I1209" s="77" t="str">
        <f>H1209-F1209</f>
      </c>
      <c r="J1209" s="78" t="str">
        <f>G1209-E1209</f>
      </c>
    </row>
    <row r="1210">
      <c r="A1210" t="s">
        <v>226</v>
      </c>
      <c r="B1210" t="s">
        <v>228</v>
      </c>
      <c r="C1210" s="72" t="n">
        <v>2041</v>
      </c>
      <c r="D1210" t="s">
        <v>190</v>
      </c>
      <c r="E1210" s="73" t="n">
        <v>771225.4605479</v>
      </c>
      <c r="F1210" s="74" t="n">
        <v>485615.635396937</v>
      </c>
      <c r="G1210" s="75" t="n">
        <v>788293.242756689</v>
      </c>
      <c r="H1210" s="76" t="n">
        <v>494390.873248259</v>
      </c>
      <c r="I1210" s="77" t="str">
        <f>H1210-F1210</f>
      </c>
      <c r="J1210" s="78" t="str">
        <f>G1210-E1210</f>
      </c>
    </row>
    <row r="1211">
      <c r="A1211" t="s">
        <v>226</v>
      </c>
      <c r="B1211" t="s">
        <v>228</v>
      </c>
      <c r="C1211" s="72" t="n">
        <v>2041</v>
      </c>
      <c r="D1211" t="s">
        <v>193</v>
      </c>
      <c r="E1211" s="73" t="n">
        <v>588530.56130911</v>
      </c>
      <c r="F1211" s="74" t="n">
        <v>341935.788533799</v>
      </c>
      <c r="G1211" s="75" t="n">
        <v>601155.340946961</v>
      </c>
      <c r="H1211" s="76" t="n">
        <v>347924.766327078</v>
      </c>
      <c r="I1211" s="77" t="str">
        <f>H1211-F1211</f>
      </c>
      <c r="J1211" s="78" t="str">
        <f>G1211-E1211</f>
      </c>
    </row>
    <row r="1212">
      <c r="A1212" t="s">
        <v>226</v>
      </c>
      <c r="B1212" t="s">
        <v>228</v>
      </c>
      <c r="C1212" s="72" t="n">
        <v>2041</v>
      </c>
      <c r="D1212" t="s">
        <v>424</v>
      </c>
      <c r="E1212" s="73" t="n">
        <v>43369.635262542</v>
      </c>
      <c r="F1212" s="74" t="n">
        <v>7596.35533085611</v>
      </c>
      <c r="G1212" s="75" t="n">
        <v>43360.9356755525</v>
      </c>
      <c r="H1212" s="76" t="n">
        <v>7595.99533386821</v>
      </c>
      <c r="I1212" s="77" t="str">
        <f>H1212-F1212</f>
      </c>
      <c r="J1212" s="78" t="str">
        <f>G1212-E1212</f>
      </c>
    </row>
    <row r="1213">
      <c r="A1213" t="s">
        <v>226</v>
      </c>
      <c r="B1213" t="s">
        <v>228</v>
      </c>
      <c r="C1213" s="72" t="n">
        <v>2042</v>
      </c>
      <c r="D1213" t="s">
        <v>176</v>
      </c>
      <c r="E1213" s="73" t="n">
        <v>20308.0118104742</v>
      </c>
      <c r="F1213" s="74" t="n">
        <v>14320.0021474197</v>
      </c>
      <c r="G1213" s="75" t="n">
        <v>20222.2683991647</v>
      </c>
      <c r="H1213" s="76" t="n">
        <v>14284.6169088399</v>
      </c>
      <c r="I1213" s="77" t="str">
        <f>H1213-F1213</f>
      </c>
      <c r="J1213" s="78" t="str">
        <f>G1213-E1213</f>
      </c>
    </row>
    <row r="1214">
      <c r="A1214" t="s">
        <v>226</v>
      </c>
      <c r="B1214" t="s">
        <v>228</v>
      </c>
      <c r="C1214" s="72" t="n">
        <v>2042</v>
      </c>
      <c r="D1214" t="s">
        <v>238</v>
      </c>
      <c r="E1214" s="73" t="n">
        <v>1208451.27798396</v>
      </c>
      <c r="F1214" s="74" t="n">
        <v>265434.578747064</v>
      </c>
      <c r="G1214" s="75" t="n">
        <v>1206799.58929471</v>
      </c>
      <c r="H1214" s="76" t="n">
        <v>265289.409116733</v>
      </c>
      <c r="I1214" s="77" t="str">
        <f>H1214-F1214</f>
      </c>
      <c r="J1214" s="78" t="str">
        <f>G1214-E1214</f>
      </c>
    </row>
    <row r="1215">
      <c r="A1215" t="s">
        <v>226</v>
      </c>
      <c r="B1215" t="s">
        <v>228</v>
      </c>
      <c r="C1215" s="72" t="n">
        <v>2042</v>
      </c>
      <c r="D1215" t="s">
        <v>184</v>
      </c>
      <c r="E1215" s="73" t="n">
        <v>141112.166136888</v>
      </c>
      <c r="F1215" s="74" t="n">
        <v>95223.1522726854</v>
      </c>
      <c r="G1215" s="75" t="n">
        <v>144248.066926011</v>
      </c>
      <c r="H1215" s="76" t="n">
        <v>97406.1569770963</v>
      </c>
      <c r="I1215" s="77" t="str">
        <f>H1215-F1215</f>
      </c>
      <c r="J1215" s="78" t="str">
        <f>G1215-E1215</f>
      </c>
    </row>
    <row r="1216">
      <c r="A1216" t="s">
        <v>226</v>
      </c>
      <c r="B1216" t="s">
        <v>228</v>
      </c>
      <c r="C1216" s="72" t="n">
        <v>2042</v>
      </c>
      <c r="D1216" t="s">
        <v>187</v>
      </c>
      <c r="E1216" s="73" t="n">
        <v>453925.997591364</v>
      </c>
      <c r="F1216" s="74" t="n">
        <v>421711.453031049</v>
      </c>
      <c r="G1216" s="75" t="n">
        <v>464487.038990191</v>
      </c>
      <c r="H1216" s="76" t="n">
        <v>431397.042999706</v>
      </c>
      <c r="I1216" s="77" t="str">
        <f>H1216-F1216</f>
      </c>
      <c r="J1216" s="78" t="str">
        <f>G1216-E1216</f>
      </c>
    </row>
    <row r="1217">
      <c r="A1217" t="s">
        <v>226</v>
      </c>
      <c r="B1217" t="s">
        <v>228</v>
      </c>
      <c r="C1217" s="72" t="n">
        <v>2042</v>
      </c>
      <c r="D1217" t="s">
        <v>190</v>
      </c>
      <c r="E1217" s="73" t="n">
        <v>782138.801337133</v>
      </c>
      <c r="F1217" s="74" t="n">
        <v>494455.076265455</v>
      </c>
      <c r="G1217" s="75" t="n">
        <v>799225.499121645</v>
      </c>
      <c r="H1217" s="76" t="n">
        <v>503603.803809569</v>
      </c>
      <c r="I1217" s="77" t="str">
        <f>H1217-F1217</f>
      </c>
      <c r="J1217" s="78" t="str">
        <f>G1217-E1217</f>
      </c>
    </row>
    <row r="1218">
      <c r="A1218" t="s">
        <v>226</v>
      </c>
      <c r="B1218" t="s">
        <v>228</v>
      </c>
      <c r="C1218" s="72" t="n">
        <v>2042</v>
      </c>
      <c r="D1218" t="s">
        <v>193</v>
      </c>
      <c r="E1218" s="73" t="n">
        <v>600007.569478195</v>
      </c>
      <c r="F1218" s="74" t="n">
        <v>351694.042110499</v>
      </c>
      <c r="G1218" s="75" t="n">
        <v>612664.177038008</v>
      </c>
      <c r="H1218" s="76" t="n">
        <v>357930.939504437</v>
      </c>
      <c r="I1218" s="77" t="str">
        <f>H1218-F1218</f>
      </c>
      <c r="J1218" s="78" t="str">
        <f>G1218-E1218</f>
      </c>
    </row>
    <row r="1219">
      <c r="A1219" t="s">
        <v>226</v>
      </c>
      <c r="B1219" t="s">
        <v>228</v>
      </c>
      <c r="C1219" s="72" t="n">
        <v>2042</v>
      </c>
      <c r="D1219" t="s">
        <v>424</v>
      </c>
      <c r="E1219" s="73" t="n">
        <v>43288.3802398205</v>
      </c>
      <c r="F1219" s="74" t="n">
        <v>7617.01402753574</v>
      </c>
      <c r="G1219" s="75" t="n">
        <v>43278.7284816073</v>
      </c>
      <c r="H1219" s="76" t="n">
        <v>7616.59280355029</v>
      </c>
      <c r="I1219" s="77" t="str">
        <f>H1219-F1219</f>
      </c>
      <c r="J1219" s="78" t="str">
        <f>G1219-E1219</f>
      </c>
    </row>
    <row r="1220">
      <c r="A1220" t="s">
        <v>226</v>
      </c>
      <c r="B1220" t="s">
        <v>228</v>
      </c>
      <c r="C1220" s="72" t="n">
        <v>2043</v>
      </c>
      <c r="D1220" t="s">
        <v>176</v>
      </c>
      <c r="E1220" s="73" t="n">
        <v>20816.3812634548</v>
      </c>
      <c r="F1220" s="74" t="n">
        <v>14613.4792329279</v>
      </c>
      <c r="G1220" s="75" t="n">
        <v>20720.5482054553</v>
      </c>
      <c r="H1220" s="76" t="n">
        <v>14572.8831532714</v>
      </c>
      <c r="I1220" s="77" t="str">
        <f>H1220-F1220</f>
      </c>
      <c r="J1220" s="78" t="str">
        <f>G1220-E1220</f>
      </c>
    </row>
    <row r="1221">
      <c r="A1221" t="s">
        <v>226</v>
      </c>
      <c r="B1221" t="s">
        <v>228</v>
      </c>
      <c r="C1221" s="72" t="n">
        <v>2043</v>
      </c>
      <c r="D1221" t="s">
        <v>238</v>
      </c>
      <c r="E1221" s="73" t="n">
        <v>1214854.19590038</v>
      </c>
      <c r="F1221" s="74" t="n">
        <v>273120.778471511</v>
      </c>
      <c r="G1221" s="75" t="n">
        <v>1213049.26096591</v>
      </c>
      <c r="H1221" s="76" t="n">
        <v>272950.435419178</v>
      </c>
      <c r="I1221" s="77" t="str">
        <f>H1221-F1221</f>
      </c>
      <c r="J1221" s="78" t="str">
        <f>G1221-E1221</f>
      </c>
    </row>
    <row r="1222">
      <c r="A1222" t="s">
        <v>226</v>
      </c>
      <c r="B1222" t="s">
        <v>228</v>
      </c>
      <c r="C1222" s="72" t="n">
        <v>2043</v>
      </c>
      <c r="D1222" t="s">
        <v>184</v>
      </c>
      <c r="E1222" s="73" t="n">
        <v>143841.33366197</v>
      </c>
      <c r="F1222" s="74" t="n">
        <v>97051.0441122492</v>
      </c>
      <c r="G1222" s="75" t="n">
        <v>146993.814208207</v>
      </c>
      <c r="H1222" s="76" t="n">
        <v>99271.3911680729</v>
      </c>
      <c r="I1222" s="77" t="str">
        <f>H1222-F1222</f>
      </c>
      <c r="J1222" s="78" t="str">
        <f>G1222-E1222</f>
      </c>
    </row>
    <row r="1223">
      <c r="A1223" t="s">
        <v>226</v>
      </c>
      <c r="B1223" t="s">
        <v>228</v>
      </c>
      <c r="C1223" s="72" t="n">
        <v>2043</v>
      </c>
      <c r="D1223" t="s">
        <v>187</v>
      </c>
      <c r="E1223" s="73" t="n">
        <v>460542.378151946</v>
      </c>
      <c r="F1223" s="74" t="n">
        <v>427899.499265647</v>
      </c>
      <c r="G1223" s="75" t="n">
        <v>471154.839580669</v>
      </c>
      <c r="H1223" s="76" t="n">
        <v>437679.988471842</v>
      </c>
      <c r="I1223" s="77" t="str">
        <f>H1223-F1223</f>
      </c>
      <c r="J1223" s="78" t="str">
        <f>G1223-E1223</f>
      </c>
    </row>
    <row r="1224">
      <c r="A1224" t="s">
        <v>226</v>
      </c>
      <c r="B1224" t="s">
        <v>228</v>
      </c>
      <c r="C1224" s="72" t="n">
        <v>2043</v>
      </c>
      <c r="D1224" t="s">
        <v>190</v>
      </c>
      <c r="E1224" s="73" t="n">
        <v>792915.948611411</v>
      </c>
      <c r="F1224" s="74" t="n">
        <v>503120.832839208</v>
      </c>
      <c r="G1224" s="75" t="n">
        <v>810014.772834319</v>
      </c>
      <c r="H1224" s="76" t="n">
        <v>512610.449179313</v>
      </c>
      <c r="I1224" s="77" t="str">
        <f>H1224-F1224</f>
      </c>
      <c r="J1224" s="78" t="str">
        <f>G1224-E1224</f>
      </c>
    </row>
    <row r="1225">
      <c r="A1225" t="s">
        <v>226</v>
      </c>
      <c r="B1225" t="s">
        <v>228</v>
      </c>
      <c r="C1225" s="72" t="n">
        <v>2043</v>
      </c>
      <c r="D1225" t="s">
        <v>193</v>
      </c>
      <c r="E1225" s="73" t="n">
        <v>611274.521729642</v>
      </c>
      <c r="F1225" s="74" t="n">
        <v>361491.87209015</v>
      </c>
      <c r="G1225" s="75" t="n">
        <v>623953.356494139</v>
      </c>
      <c r="H1225" s="76" t="n">
        <v>367959.059248153</v>
      </c>
      <c r="I1225" s="77" t="str">
        <f>H1225-F1225</f>
      </c>
      <c r="J1225" s="78" t="str">
        <f>G1225-E1225</f>
      </c>
    </row>
    <row r="1226">
      <c r="A1226" t="s">
        <v>226</v>
      </c>
      <c r="B1226" t="s">
        <v>228</v>
      </c>
      <c r="C1226" s="72" t="n">
        <v>2043</v>
      </c>
      <c r="D1226" t="s">
        <v>424</v>
      </c>
      <c r="E1226" s="73" t="n">
        <v>43242.7580786783</v>
      </c>
      <c r="F1226" s="74" t="n">
        <v>7635.12473400053</v>
      </c>
      <c r="G1226" s="75" t="n">
        <v>43232.1385441846</v>
      </c>
      <c r="H1226" s="76" t="n">
        <v>7634.63809790975</v>
      </c>
      <c r="I1226" s="77" t="str">
        <f>H1226-F1226</f>
      </c>
      <c r="J1226" s="78" t="str">
        <f>G1226-E1226</f>
      </c>
    </row>
    <row r="1227">
      <c r="A1227" t="s">
        <v>226</v>
      </c>
      <c r="B1227" t="s">
        <v>228</v>
      </c>
      <c r="C1227" s="72" t="n">
        <v>2044</v>
      </c>
      <c r="D1227" t="s">
        <v>176</v>
      </c>
      <c r="E1227" s="73" t="n">
        <v>21326.6334461602</v>
      </c>
      <c r="F1227" s="74" t="n">
        <v>14907.5231572642</v>
      </c>
      <c r="G1227" s="75" t="n">
        <v>21220.2473713984</v>
      </c>
      <c r="H1227" s="76" t="n">
        <v>14861.4315691186</v>
      </c>
      <c r="I1227" s="77" t="str">
        <f>H1227-F1227</f>
      </c>
      <c r="J1227" s="78" t="str">
        <f>G1227-E1227</f>
      </c>
    </row>
    <row r="1228">
      <c r="A1228" t="s">
        <v>226</v>
      </c>
      <c r="B1228" t="s">
        <v>228</v>
      </c>
      <c r="C1228" s="72" t="n">
        <v>2044</v>
      </c>
      <c r="D1228" t="s">
        <v>238</v>
      </c>
      <c r="E1228" s="73" t="n">
        <v>1220946.174006</v>
      </c>
      <c r="F1228" s="74" t="n">
        <v>280703.809898353</v>
      </c>
      <c r="G1228" s="75" t="n">
        <v>1218988.4670045</v>
      </c>
      <c r="H1228" s="76" t="n">
        <v>280506.441535508</v>
      </c>
      <c r="I1228" s="77" t="str">
        <f>H1228-F1228</f>
      </c>
      <c r="J1228" s="78" t="str">
        <f>G1228-E1228</f>
      </c>
    </row>
    <row r="1229">
      <c r="A1229" t="s">
        <v>226</v>
      </c>
      <c r="B1229" t="s">
        <v>228</v>
      </c>
      <c r="C1229" s="72" t="n">
        <v>2044</v>
      </c>
      <c r="D1229" t="s">
        <v>184</v>
      </c>
      <c r="E1229" s="73" t="n">
        <v>146529.662155547</v>
      </c>
      <c r="F1229" s="74" t="n">
        <v>98859.3075070997</v>
      </c>
      <c r="G1229" s="75" t="n">
        <v>149696.213967301</v>
      </c>
      <c r="H1229" s="76" t="n">
        <v>101112.290089553</v>
      </c>
      <c r="I1229" s="77" t="str">
        <f>H1229-F1229</f>
      </c>
      <c r="J1229" s="78" t="str">
        <f>G1229-E1229</f>
      </c>
    </row>
    <row r="1230">
      <c r="A1230" t="s">
        <v>226</v>
      </c>
      <c r="B1230" t="s">
        <v>228</v>
      </c>
      <c r="C1230" s="72" t="n">
        <v>2044</v>
      </c>
      <c r="D1230" t="s">
        <v>187</v>
      </c>
      <c r="E1230" s="73" t="n">
        <v>466925.451578528</v>
      </c>
      <c r="F1230" s="74" t="n">
        <v>433936.536061017</v>
      </c>
      <c r="G1230" s="75" t="n">
        <v>477581.314836645</v>
      </c>
      <c r="H1230" s="76" t="n">
        <v>443800.637197395</v>
      </c>
      <c r="I1230" s="77" t="str">
        <f>H1230-F1230</f>
      </c>
      <c r="J1230" s="78" t="str">
        <f>G1230-E1230</f>
      </c>
    </row>
    <row r="1231">
      <c r="A1231" t="s">
        <v>226</v>
      </c>
      <c r="B1231" t="s">
        <v>228</v>
      </c>
      <c r="C1231" s="72" t="n">
        <v>2044</v>
      </c>
      <c r="D1231" t="s">
        <v>190</v>
      </c>
      <c r="E1231" s="73" t="n">
        <v>803636.768210765</v>
      </c>
      <c r="F1231" s="74" t="n">
        <v>511619.203709531</v>
      </c>
      <c r="G1231" s="75" t="n">
        <v>820742.370121934</v>
      </c>
      <c r="H1231" s="76" t="n">
        <v>521420.170330997</v>
      </c>
      <c r="I1231" s="77" t="str">
        <f>H1231-F1231</f>
      </c>
      <c r="J1231" s="78" t="str">
        <f>G1231-E1231</f>
      </c>
    </row>
    <row r="1232">
      <c r="A1232" t="s">
        <v>226</v>
      </c>
      <c r="B1232" t="s">
        <v>228</v>
      </c>
      <c r="C1232" s="72" t="n">
        <v>2044</v>
      </c>
      <c r="D1232" t="s">
        <v>193</v>
      </c>
      <c r="E1232" s="73" t="n">
        <v>622332.364273808</v>
      </c>
      <c r="F1232" s="74" t="n">
        <v>371238.987164012</v>
      </c>
      <c r="G1232" s="75" t="n">
        <v>635024.546467649</v>
      </c>
      <c r="H1232" s="76" t="n">
        <v>377918.589898958</v>
      </c>
      <c r="I1232" s="77" t="str">
        <f>H1232-F1232</f>
      </c>
      <c r="J1232" s="78" t="str">
        <f>G1232-E1232</f>
      </c>
    </row>
    <row r="1233">
      <c r="A1233" t="s">
        <v>226</v>
      </c>
      <c r="B1233" t="s">
        <v>228</v>
      </c>
      <c r="C1233" s="72" t="n">
        <v>2044</v>
      </c>
      <c r="D1233" t="s">
        <v>424</v>
      </c>
      <c r="E1233" s="73" t="n">
        <v>43214.2305822544</v>
      </c>
      <c r="F1233" s="74" t="n">
        <v>7653.27806934976</v>
      </c>
      <c r="G1233" s="75" t="n">
        <v>43202.6300388595</v>
      </c>
      <c r="H1233" s="76" t="n">
        <v>7652.72182573668</v>
      </c>
      <c r="I1233" s="77" t="str">
        <f>H1233-F1233</f>
      </c>
      <c r="J1233" s="78" t="str">
        <f>G1233-E1233</f>
      </c>
    </row>
    <row r="1234">
      <c r="A1234" t="s">
        <v>226</v>
      </c>
      <c r="B1234" t="s">
        <v>228</v>
      </c>
      <c r="C1234" s="72" t="n">
        <v>2045</v>
      </c>
      <c r="D1234" t="s">
        <v>176</v>
      </c>
      <c r="E1234" s="73" t="n">
        <v>21834.9944162552</v>
      </c>
      <c r="F1234" s="74" t="n">
        <v>15200.1560027441</v>
      </c>
      <c r="G1234" s="75" t="n">
        <v>21717.6165215297</v>
      </c>
      <c r="H1234" s="76" t="n">
        <v>15148.2979562423</v>
      </c>
      <c r="I1234" s="77" t="str">
        <f>H1234-F1234</f>
      </c>
      <c r="J1234" s="78" t="str">
        <f>G1234-E1234</f>
      </c>
    </row>
    <row r="1235">
      <c r="A1235" t="s">
        <v>226</v>
      </c>
      <c r="B1235" t="s">
        <v>228</v>
      </c>
      <c r="C1235" s="72" t="n">
        <v>2045</v>
      </c>
      <c r="D1235" t="s">
        <v>238</v>
      </c>
      <c r="E1235" s="73" t="n">
        <v>1226778.40366395</v>
      </c>
      <c r="F1235" s="74" t="n">
        <v>288151.220483387</v>
      </c>
      <c r="G1235" s="75" t="n">
        <v>1224668.96644768</v>
      </c>
      <c r="H1235" s="76" t="n">
        <v>287925.043222784</v>
      </c>
      <c r="I1235" s="77" t="str">
        <f>H1235-F1235</f>
      </c>
      <c r="J1235" s="78" t="str">
        <f>G1235-E1235</f>
      </c>
    </row>
    <row r="1236">
      <c r="A1236" t="s">
        <v>226</v>
      </c>
      <c r="B1236" t="s">
        <v>228</v>
      </c>
      <c r="C1236" s="72" t="n">
        <v>2045</v>
      </c>
      <c r="D1236" t="s">
        <v>184</v>
      </c>
      <c r="E1236" s="73" t="n">
        <v>149160.269991604</v>
      </c>
      <c r="F1236" s="74" t="n">
        <v>100653.658455601</v>
      </c>
      <c r="G1236" s="75" t="n">
        <v>152338.052815886</v>
      </c>
      <c r="H1236" s="76" t="n">
        <v>102935.314985138</v>
      </c>
      <c r="I1236" s="77" t="str">
        <f>H1236-F1236</f>
      </c>
      <c r="J1236" s="78" t="str">
        <f>G1236-E1236</f>
      </c>
    </row>
    <row r="1237">
      <c r="A1237" t="s">
        <v>226</v>
      </c>
      <c r="B1237" t="s">
        <v>228</v>
      </c>
      <c r="C1237" s="72" t="n">
        <v>2045</v>
      </c>
      <c r="D1237" t="s">
        <v>187</v>
      </c>
      <c r="E1237" s="73" t="n">
        <v>473032.78646163</v>
      </c>
      <c r="F1237" s="74" t="n">
        <v>439781.041634369</v>
      </c>
      <c r="G1237" s="75" t="n">
        <v>483723.516122198</v>
      </c>
      <c r="H1237" s="76" t="n">
        <v>449717.558047709</v>
      </c>
      <c r="I1237" s="77" t="str">
        <f>H1237-F1237</f>
      </c>
      <c r="J1237" s="78" t="str">
        <f>G1237-E1237</f>
      </c>
    </row>
    <row r="1238">
      <c r="A1238" t="s">
        <v>226</v>
      </c>
      <c r="B1238" t="s">
        <v>228</v>
      </c>
      <c r="C1238" s="72" t="n">
        <v>2045</v>
      </c>
      <c r="D1238" t="s">
        <v>190</v>
      </c>
      <c r="E1238" s="73" t="n">
        <v>814362.447764335</v>
      </c>
      <c r="F1238" s="74" t="n">
        <v>519910.352489569</v>
      </c>
      <c r="G1238" s="75" t="n">
        <v>831470.210098177</v>
      </c>
      <c r="H1238" s="76" t="n">
        <v>529994.226959208</v>
      </c>
      <c r="I1238" s="77" t="str">
        <f>H1238-F1238</f>
      </c>
      <c r="J1238" s="78" t="str">
        <f>G1238-E1238</f>
      </c>
    </row>
    <row r="1239">
      <c r="A1239" t="s">
        <v>226</v>
      </c>
      <c r="B1239" t="s">
        <v>228</v>
      </c>
      <c r="C1239" s="72" t="n">
        <v>2045</v>
      </c>
      <c r="D1239" t="s">
        <v>193</v>
      </c>
      <c r="E1239" s="73" t="n">
        <v>633036.172744528</v>
      </c>
      <c r="F1239" s="74" t="n">
        <v>380876.579889789</v>
      </c>
      <c r="G1239" s="75" t="n">
        <v>645730.44769896</v>
      </c>
      <c r="H1239" s="76" t="n">
        <v>387750.678781898</v>
      </c>
      <c r="I1239" s="77" t="str">
        <f>H1239-F1239</f>
      </c>
      <c r="J1239" s="78" t="str">
        <f>G1239-E1239</f>
      </c>
    </row>
    <row r="1240">
      <c r="A1240" t="s">
        <v>226</v>
      </c>
      <c r="B1240" t="s">
        <v>228</v>
      </c>
      <c r="C1240" s="72" t="n">
        <v>2045</v>
      </c>
      <c r="D1240" t="s">
        <v>424</v>
      </c>
      <c r="E1240" s="73" t="n">
        <v>43203.1963501667</v>
      </c>
      <c r="F1240" s="74" t="n">
        <v>7672.69823014006</v>
      </c>
      <c r="G1240" s="75" t="n">
        <v>43190.6037513161</v>
      </c>
      <c r="H1240" s="76" t="n">
        <v>7672.06822678464</v>
      </c>
      <c r="I1240" s="77" t="str">
        <f>H1240-F1240</f>
      </c>
      <c r="J1240" s="78" t="str">
        <f>G1240-E1240</f>
      </c>
    </row>
    <row r="1241">
      <c r="A1241" t="s">
        <v>226</v>
      </c>
      <c r="B1241" t="s">
        <v>228</v>
      </c>
      <c r="C1241" s="72" t="n">
        <v>2046</v>
      </c>
      <c r="D1241" t="s">
        <v>176</v>
      </c>
      <c r="E1241" s="73" t="n">
        <v>22339.7644276914</v>
      </c>
      <c r="F1241" s="74" t="n">
        <v>15494.8124600971</v>
      </c>
      <c r="G1241" s="75" t="n">
        <v>22210.9745219107</v>
      </c>
      <c r="H1241" s="76" t="n">
        <v>15436.8918612077</v>
      </c>
      <c r="I1241" s="77" t="str">
        <f>H1241-F1241</f>
      </c>
      <c r="J1241" s="78" t="str">
        <f>G1241-E1241</f>
      </c>
    </row>
    <row r="1242">
      <c r="A1242" t="s">
        <v>226</v>
      </c>
      <c r="B1242" t="s">
        <v>228</v>
      </c>
      <c r="C1242" s="72" t="n">
        <v>2046</v>
      </c>
      <c r="D1242" t="s">
        <v>238</v>
      </c>
      <c r="E1242" s="73" t="n">
        <v>1232384.66980541</v>
      </c>
      <c r="F1242" s="74" t="n">
        <v>295422.607349643</v>
      </c>
      <c r="G1242" s="75" t="n">
        <v>1230125.0687767</v>
      </c>
      <c r="H1242" s="76" t="n">
        <v>295165.877208802</v>
      </c>
      <c r="I1242" s="77" t="str">
        <f>H1242-F1242</f>
      </c>
      <c r="J1242" s="78" t="str">
        <f>G1242-E1242</f>
      </c>
    </row>
    <row r="1243">
      <c r="A1243" t="s">
        <v>226</v>
      </c>
      <c r="B1243" t="s">
        <v>228</v>
      </c>
      <c r="C1243" s="72" t="n">
        <v>2046</v>
      </c>
      <c r="D1243" t="s">
        <v>184</v>
      </c>
      <c r="E1243" s="73" t="n">
        <v>151732.996033886</v>
      </c>
      <c r="F1243" s="74" t="n">
        <v>102424.530552223</v>
      </c>
      <c r="G1243" s="75" t="n">
        <v>154919.185199882</v>
      </c>
      <c r="H1243" s="76" t="n">
        <v>104731.133984312</v>
      </c>
      <c r="I1243" s="77" t="str">
        <f>H1243-F1243</f>
      </c>
      <c r="J1243" s="78" t="str">
        <f>G1243-E1243</f>
      </c>
    </row>
    <row r="1244">
      <c r="A1244" t="s">
        <v>226</v>
      </c>
      <c r="B1244" t="s">
        <v>228</v>
      </c>
      <c r="C1244" s="72" t="n">
        <v>2046</v>
      </c>
      <c r="D1244" t="s">
        <v>187</v>
      </c>
      <c r="E1244" s="73" t="n">
        <v>478842.754307065</v>
      </c>
      <c r="F1244" s="74" t="n">
        <v>445314.02972423</v>
      </c>
      <c r="G1244" s="75" t="n">
        <v>489559.569488497</v>
      </c>
      <c r="H1244" s="76" t="n">
        <v>455310.080020589</v>
      </c>
      <c r="I1244" s="77" t="str">
        <f>H1244-F1244</f>
      </c>
      <c r="J1244" s="78" t="str">
        <f>G1244-E1244</f>
      </c>
    </row>
    <row r="1245">
      <c r="A1245" t="s">
        <v>226</v>
      </c>
      <c r="B1245" t="s">
        <v>228</v>
      </c>
      <c r="C1245" s="72" t="n">
        <v>2046</v>
      </c>
      <c r="D1245" t="s">
        <v>190</v>
      </c>
      <c r="E1245" s="73" t="n">
        <v>824920.367785394</v>
      </c>
      <c r="F1245" s="74" t="n">
        <v>528099.084972858</v>
      </c>
      <c r="G1245" s="75" t="n">
        <v>842022.211146035</v>
      </c>
      <c r="H1245" s="76" t="n">
        <v>538440.168228285</v>
      </c>
      <c r="I1245" s="77" t="str">
        <f>H1245-F1245</f>
      </c>
      <c r="J1245" s="78" t="str">
        <f>G1245-E1245</f>
      </c>
    </row>
    <row r="1246">
      <c r="A1246" t="s">
        <v>226</v>
      </c>
      <c r="B1246" t="s">
        <v>228</v>
      </c>
      <c r="C1246" s="72" t="n">
        <v>2046</v>
      </c>
      <c r="D1246" t="s">
        <v>193</v>
      </c>
      <c r="E1246" s="73" t="n">
        <v>643338.980736266</v>
      </c>
      <c r="F1246" s="74" t="n">
        <v>390380.828430617</v>
      </c>
      <c r="G1246" s="75" t="n">
        <v>656023.203848247</v>
      </c>
      <c r="H1246" s="76" t="n">
        <v>397431.950602612</v>
      </c>
      <c r="I1246" s="77" t="str">
        <f>H1246-F1246</f>
      </c>
      <c r="J1246" s="78" t="str">
        <f>G1246-E1246</f>
      </c>
    </row>
    <row r="1247">
      <c r="A1247" t="s">
        <v>226</v>
      </c>
      <c r="B1247" t="s">
        <v>228</v>
      </c>
      <c r="C1247" s="72" t="n">
        <v>2046</v>
      </c>
      <c r="D1247" t="s">
        <v>424</v>
      </c>
      <c r="E1247" s="73" t="n">
        <v>43209.9066404157</v>
      </c>
      <c r="F1247" s="74" t="n">
        <v>7694.26473737698</v>
      </c>
      <c r="G1247" s="75" t="n">
        <v>43196.3103231123</v>
      </c>
      <c r="H1247" s="76" t="n">
        <v>7693.55704865625</v>
      </c>
      <c r="I1247" s="77" t="str">
        <f>H1247-F1247</f>
      </c>
      <c r="J1247" s="78" t="str">
        <f>G1247-E1247</f>
      </c>
    </row>
    <row r="1248">
      <c r="A1248" t="s">
        <v>226</v>
      </c>
      <c r="B1248" t="s">
        <v>228</v>
      </c>
      <c r="C1248" s="72" t="n">
        <v>2047</v>
      </c>
      <c r="D1248" t="s">
        <v>176</v>
      </c>
      <c r="E1248" s="73" t="n">
        <v>22840.267703088</v>
      </c>
      <c r="F1248" s="74" t="n">
        <v>15792.7856554257</v>
      </c>
      <c r="G1248" s="75" t="n">
        <v>22699.6629629007</v>
      </c>
      <c r="H1248" s="76" t="n">
        <v>15728.4854947303</v>
      </c>
      <c r="I1248" s="77" t="str">
        <f>H1248-F1248</f>
      </c>
      <c r="J1248" s="78" t="str">
        <f>G1248-E1248</f>
      </c>
    </row>
    <row r="1249">
      <c r="A1249" t="s">
        <v>226</v>
      </c>
      <c r="B1249" t="s">
        <v>228</v>
      </c>
      <c r="C1249" s="72" t="n">
        <v>2047</v>
      </c>
      <c r="D1249" t="s">
        <v>238</v>
      </c>
      <c r="E1249" s="73" t="n">
        <v>1237682.33888111</v>
      </c>
      <c r="F1249" s="74" t="n">
        <v>302469.559406806</v>
      </c>
      <c r="G1249" s="75" t="n">
        <v>1235274.66521773</v>
      </c>
      <c r="H1249" s="76" t="n">
        <v>302180.550312501</v>
      </c>
      <c r="I1249" s="77" t="str">
        <f>H1249-F1249</f>
      </c>
      <c r="J1249" s="78" t="str">
        <f>G1249-E1249</f>
      </c>
    </row>
    <row r="1250">
      <c r="A1250" t="s">
        <v>226</v>
      </c>
      <c r="B1250" t="s">
        <v>228</v>
      </c>
      <c r="C1250" s="72" t="n">
        <v>2047</v>
      </c>
      <c r="D1250" t="s">
        <v>184</v>
      </c>
      <c r="E1250" s="73" t="n">
        <v>154244.219735896</v>
      </c>
      <c r="F1250" s="74" t="n">
        <v>104159.696724277</v>
      </c>
      <c r="G1250" s="75" t="n">
        <v>157435.937342911</v>
      </c>
      <c r="H1250" s="76" t="n">
        <v>106487.677760342</v>
      </c>
      <c r="I1250" s="77" t="str">
        <f>H1250-F1250</f>
      </c>
      <c r="J1250" s="78" t="str">
        <f>G1250-E1250</f>
      </c>
    </row>
    <row r="1251">
      <c r="A1251" t="s">
        <v>226</v>
      </c>
      <c r="B1251" t="s">
        <v>228</v>
      </c>
      <c r="C1251" s="72" t="n">
        <v>2047</v>
      </c>
      <c r="D1251" t="s">
        <v>187</v>
      </c>
      <c r="E1251" s="73" t="n">
        <v>484313.993330272</v>
      </c>
      <c r="F1251" s="74" t="n">
        <v>450496.667496504</v>
      </c>
      <c r="G1251" s="75" t="n">
        <v>495047.331680699</v>
      </c>
      <c r="H1251" s="76" t="n">
        <v>460539.427749469</v>
      </c>
      <c r="I1251" s="77" t="str">
        <f>H1251-F1251</f>
      </c>
      <c r="J1251" s="78" t="str">
        <f>G1251-E1251</f>
      </c>
    </row>
    <row r="1252">
      <c r="A1252" t="s">
        <v>226</v>
      </c>
      <c r="B1252" t="s">
        <v>228</v>
      </c>
      <c r="C1252" s="72" t="n">
        <v>2047</v>
      </c>
      <c r="D1252" t="s">
        <v>190</v>
      </c>
      <c r="E1252" s="73" t="n">
        <v>835268.49110121</v>
      </c>
      <c r="F1252" s="74" t="n">
        <v>536316.951204328</v>
      </c>
      <c r="G1252" s="75" t="n">
        <v>852357.036896631</v>
      </c>
      <c r="H1252" s="76" t="n">
        <v>546892.884748123</v>
      </c>
      <c r="I1252" s="77" t="str">
        <f>H1252-F1252</f>
      </c>
      <c r="J1252" s="78" t="str">
        <f>G1252-E1252</f>
      </c>
    </row>
    <row r="1253">
      <c r="A1253" t="s">
        <v>226</v>
      </c>
      <c r="B1253" t="s">
        <v>228</v>
      </c>
      <c r="C1253" s="72" t="n">
        <v>2047</v>
      </c>
      <c r="D1253" t="s">
        <v>193</v>
      </c>
      <c r="E1253" s="73" t="n">
        <v>653297.352546118</v>
      </c>
      <c r="F1253" s="74" t="n">
        <v>399728.027339226</v>
      </c>
      <c r="G1253" s="75" t="n">
        <v>665960.530537607</v>
      </c>
      <c r="H1253" s="76" t="n">
        <v>406938.309858621</v>
      </c>
      <c r="I1253" s="77" t="str">
        <f>H1253-F1253</f>
      </c>
      <c r="J1253" s="78" t="str">
        <f>G1253-E1253</f>
      </c>
    </row>
    <row r="1254">
      <c r="A1254" t="s">
        <v>226</v>
      </c>
      <c r="B1254" t="s">
        <v>228</v>
      </c>
      <c r="C1254" s="72" t="n">
        <v>2047</v>
      </c>
      <c r="D1254" t="s">
        <v>424</v>
      </c>
      <c r="E1254" s="73" t="n">
        <v>43232.2470191458</v>
      </c>
      <c r="F1254" s="74" t="n">
        <v>7717.05365456602</v>
      </c>
      <c r="G1254" s="75" t="n">
        <v>43217.6341923504</v>
      </c>
      <c r="H1254" s="76" t="n">
        <v>7716.26452507886</v>
      </c>
      <c r="I1254" s="77" t="str">
        <f>H1254-F1254</f>
      </c>
      <c r="J1254" s="78" t="str">
        <f>G1254-E1254</f>
      </c>
    </row>
    <row r="1255">
      <c r="A1255" t="s">
        <v>226</v>
      </c>
      <c r="B1255" t="s">
        <v>228</v>
      </c>
      <c r="C1255" s="72" t="n">
        <v>2048</v>
      </c>
      <c r="D1255" t="s">
        <v>176</v>
      </c>
      <c r="E1255" s="73" t="n">
        <v>23332.55399402</v>
      </c>
      <c r="F1255" s="74" t="n">
        <v>16096.17062242</v>
      </c>
      <c r="G1255" s="75" t="n">
        <v>23179.7775298232</v>
      </c>
      <c r="H1255" s="76" t="n">
        <v>16025.2187605858</v>
      </c>
      <c r="I1255" s="77" t="str">
        <f>H1255-F1255</f>
      </c>
      <c r="J1255" s="78" t="str">
        <f>G1255-E1255</f>
      </c>
    </row>
    <row r="1256">
      <c r="A1256" t="s">
        <v>226</v>
      </c>
      <c r="B1256" t="s">
        <v>228</v>
      </c>
      <c r="C1256" s="72" t="n">
        <v>2048</v>
      </c>
      <c r="D1256" t="s">
        <v>238</v>
      </c>
      <c r="E1256" s="73" t="n">
        <v>1242762.4343931</v>
      </c>
      <c r="F1256" s="74" t="n">
        <v>309287.214977908</v>
      </c>
      <c r="G1256" s="75" t="n">
        <v>1240209.10376068</v>
      </c>
      <c r="H1256" s="76" t="n">
        <v>308964.310377282</v>
      </c>
      <c r="I1256" s="77" t="str">
        <f>H1256-F1256</f>
      </c>
      <c r="J1256" s="78" t="str">
        <f>G1256-E1256</f>
      </c>
    </row>
    <row r="1257">
      <c r="A1257" t="s">
        <v>226</v>
      </c>
      <c r="B1257" t="s">
        <v>228</v>
      </c>
      <c r="C1257" s="72" t="n">
        <v>2048</v>
      </c>
      <c r="D1257" t="s">
        <v>184</v>
      </c>
      <c r="E1257" s="73" t="n">
        <v>156682.762724317</v>
      </c>
      <c r="F1257" s="74" t="n">
        <v>105859.073888976</v>
      </c>
      <c r="G1257" s="75" t="n">
        <v>159877.069557409</v>
      </c>
      <c r="H1257" s="76" t="n">
        <v>108205.309376064</v>
      </c>
      <c r="I1257" s="77" t="str">
        <f>H1257-F1257</f>
      </c>
      <c r="J1257" s="78" t="str">
        <f>G1257-E1257</f>
      </c>
    </row>
    <row r="1258">
      <c r="A1258" t="s">
        <v>226</v>
      </c>
      <c r="B1258" t="s">
        <v>228</v>
      </c>
      <c r="C1258" s="72" t="n">
        <v>2048</v>
      </c>
      <c r="D1258" t="s">
        <v>187</v>
      </c>
      <c r="E1258" s="73" t="n">
        <v>489509.608795497</v>
      </c>
      <c r="F1258" s="74" t="n">
        <v>455477.420396018</v>
      </c>
      <c r="G1258" s="75" t="n">
        <v>500251.963676638</v>
      </c>
      <c r="H1258" s="76" t="n">
        <v>465558.478994868</v>
      </c>
      <c r="I1258" s="77" t="str">
        <f>H1258-F1258</f>
      </c>
      <c r="J1258" s="78" t="str">
        <f>G1258-E1258</f>
      </c>
    </row>
    <row r="1259">
      <c r="A1259" t="s">
        <v>226</v>
      </c>
      <c r="B1259" t="s">
        <v>228</v>
      </c>
      <c r="C1259" s="72" t="n">
        <v>2048</v>
      </c>
      <c r="D1259" t="s">
        <v>190</v>
      </c>
      <c r="E1259" s="73" t="n">
        <v>845354.031826481</v>
      </c>
      <c r="F1259" s="74" t="n">
        <v>544431.499151938</v>
      </c>
      <c r="G1259" s="75" t="n">
        <v>862421.197666068</v>
      </c>
      <c r="H1259" s="76" t="n">
        <v>555219.254274076</v>
      </c>
      <c r="I1259" s="77" t="str">
        <f>H1259-F1259</f>
      </c>
      <c r="J1259" s="78" t="str">
        <f>G1259-E1259</f>
      </c>
    </row>
    <row r="1260">
      <c r="A1260" t="s">
        <v>226</v>
      </c>
      <c r="B1260" t="s">
        <v>228</v>
      </c>
      <c r="C1260" s="72" t="n">
        <v>2048</v>
      </c>
      <c r="D1260" t="s">
        <v>193</v>
      </c>
      <c r="E1260" s="73" t="n">
        <v>662906.053896096</v>
      </c>
      <c r="F1260" s="74" t="n">
        <v>408870.111645646</v>
      </c>
      <c r="G1260" s="75" t="n">
        <v>675538.067131439</v>
      </c>
      <c r="H1260" s="76" t="n">
        <v>416221.145643516</v>
      </c>
      <c r="I1260" s="77" t="str">
        <f>H1260-F1260</f>
      </c>
      <c r="J1260" s="78" t="str">
        <f>G1260-E1260</f>
      </c>
    </row>
    <row r="1261">
      <c r="A1261" t="s">
        <v>226</v>
      </c>
      <c r="B1261" t="s">
        <v>228</v>
      </c>
      <c r="C1261" s="72" t="n">
        <v>2048</v>
      </c>
      <c r="D1261" t="s">
        <v>424</v>
      </c>
      <c r="E1261" s="73" t="n">
        <v>43262.7550503543</v>
      </c>
      <c r="F1261" s="74" t="n">
        <v>7741.84259202456</v>
      </c>
      <c r="G1261" s="75" t="n">
        <v>43247.1165682685</v>
      </c>
      <c r="H1261" s="76" t="n">
        <v>7740.96823230914</v>
      </c>
      <c r="I1261" s="77" t="str">
        <f>H1261-F1261</f>
      </c>
      <c r="J1261" s="78" t="str">
        <f>G1261-E1261</f>
      </c>
    </row>
    <row r="1262">
      <c r="A1262" t="s">
        <v>226</v>
      </c>
      <c r="B1262" t="s">
        <v>228</v>
      </c>
      <c r="C1262" s="72" t="n">
        <v>2049</v>
      </c>
      <c r="D1262" t="s">
        <v>176</v>
      </c>
      <c r="E1262" s="73" t="n">
        <v>23815.6038252196</v>
      </c>
      <c r="F1262" s="74" t="n">
        <v>16400.4657922866</v>
      </c>
      <c r="G1262" s="75" t="n">
        <v>23650.3614840449</v>
      </c>
      <c r="H1262" s="76" t="n">
        <v>16322.61151708</v>
      </c>
      <c r="I1262" s="77" t="str">
        <f>H1262-F1262</f>
      </c>
      <c r="J1262" s="78" t="str">
        <f>G1262-E1262</f>
      </c>
    </row>
    <row r="1263">
      <c r="A1263" t="s">
        <v>226</v>
      </c>
      <c r="B1263" t="s">
        <v>228</v>
      </c>
      <c r="C1263" s="72" t="n">
        <v>2049</v>
      </c>
      <c r="D1263" t="s">
        <v>238</v>
      </c>
      <c r="E1263" s="73" t="n">
        <v>1247654.89018369</v>
      </c>
      <c r="F1263" s="74" t="n">
        <v>315886.950551704</v>
      </c>
      <c r="G1263" s="75" t="n">
        <v>1244958.37630862</v>
      </c>
      <c r="H1263" s="76" t="n">
        <v>315528.654574656</v>
      </c>
      <c r="I1263" s="77" t="str">
        <f>H1263-F1263</f>
      </c>
      <c r="J1263" s="78" t="str">
        <f>G1263-E1263</f>
      </c>
    </row>
    <row r="1264">
      <c r="A1264" t="s">
        <v>226</v>
      </c>
      <c r="B1264" t="s">
        <v>228</v>
      </c>
      <c r="C1264" s="72" t="n">
        <v>2049</v>
      </c>
      <c r="D1264" t="s">
        <v>184</v>
      </c>
      <c r="E1264" s="73" t="n">
        <v>159044.058022634</v>
      </c>
      <c r="F1264" s="74" t="n">
        <v>107520.649998729</v>
      </c>
      <c r="G1264" s="75" t="n">
        <v>162238.134685625</v>
      </c>
      <c r="H1264" s="76" t="n">
        <v>109882.371148655</v>
      </c>
      <c r="I1264" s="77" t="str">
        <f>H1264-F1264</f>
      </c>
      <c r="J1264" s="78" t="str">
        <f>G1264-E1264</f>
      </c>
    </row>
    <row r="1265">
      <c r="A1265" t="s">
        <v>226</v>
      </c>
      <c r="B1265" t="s">
        <v>228</v>
      </c>
      <c r="C1265" s="72" t="n">
        <v>2049</v>
      </c>
      <c r="D1265" t="s">
        <v>187</v>
      </c>
      <c r="E1265" s="73" t="n">
        <v>494470.593685625</v>
      </c>
      <c r="F1265" s="74" t="n">
        <v>460271.562413163</v>
      </c>
      <c r="G1265" s="75" t="n">
        <v>505215.900508139</v>
      </c>
      <c r="H1265" s="76" t="n">
        <v>470383.880162835</v>
      </c>
      <c r="I1265" s="77" t="str">
        <f>H1265-F1265</f>
      </c>
      <c r="J1265" s="78" t="str">
        <f>G1265-E1265</f>
      </c>
    </row>
    <row r="1266">
      <c r="A1266" t="s">
        <v>226</v>
      </c>
      <c r="B1266" t="s">
        <v>228</v>
      </c>
      <c r="C1266" s="72" t="n">
        <v>2049</v>
      </c>
      <c r="D1266" t="s">
        <v>190</v>
      </c>
      <c r="E1266" s="73" t="n">
        <v>855005.074073944</v>
      </c>
      <c r="F1266" s="74" t="n">
        <v>552361.595325748</v>
      </c>
      <c r="G1266" s="75" t="n">
        <v>872039.412561908</v>
      </c>
      <c r="H1266" s="76" t="n">
        <v>563337.765593671</v>
      </c>
      <c r="I1266" s="77" t="str">
        <f>H1266-F1266</f>
      </c>
      <c r="J1266" s="78" t="str">
        <f>G1266-E1266</f>
      </c>
    </row>
    <row r="1267">
      <c r="A1267" t="s">
        <v>226</v>
      </c>
      <c r="B1267" t="s">
        <v>228</v>
      </c>
      <c r="C1267" s="72" t="n">
        <v>2049</v>
      </c>
      <c r="D1267" t="s">
        <v>193</v>
      </c>
      <c r="E1267" s="73" t="n">
        <v>672206.93776778</v>
      </c>
      <c r="F1267" s="74" t="n">
        <v>417738.405170201</v>
      </c>
      <c r="G1267" s="75" t="n">
        <v>684799.519243418</v>
      </c>
      <c r="H1267" s="76" t="n">
        <v>425211.294806661</v>
      </c>
      <c r="I1267" s="77" t="str">
        <f>H1267-F1267</f>
      </c>
      <c r="J1267" s="78" t="str">
        <f>G1267-E1267</f>
      </c>
    </row>
    <row r="1268">
      <c r="A1268" t="s">
        <v>226</v>
      </c>
      <c r="B1268" t="s">
        <v>228</v>
      </c>
      <c r="C1268" s="72" t="n">
        <v>2049</v>
      </c>
      <c r="D1268" t="s">
        <v>424</v>
      </c>
      <c r="E1268" s="73" t="n">
        <v>43304.3623589561</v>
      </c>
      <c r="F1268" s="74" t="n">
        <v>7765.38838983911</v>
      </c>
      <c r="G1268" s="75" t="n">
        <v>43287.6941181752</v>
      </c>
      <c r="H1268" s="76" t="n">
        <v>7764.42505773382</v>
      </c>
      <c r="I1268" s="77" t="str">
        <f>H1268-F1268</f>
      </c>
      <c r="J1268" s="78" t="str">
        <f>G1268-E1268</f>
      </c>
    </row>
    <row r="1269">
      <c r="A1269" t="s">
        <v>226</v>
      </c>
      <c r="B1269" t="s">
        <v>228</v>
      </c>
      <c r="C1269" s="72" t="n">
        <v>2050</v>
      </c>
      <c r="D1269" t="s">
        <v>176</v>
      </c>
      <c r="E1269" s="73" t="n">
        <v>24288.3790569815</v>
      </c>
      <c r="F1269" s="74" t="n">
        <v>16703.9003926409</v>
      </c>
      <c r="G1269" s="75" t="n">
        <v>24110.4306261692</v>
      </c>
      <c r="H1269" s="76" t="n">
        <v>16618.9237091261</v>
      </c>
      <c r="I1269" s="77" t="str">
        <f>H1269-F1269</f>
      </c>
      <c r="J1269" s="78" t="str">
        <f>G1269-E1269</f>
      </c>
    </row>
    <row r="1270">
      <c r="A1270" t="s">
        <v>226</v>
      </c>
      <c r="B1270" t="s">
        <v>228</v>
      </c>
      <c r="C1270" s="72" t="n">
        <v>2050</v>
      </c>
      <c r="D1270" t="s">
        <v>238</v>
      </c>
      <c r="E1270" s="73" t="n">
        <v>1252412.11996924</v>
      </c>
      <c r="F1270" s="74" t="n">
        <v>322261.205548713</v>
      </c>
      <c r="G1270" s="75" t="n">
        <v>1249574.98129843</v>
      </c>
      <c r="H1270" s="76" t="n">
        <v>321866.145423905</v>
      </c>
      <c r="I1270" s="77" t="str">
        <f>H1270-F1270</f>
      </c>
      <c r="J1270" s="78" t="str">
        <f>G1270-E1270</f>
      </c>
    </row>
    <row r="1271">
      <c r="A1271" t="s">
        <v>226</v>
      </c>
      <c r="B1271" t="s">
        <v>228</v>
      </c>
      <c r="C1271" s="72" t="n">
        <v>2050</v>
      </c>
      <c r="D1271" t="s">
        <v>184</v>
      </c>
      <c r="E1271" s="73" t="n">
        <v>161335.569384059</v>
      </c>
      <c r="F1271" s="74" t="n">
        <v>109121.992926032</v>
      </c>
      <c r="G1271" s="75" t="n">
        <v>164526.94959842</v>
      </c>
      <c r="H1271" s="76" t="n">
        <v>111496.260054028</v>
      </c>
      <c r="I1271" s="77" t="str">
        <f>H1271-F1271</f>
      </c>
      <c r="J1271" s="78" t="str">
        <f>G1271-E1271</f>
      </c>
    </row>
    <row r="1272">
      <c r="A1272" t="s">
        <v>226</v>
      </c>
      <c r="B1272" t="s">
        <v>228</v>
      </c>
      <c r="C1272" s="72" t="n">
        <v>2050</v>
      </c>
      <c r="D1272" t="s">
        <v>187</v>
      </c>
      <c r="E1272" s="73" t="n">
        <v>499181.637361875</v>
      </c>
      <c r="F1272" s="74" t="n">
        <v>464758.836937546</v>
      </c>
      <c r="G1272" s="75" t="n">
        <v>509923.794653266</v>
      </c>
      <c r="H1272" s="76" t="n">
        <v>474893.254554943</v>
      </c>
      <c r="I1272" s="77" t="str">
        <f>H1272-F1272</f>
      </c>
      <c r="J1272" s="78" t="str">
        <f>G1272-E1272</f>
      </c>
    </row>
    <row r="1273">
      <c r="A1273" t="s">
        <v>226</v>
      </c>
      <c r="B1273" t="s">
        <v>228</v>
      </c>
      <c r="C1273" s="72" t="n">
        <v>2050</v>
      </c>
      <c r="D1273" t="s">
        <v>190</v>
      </c>
      <c r="E1273" s="73" t="n">
        <v>864228.853824179</v>
      </c>
      <c r="F1273" s="74" t="n">
        <v>560161.041769259</v>
      </c>
      <c r="G1273" s="75" t="n">
        <v>881220.210178615</v>
      </c>
      <c r="H1273" s="76" t="n">
        <v>571305.130665456</v>
      </c>
      <c r="I1273" s="77" t="str">
        <f>H1273-F1273</f>
      </c>
      <c r="J1273" s="78" t="str">
        <f>G1273-E1273</f>
      </c>
    </row>
    <row r="1274">
      <c r="A1274" t="s">
        <v>226</v>
      </c>
      <c r="B1274" t="s">
        <v>228</v>
      </c>
      <c r="C1274" s="72" t="n">
        <v>2050</v>
      </c>
      <c r="D1274" t="s">
        <v>193</v>
      </c>
      <c r="E1274" s="73" t="n">
        <v>681285.79268305</v>
      </c>
      <c r="F1274" s="74" t="n">
        <v>426351.00904432</v>
      </c>
      <c r="G1274" s="75" t="n">
        <v>693833.375810026</v>
      </c>
      <c r="H1274" s="76" t="n">
        <v>433928.116842437</v>
      </c>
      <c r="I1274" s="77" t="str">
        <f>H1274-F1274</f>
      </c>
      <c r="J1274" s="78" t="str">
        <f>G1274-E1274</f>
      </c>
    </row>
    <row r="1275">
      <c r="A1275" t="s">
        <v>226</v>
      </c>
      <c r="B1275" t="s">
        <v>228</v>
      </c>
      <c r="C1275" s="72" t="n">
        <v>2050</v>
      </c>
      <c r="D1275" t="s">
        <v>424</v>
      </c>
      <c r="E1275" s="73" t="n">
        <v>43355.0323148833</v>
      </c>
      <c r="F1275" s="74" t="n">
        <v>7786.64836621165</v>
      </c>
      <c r="G1275" s="75" t="n">
        <v>43337.3340718481</v>
      </c>
      <c r="H1275" s="76" t="n">
        <v>7785.59251624651</v>
      </c>
      <c r="I1275" s="77" t="str">
        <f>H1275-F1275</f>
      </c>
      <c r="J1275" s="78" t="str">
        <f>G1275-E1275</f>
      </c>
    </row>
    <row r="1276">
      <c r="A1276" t="s">
        <v>233</v>
      </c>
      <c r="B1276" t="s">
        <v>235</v>
      </c>
      <c r="C1276" s="72" t="n">
        <v>2025</v>
      </c>
      <c r="D1276" t="s">
        <v>176</v>
      </c>
      <c r="E1276" s="73" t="n">
        <v>12347.3896757033</v>
      </c>
      <c r="F1276" s="74" t="n">
        <v>8975.30849722876</v>
      </c>
      <c r="G1276" s="75" t="n">
        <v>12347.3896757033</v>
      </c>
      <c r="H1276" s="76" t="n">
        <v>8975.30849722876</v>
      </c>
      <c r="I1276" s="77" t="str">
        <f>H1276-F1276</f>
      </c>
      <c r="J1276" s="78" t="str">
        <f>G1276-E1276</f>
      </c>
    </row>
    <row r="1277">
      <c r="A1277" t="s">
        <v>233</v>
      </c>
      <c r="B1277" t="s">
        <v>235</v>
      </c>
      <c r="C1277" s="72" t="n">
        <v>2025</v>
      </c>
      <c r="D1277" t="s">
        <v>238</v>
      </c>
      <c r="E1277" s="73" t="n">
        <v>1026043.97207164</v>
      </c>
      <c r="F1277" s="74" t="n">
        <v>129403.022830672</v>
      </c>
      <c r="G1277" s="75" t="n">
        <v>1026043.97207164</v>
      </c>
      <c r="H1277" s="76" t="n">
        <v>129403.022830672</v>
      </c>
      <c r="I1277" s="77" t="str">
        <f>H1277-F1277</f>
      </c>
      <c r="J1277" s="78" t="str">
        <f>G1277-E1277</f>
      </c>
    </row>
    <row r="1278">
      <c r="A1278" t="s">
        <v>233</v>
      </c>
      <c r="B1278" t="s">
        <v>235</v>
      </c>
      <c r="C1278" s="72" t="n">
        <v>2025</v>
      </c>
      <c r="D1278" t="s">
        <v>184</v>
      </c>
      <c r="E1278" s="73" t="n">
        <v>91684.5090142746</v>
      </c>
      <c r="F1278" s="74" t="n">
        <v>63318.7518252021</v>
      </c>
      <c r="G1278" s="75" t="n">
        <v>91684.5090142746</v>
      </c>
      <c r="H1278" s="76" t="n">
        <v>63318.7518252021</v>
      </c>
      <c r="I1278" s="77" t="str">
        <f>H1278-F1278</f>
      </c>
      <c r="J1278" s="78" t="str">
        <f>G1278-E1278</f>
      </c>
    </row>
    <row r="1279">
      <c r="A1279" t="s">
        <v>233</v>
      </c>
      <c r="B1279" t="s">
        <v>235</v>
      </c>
      <c r="C1279" s="72" t="n">
        <v>2025</v>
      </c>
      <c r="D1279" t="s">
        <v>187</v>
      </c>
      <c r="E1279" s="73" t="n">
        <v>327817.992111529</v>
      </c>
      <c r="F1279" s="74" t="n">
        <v>300216.82861998</v>
      </c>
      <c r="G1279" s="75" t="n">
        <v>327817.992111529</v>
      </c>
      <c r="H1279" s="76" t="n">
        <v>300216.82861998</v>
      </c>
      <c r="I1279" s="77" t="str">
        <f>H1279-F1279</f>
      </c>
      <c r="J1279" s="78" t="str">
        <f>G1279-E1279</f>
      </c>
    </row>
    <row r="1280">
      <c r="A1280" t="s">
        <v>233</v>
      </c>
      <c r="B1280" t="s">
        <v>235</v>
      </c>
      <c r="C1280" s="72" t="n">
        <v>2025</v>
      </c>
      <c r="D1280" t="s">
        <v>190</v>
      </c>
      <c r="E1280" s="73" t="n">
        <v>563964.128928848</v>
      </c>
      <c r="F1280" s="74" t="n">
        <v>321188.162987932</v>
      </c>
      <c r="G1280" s="75" t="n">
        <v>563964.128928848</v>
      </c>
      <c r="H1280" s="76" t="n">
        <v>321188.162987932</v>
      </c>
      <c r="I1280" s="77" t="str">
        <f>H1280-F1280</f>
      </c>
      <c r="J1280" s="78" t="str">
        <f>G1280-E1280</f>
      </c>
    </row>
    <row r="1281">
      <c r="A1281" t="s">
        <v>233</v>
      </c>
      <c r="B1281" t="s">
        <v>235</v>
      </c>
      <c r="C1281" s="72" t="n">
        <v>2025</v>
      </c>
      <c r="D1281" t="s">
        <v>193</v>
      </c>
      <c r="E1281" s="73" t="n">
        <v>396205.912797568</v>
      </c>
      <c r="F1281" s="74" t="n">
        <v>191954.713579597</v>
      </c>
      <c r="G1281" s="75" t="n">
        <v>396205.912797568</v>
      </c>
      <c r="H1281" s="76" t="n">
        <v>191954.713579597</v>
      </c>
      <c r="I1281" s="77" t="str">
        <f>H1281-F1281</f>
      </c>
      <c r="J1281" s="78" t="str">
        <f>G1281-E1281</f>
      </c>
    </row>
    <row r="1282">
      <c r="A1282" t="s">
        <v>233</v>
      </c>
      <c r="B1282" t="s">
        <v>235</v>
      </c>
      <c r="C1282" s="72" t="n">
        <v>2025</v>
      </c>
      <c r="D1282" t="s">
        <v>424</v>
      </c>
      <c r="E1282" s="73" t="n">
        <v>44024.8557845561</v>
      </c>
      <c r="F1282" s="74" t="n">
        <v>6961.02866951274</v>
      </c>
      <c r="G1282" s="75" t="n">
        <v>44024.8557845561</v>
      </c>
      <c r="H1282" s="76" t="n">
        <v>6961.02866951274</v>
      </c>
      <c r="I1282" s="77" t="str">
        <f>H1282-F1282</f>
      </c>
      <c r="J1282" s="78" t="str">
        <f>G1282-E1282</f>
      </c>
    </row>
    <row r="1283">
      <c r="A1283" t="s">
        <v>233</v>
      </c>
      <c r="B1283" t="s">
        <v>235</v>
      </c>
      <c r="C1283" s="72" t="n">
        <v>2026</v>
      </c>
      <c r="D1283" t="s">
        <v>176</v>
      </c>
      <c r="E1283" s="73" t="n">
        <v>12812.507871628</v>
      </c>
      <c r="F1283" s="74" t="n">
        <v>9308.26420910955</v>
      </c>
      <c r="G1283" s="75" t="n">
        <v>12812.507871628</v>
      </c>
      <c r="H1283" s="76" t="n">
        <v>9308.26420910955</v>
      </c>
      <c r="I1283" s="77" t="str">
        <f>H1283-F1283</f>
      </c>
      <c r="J1283" s="78" t="str">
        <f>G1283-E1283</f>
      </c>
    </row>
    <row r="1284">
      <c r="A1284" t="s">
        <v>233</v>
      </c>
      <c r="B1284" t="s">
        <v>235</v>
      </c>
      <c r="C1284" s="72" t="n">
        <v>2026</v>
      </c>
      <c r="D1284" t="s">
        <v>238</v>
      </c>
      <c r="E1284" s="73" t="n">
        <v>1040293.93432531</v>
      </c>
      <c r="F1284" s="74" t="n">
        <v>137191.896136923</v>
      </c>
      <c r="G1284" s="75" t="n">
        <v>1040956.74283153</v>
      </c>
      <c r="H1284" s="76" t="n">
        <v>137191.896136923</v>
      </c>
      <c r="I1284" s="77" t="str">
        <f>H1284-F1284</f>
      </c>
      <c r="J1284" s="78" t="str">
        <f>G1284-E1284</f>
      </c>
    </row>
    <row r="1285">
      <c r="A1285" t="s">
        <v>233</v>
      </c>
      <c r="B1285" t="s">
        <v>235</v>
      </c>
      <c r="C1285" s="72" t="n">
        <v>2026</v>
      </c>
      <c r="D1285" t="s">
        <v>184</v>
      </c>
      <c r="E1285" s="73" t="n">
        <v>95041.0294978378</v>
      </c>
      <c r="F1285" s="74" t="n">
        <v>65164.4704134017</v>
      </c>
      <c r="G1285" s="75" t="n">
        <v>95077.1833035265</v>
      </c>
      <c r="H1285" s="76" t="n">
        <v>65164.4704134017</v>
      </c>
      <c r="I1285" s="77" t="str">
        <f>H1285-F1285</f>
      </c>
      <c r="J1285" s="78" t="str">
        <f>G1285-E1285</f>
      </c>
    </row>
    <row r="1286">
      <c r="A1286" t="s">
        <v>233</v>
      </c>
      <c r="B1286" t="s">
        <v>235</v>
      </c>
      <c r="C1286" s="72" t="n">
        <v>2026</v>
      </c>
      <c r="D1286" t="s">
        <v>187</v>
      </c>
      <c r="E1286" s="73" t="n">
        <v>336773.503057466</v>
      </c>
      <c r="F1286" s="74" t="n">
        <v>308606.943045308</v>
      </c>
      <c r="G1286" s="75" t="n">
        <v>336875.423495605</v>
      </c>
      <c r="H1286" s="76" t="n">
        <v>308606.943045308</v>
      </c>
      <c r="I1286" s="77" t="str">
        <f>H1286-F1286</f>
      </c>
      <c r="J1286" s="78" t="str">
        <f>G1286-E1286</f>
      </c>
    </row>
    <row r="1287">
      <c r="A1287" t="s">
        <v>233</v>
      </c>
      <c r="B1287" t="s">
        <v>235</v>
      </c>
      <c r="C1287" s="72" t="n">
        <v>2026</v>
      </c>
      <c r="D1287" t="s">
        <v>190</v>
      </c>
      <c r="E1287" s="73" t="n">
        <v>579811.917247786</v>
      </c>
      <c r="F1287" s="74" t="n">
        <v>332896.185768311</v>
      </c>
      <c r="G1287" s="75" t="n">
        <v>580111.541957649</v>
      </c>
      <c r="H1287" s="76" t="n">
        <v>332896.185768311</v>
      </c>
      <c r="I1287" s="77" t="str">
        <f>H1287-F1287</f>
      </c>
      <c r="J1287" s="78" t="str">
        <f>G1287-E1287</f>
      </c>
    </row>
    <row r="1288">
      <c r="A1288" t="s">
        <v>233</v>
      </c>
      <c r="B1288" t="s">
        <v>235</v>
      </c>
      <c r="C1288" s="72" t="n">
        <v>2026</v>
      </c>
      <c r="D1288" t="s">
        <v>193</v>
      </c>
      <c r="E1288" s="73" t="n">
        <v>409720.955077964</v>
      </c>
      <c r="F1288" s="74" t="n">
        <v>202008.199783237</v>
      </c>
      <c r="G1288" s="75" t="n">
        <v>409829.87281699</v>
      </c>
      <c r="H1288" s="76" t="n">
        <v>202008.199783237</v>
      </c>
      <c r="I1288" s="77" t="str">
        <f>H1288-F1288</f>
      </c>
      <c r="J1288" s="78" t="str">
        <f>G1288-E1288</f>
      </c>
    </row>
    <row r="1289">
      <c r="A1289" t="s">
        <v>233</v>
      </c>
      <c r="B1289" t="s">
        <v>235</v>
      </c>
      <c r="C1289" s="72" t="n">
        <v>2026</v>
      </c>
      <c r="D1289" t="s">
        <v>424</v>
      </c>
      <c r="E1289" s="73" t="n">
        <v>44219.1707517653</v>
      </c>
      <c r="F1289" s="74" t="n">
        <v>7023.77126872287</v>
      </c>
      <c r="G1289" s="75" t="n">
        <v>44219.1707517653</v>
      </c>
      <c r="H1289" s="76" t="n">
        <v>7023.77126872287</v>
      </c>
      <c r="I1289" s="77" t="str">
        <f>H1289-F1289</f>
      </c>
      <c r="J1289" s="78" t="str">
        <f>G1289-E1289</f>
      </c>
    </row>
    <row r="1290">
      <c r="A1290" t="s">
        <v>233</v>
      </c>
      <c r="B1290" t="s">
        <v>235</v>
      </c>
      <c r="C1290" s="72" t="n">
        <v>2027</v>
      </c>
      <c r="D1290" t="s">
        <v>176</v>
      </c>
      <c r="E1290" s="73" t="n">
        <v>13273.481772584</v>
      </c>
      <c r="F1290" s="74" t="n">
        <v>9640.71530777017</v>
      </c>
      <c r="G1290" s="75" t="n">
        <v>13273.481772584</v>
      </c>
      <c r="H1290" s="76" t="n">
        <v>9640.71530777017</v>
      </c>
      <c r="I1290" s="77" t="str">
        <f>H1290-F1290</f>
      </c>
      <c r="J1290" s="78" t="str">
        <f>G1290-E1290</f>
      </c>
    </row>
    <row r="1291">
      <c r="A1291" t="s">
        <v>233</v>
      </c>
      <c r="B1291" t="s">
        <v>235</v>
      </c>
      <c r="C1291" s="72" t="n">
        <v>2027</v>
      </c>
      <c r="D1291" t="s">
        <v>238</v>
      </c>
      <c r="E1291" s="73" t="n">
        <v>1053916.58136586</v>
      </c>
      <c r="F1291" s="74" t="n">
        <v>145082.704176156</v>
      </c>
      <c r="G1291" s="75" t="n">
        <v>1055255.40879996</v>
      </c>
      <c r="H1291" s="76" t="n">
        <v>145087.130776418</v>
      </c>
      <c r="I1291" s="77" t="str">
        <f>H1291-F1291</f>
      </c>
      <c r="J1291" s="78" t="str">
        <f>G1291-E1291</f>
      </c>
    </row>
    <row r="1292">
      <c r="A1292" t="s">
        <v>233</v>
      </c>
      <c r="B1292" t="s">
        <v>235</v>
      </c>
      <c r="C1292" s="72" t="n">
        <v>2027</v>
      </c>
      <c r="D1292" t="s">
        <v>184</v>
      </c>
      <c r="E1292" s="73" t="n">
        <v>98374.0318111807</v>
      </c>
      <c r="F1292" s="74" t="n">
        <v>67061.8841456432</v>
      </c>
      <c r="G1292" s="75" t="n">
        <v>98448.8278839669</v>
      </c>
      <c r="H1292" s="76" t="n">
        <v>67068.0169086102</v>
      </c>
      <c r="I1292" s="77" t="str">
        <f>H1292-F1292</f>
      </c>
      <c r="J1292" s="78" t="str">
        <f>G1292-E1292</f>
      </c>
    </row>
    <row r="1293">
      <c r="A1293" t="s">
        <v>233</v>
      </c>
      <c r="B1293" t="s">
        <v>235</v>
      </c>
      <c r="C1293" s="72" t="n">
        <v>2027</v>
      </c>
      <c r="D1293" t="s">
        <v>187</v>
      </c>
      <c r="E1293" s="73" t="n">
        <v>345727.710028621</v>
      </c>
      <c r="F1293" s="74" t="n">
        <v>317074.653901247</v>
      </c>
      <c r="G1293" s="75" t="n">
        <v>345936.706716403</v>
      </c>
      <c r="H1293" s="76" t="n">
        <v>317119.553552555</v>
      </c>
      <c r="I1293" s="77" t="str">
        <f>H1293-F1293</f>
      </c>
      <c r="J1293" s="78" t="str">
        <f>G1293-E1293</f>
      </c>
    </row>
    <row r="1294">
      <c r="A1294" t="s">
        <v>233</v>
      </c>
      <c r="B1294" t="s">
        <v>235</v>
      </c>
      <c r="C1294" s="72" t="n">
        <v>2027</v>
      </c>
      <c r="D1294" t="s">
        <v>190</v>
      </c>
      <c r="E1294" s="73" t="n">
        <v>595535.227050924</v>
      </c>
      <c r="F1294" s="74" t="n">
        <v>344497.930917647</v>
      </c>
      <c r="G1294" s="75" t="n">
        <v>596148.832334676</v>
      </c>
      <c r="H1294" s="76" t="n">
        <v>344517.274659827</v>
      </c>
      <c r="I1294" s="77" t="str">
        <f>H1294-F1294</f>
      </c>
      <c r="J1294" s="78" t="str">
        <f>G1294-E1294</f>
      </c>
    </row>
    <row r="1295">
      <c r="A1295" t="s">
        <v>233</v>
      </c>
      <c r="B1295" t="s">
        <v>235</v>
      </c>
      <c r="C1295" s="72" t="n">
        <v>2027</v>
      </c>
      <c r="D1295" t="s">
        <v>193</v>
      </c>
      <c r="E1295" s="73" t="n">
        <v>423260.792543057</v>
      </c>
      <c r="F1295" s="74" t="n">
        <v>211987.085155345</v>
      </c>
      <c r="G1295" s="75" t="n">
        <v>423485.101321999</v>
      </c>
      <c r="H1295" s="76" t="n">
        <v>211995.488024171</v>
      </c>
      <c r="I1295" s="77" t="str">
        <f>H1295-F1295</f>
      </c>
      <c r="J1295" s="78" t="str">
        <f>G1295-E1295</f>
      </c>
    </row>
    <row r="1296">
      <c r="A1296" t="s">
        <v>233</v>
      </c>
      <c r="B1296" t="s">
        <v>235</v>
      </c>
      <c r="C1296" s="72" t="n">
        <v>2027</v>
      </c>
      <c r="D1296" t="s">
        <v>424</v>
      </c>
      <c r="E1296" s="73" t="n">
        <v>44384.2018393689</v>
      </c>
      <c r="F1296" s="74" t="n">
        <v>7080.05700568168</v>
      </c>
      <c r="G1296" s="75" t="n">
        <v>44384.2018393689</v>
      </c>
      <c r="H1296" s="76" t="n">
        <v>7080.05700568168</v>
      </c>
      <c r="I1296" s="77" t="str">
        <f>H1296-F1296</f>
      </c>
      <c r="J1296" s="78" t="str">
        <f>G1296-E1296</f>
      </c>
    </row>
    <row r="1297">
      <c r="A1297" t="s">
        <v>233</v>
      </c>
      <c r="B1297" t="s">
        <v>235</v>
      </c>
      <c r="C1297" s="72" t="n">
        <v>2028</v>
      </c>
      <c r="D1297" t="s">
        <v>176</v>
      </c>
      <c r="E1297" s="73" t="n">
        <v>13729.5274318709</v>
      </c>
      <c r="F1297" s="74" t="n">
        <v>9971.45472163389</v>
      </c>
      <c r="G1297" s="75" t="n">
        <v>13729.5005000864</v>
      </c>
      <c r="H1297" s="76" t="n">
        <v>9971.45472163389</v>
      </c>
      <c r="I1297" s="77" t="str">
        <f>H1297-F1297</f>
      </c>
      <c r="J1297" s="78" t="str">
        <f>G1297-E1297</f>
      </c>
    </row>
    <row r="1298">
      <c r="A1298" t="s">
        <v>233</v>
      </c>
      <c r="B1298" t="s">
        <v>235</v>
      </c>
      <c r="C1298" s="72" t="n">
        <v>2028</v>
      </c>
      <c r="D1298" t="s">
        <v>238</v>
      </c>
      <c r="E1298" s="73" t="n">
        <v>1066978.68171432</v>
      </c>
      <c r="F1298" s="74" t="n">
        <v>153064.309521376</v>
      </c>
      <c r="G1298" s="75" t="n">
        <v>1069005.07088018</v>
      </c>
      <c r="H1298" s="76" t="n">
        <v>153077.867387244</v>
      </c>
      <c r="I1298" s="77" t="str">
        <f>H1298-F1298</f>
      </c>
      <c r="J1298" s="78" t="str">
        <f>G1298-E1298</f>
      </c>
    </row>
    <row r="1299">
      <c r="A1299" t="s">
        <v>233</v>
      </c>
      <c r="B1299" t="s">
        <v>235</v>
      </c>
      <c r="C1299" s="72" t="n">
        <v>2028</v>
      </c>
      <c r="D1299" t="s">
        <v>184</v>
      </c>
      <c r="E1299" s="73" t="n">
        <v>101682.228497105</v>
      </c>
      <c r="F1299" s="74" t="n">
        <v>69002.6519435965</v>
      </c>
      <c r="G1299" s="75" t="n">
        <v>101797.96761407</v>
      </c>
      <c r="H1299" s="76" t="n">
        <v>69019.933123165</v>
      </c>
      <c r="I1299" s="77" t="str">
        <f>H1299-F1299</f>
      </c>
      <c r="J1299" s="78" t="str">
        <f>G1299-E1299</f>
      </c>
    </row>
    <row r="1300">
      <c r="A1300" t="s">
        <v>233</v>
      </c>
      <c r="B1300" t="s">
        <v>235</v>
      </c>
      <c r="C1300" s="72" t="n">
        <v>2028</v>
      </c>
      <c r="D1300" t="s">
        <v>187</v>
      </c>
      <c r="E1300" s="73" t="n">
        <v>354644.549084088</v>
      </c>
      <c r="F1300" s="74" t="n">
        <v>325579.686420782</v>
      </c>
      <c r="G1300" s="75" t="n">
        <v>354965.535819133</v>
      </c>
      <c r="H1300" s="76" t="n">
        <v>325690.683016893</v>
      </c>
      <c r="I1300" s="77" t="str">
        <f>H1300-F1300</f>
      </c>
      <c r="J1300" s="78" t="str">
        <f>G1300-E1300</f>
      </c>
    </row>
    <row r="1301">
      <c r="A1301" t="s">
        <v>233</v>
      </c>
      <c r="B1301" t="s">
        <v>235</v>
      </c>
      <c r="C1301" s="72" t="n">
        <v>2028</v>
      </c>
      <c r="D1301" t="s">
        <v>190</v>
      </c>
      <c r="E1301" s="73" t="n">
        <v>611090.692883752</v>
      </c>
      <c r="F1301" s="74" t="n">
        <v>356015.961989417</v>
      </c>
      <c r="G1301" s="75" t="n">
        <v>612031.659444751</v>
      </c>
      <c r="H1301" s="76" t="n">
        <v>356073.571438059</v>
      </c>
      <c r="I1301" s="77" t="str">
        <f>H1301-F1301</f>
      </c>
      <c r="J1301" s="78" t="str">
        <f>G1301-E1301</f>
      </c>
    </row>
    <row r="1302">
      <c r="A1302" t="s">
        <v>233</v>
      </c>
      <c r="B1302" t="s">
        <v>235</v>
      </c>
      <c r="C1302" s="72" t="n">
        <v>2028</v>
      </c>
      <c r="D1302" t="s">
        <v>193</v>
      </c>
      <c r="E1302" s="73" t="n">
        <v>436814.243814261</v>
      </c>
      <c r="F1302" s="74" t="n">
        <v>221884.667220637</v>
      </c>
      <c r="G1302" s="75" t="n">
        <v>437159.755191958</v>
      </c>
      <c r="H1302" s="76" t="n">
        <v>221908.958563303</v>
      </c>
      <c r="I1302" s="77" t="str">
        <f>H1302-F1302</f>
      </c>
      <c r="J1302" s="78" t="str">
        <f>G1302-E1302</f>
      </c>
    </row>
    <row r="1303">
      <c r="A1303" t="s">
        <v>233</v>
      </c>
      <c r="B1303" t="s">
        <v>235</v>
      </c>
      <c r="C1303" s="72" t="n">
        <v>2028</v>
      </c>
      <c r="D1303" t="s">
        <v>424</v>
      </c>
      <c r="E1303" s="73" t="n">
        <v>44510.0685364727</v>
      </c>
      <c r="F1303" s="74" t="n">
        <v>7131.07016356498</v>
      </c>
      <c r="G1303" s="75" t="n">
        <v>44510.0649629929</v>
      </c>
      <c r="H1303" s="76" t="n">
        <v>7131.07016356498</v>
      </c>
      <c r="I1303" s="77" t="str">
        <f>H1303-F1303</f>
      </c>
      <c r="J1303" s="78" t="str">
        <f>G1303-E1303</f>
      </c>
    </row>
    <row r="1304">
      <c r="A1304" t="s">
        <v>233</v>
      </c>
      <c r="B1304" t="s">
        <v>235</v>
      </c>
      <c r="C1304" s="72" t="n">
        <v>2029</v>
      </c>
      <c r="D1304" t="s">
        <v>176</v>
      </c>
      <c r="E1304" s="73" t="n">
        <v>14181.5227651922</v>
      </c>
      <c r="F1304" s="74" t="n">
        <v>10301.2347672851</v>
      </c>
      <c r="G1304" s="75" t="n">
        <v>14181.4236375467</v>
      </c>
      <c r="H1304" s="76" t="n">
        <v>10301.2295792609</v>
      </c>
      <c r="I1304" s="77" t="str">
        <f>H1304-F1304</f>
      </c>
      <c r="J1304" s="78" t="str">
        <f>G1304-E1304</f>
      </c>
    </row>
    <row r="1305">
      <c r="A1305" t="s">
        <v>233</v>
      </c>
      <c r="B1305" t="s">
        <v>235</v>
      </c>
      <c r="C1305" s="72" t="n">
        <v>2029</v>
      </c>
      <c r="D1305" t="s">
        <v>238</v>
      </c>
      <c r="E1305" s="73" t="n">
        <v>1079528.27060812</v>
      </c>
      <c r="F1305" s="74" t="n">
        <v>161133.42705213</v>
      </c>
      <c r="G1305" s="75" t="n">
        <v>1082252.39423074</v>
      </c>
      <c r="H1305" s="76" t="n">
        <v>161161.062132093</v>
      </c>
      <c r="I1305" s="77" t="str">
        <f>H1305-F1305</f>
      </c>
      <c r="J1305" s="78" t="str">
        <f>G1305-E1305</f>
      </c>
    </row>
    <row r="1306">
      <c r="A1306" t="s">
        <v>233</v>
      </c>
      <c r="B1306" t="s">
        <v>235</v>
      </c>
      <c r="C1306" s="72" t="n">
        <v>2029</v>
      </c>
      <c r="D1306" t="s">
        <v>184</v>
      </c>
      <c r="E1306" s="73" t="n">
        <v>104955.864990842</v>
      </c>
      <c r="F1306" s="74" t="n">
        <v>71009.4272728166</v>
      </c>
      <c r="G1306" s="75" t="n">
        <v>105114.693344183</v>
      </c>
      <c r="H1306" s="76" t="n">
        <v>71042.0544294395</v>
      </c>
      <c r="I1306" s="77" t="str">
        <f>H1306-F1306</f>
      </c>
      <c r="J1306" s="78" t="str">
        <f>G1306-E1306</f>
      </c>
    </row>
    <row r="1307">
      <c r="A1307" t="s">
        <v>233</v>
      </c>
      <c r="B1307" t="s">
        <v>235</v>
      </c>
      <c r="C1307" s="72" t="n">
        <v>2029</v>
      </c>
      <c r="D1307" t="s">
        <v>187</v>
      </c>
      <c r="E1307" s="73" t="n">
        <v>363458.62852851</v>
      </c>
      <c r="F1307" s="74" t="n">
        <v>334101.540469676</v>
      </c>
      <c r="G1307" s="75" t="n">
        <v>363896.204247168</v>
      </c>
      <c r="H1307" s="76" t="n">
        <v>334292.677138926</v>
      </c>
      <c r="I1307" s="77" t="str">
        <f>H1307-F1307</f>
      </c>
      <c r="J1307" s="78" t="str">
        <f>G1307-E1307</f>
      </c>
    </row>
    <row r="1308">
      <c r="A1308" t="s">
        <v>233</v>
      </c>
      <c r="B1308" t="s">
        <v>235</v>
      </c>
      <c r="C1308" s="72" t="n">
        <v>2029</v>
      </c>
      <c r="D1308" t="s">
        <v>190</v>
      </c>
      <c r="E1308" s="73" t="n">
        <v>626445.424394446</v>
      </c>
      <c r="F1308" s="74" t="n">
        <v>367460.936496799</v>
      </c>
      <c r="G1308" s="75" t="n">
        <v>627726.336898794</v>
      </c>
      <c r="H1308" s="76" t="n">
        <v>367575.22274735</v>
      </c>
      <c r="I1308" s="77" t="str">
        <f>H1308-F1308</f>
      </c>
      <c r="J1308" s="78" t="str">
        <f>G1308-E1308</f>
      </c>
    </row>
    <row r="1309">
      <c r="A1309" t="s">
        <v>233</v>
      </c>
      <c r="B1309" t="s">
        <v>235</v>
      </c>
      <c r="C1309" s="72" t="n">
        <v>2029</v>
      </c>
      <c r="D1309" t="s">
        <v>193</v>
      </c>
      <c r="E1309" s="73" t="n">
        <v>450314.108373879</v>
      </c>
      <c r="F1309" s="74" t="n">
        <v>231660.921341808</v>
      </c>
      <c r="G1309" s="75" t="n">
        <v>450786.134013569</v>
      </c>
      <c r="H1309" s="76" t="n">
        <v>231708.01887569</v>
      </c>
      <c r="I1309" s="77" t="str">
        <f>H1309-F1309</f>
      </c>
      <c r="J1309" s="78" t="str">
        <f>G1309-E1309</f>
      </c>
    </row>
    <row r="1310">
      <c r="A1310" t="s">
        <v>233</v>
      </c>
      <c r="B1310" t="s">
        <v>235</v>
      </c>
      <c r="C1310" s="72" t="n">
        <v>2029</v>
      </c>
      <c r="D1310" t="s">
        <v>424</v>
      </c>
      <c r="E1310" s="73" t="n">
        <v>44600.2745757068</v>
      </c>
      <c r="F1310" s="74" t="n">
        <v>7178.21936533277</v>
      </c>
      <c r="G1310" s="75" t="n">
        <v>44600.2614435955</v>
      </c>
      <c r="H1310" s="76" t="n">
        <v>7178.21931597252</v>
      </c>
      <c r="I1310" s="77" t="str">
        <f>H1310-F1310</f>
      </c>
      <c r="J1310" s="78" t="str">
        <f>G1310-E1310</f>
      </c>
    </row>
    <row r="1311">
      <c r="A1311" t="s">
        <v>233</v>
      </c>
      <c r="B1311" t="s">
        <v>235</v>
      </c>
      <c r="C1311" s="72" t="n">
        <v>2030</v>
      </c>
      <c r="D1311" t="s">
        <v>176</v>
      </c>
      <c r="E1311" s="73" t="n">
        <v>14631.1593844587</v>
      </c>
      <c r="F1311" s="74" t="n">
        <v>10630.2930535877</v>
      </c>
      <c r="G1311" s="75" t="n">
        <v>14630.9263575645</v>
      </c>
      <c r="H1311" s="76" t="n">
        <v>10630.2702680602</v>
      </c>
      <c r="I1311" s="77" t="str">
        <f>H1311-F1311</f>
      </c>
      <c r="J1311" s="78" t="str">
        <f>G1311-E1311</f>
      </c>
    </row>
    <row r="1312">
      <c r="A1312" t="s">
        <v>233</v>
      </c>
      <c r="B1312" t="s">
        <v>235</v>
      </c>
      <c r="C1312" s="72" t="n">
        <v>2030</v>
      </c>
      <c r="D1312" t="s">
        <v>238</v>
      </c>
      <c r="E1312" s="73" t="n">
        <v>1091526.18415569</v>
      </c>
      <c r="F1312" s="74" t="n">
        <v>169267.970678634</v>
      </c>
      <c r="G1312" s="75" t="n">
        <v>1094956.84444967</v>
      </c>
      <c r="H1312" s="76" t="n">
        <v>169314.834038038</v>
      </c>
      <c r="I1312" s="77" t="str">
        <f>H1312-F1312</f>
      </c>
      <c r="J1312" s="78" t="str">
        <f>G1312-E1312</f>
      </c>
    </row>
    <row r="1313">
      <c r="A1313" t="s">
        <v>233</v>
      </c>
      <c r="B1313" t="s">
        <v>235</v>
      </c>
      <c r="C1313" s="72" t="n">
        <v>2030</v>
      </c>
      <c r="D1313" t="s">
        <v>184</v>
      </c>
      <c r="E1313" s="73" t="n">
        <v>108189.856885953</v>
      </c>
      <c r="F1313" s="74" t="n">
        <v>73069.2438739437</v>
      </c>
      <c r="G1313" s="75" t="n">
        <v>108393.77376612</v>
      </c>
      <c r="H1313" s="76" t="n">
        <v>73120.8011068864</v>
      </c>
      <c r="I1313" s="77" t="str">
        <f>H1313-F1313</f>
      </c>
      <c r="J1313" s="78" t="str">
        <f>G1313-E1313</f>
      </c>
    </row>
    <row r="1314">
      <c r="A1314" t="s">
        <v>233</v>
      </c>
      <c r="B1314" t="s">
        <v>235</v>
      </c>
      <c r="C1314" s="72" t="n">
        <v>2030</v>
      </c>
      <c r="D1314" t="s">
        <v>187</v>
      </c>
      <c r="E1314" s="73" t="n">
        <v>372183.299509542</v>
      </c>
      <c r="F1314" s="74" t="n">
        <v>342607.933401959</v>
      </c>
      <c r="G1314" s="75" t="n">
        <v>372741.795461264</v>
      </c>
      <c r="H1314" s="76" t="n">
        <v>342889.635366394</v>
      </c>
      <c r="I1314" s="77" t="str">
        <f>H1314-F1314</f>
      </c>
      <c r="J1314" s="78" t="str">
        <f>G1314-E1314</f>
      </c>
    </row>
    <row r="1315">
      <c r="A1315" t="s">
        <v>233</v>
      </c>
      <c r="B1315" t="s">
        <v>235</v>
      </c>
      <c r="C1315" s="72" t="n">
        <v>2030</v>
      </c>
      <c r="D1315" t="s">
        <v>190</v>
      </c>
      <c r="E1315" s="73" t="n">
        <v>641521.653454348</v>
      </c>
      <c r="F1315" s="74" t="n">
        <v>378751.457336747</v>
      </c>
      <c r="G1315" s="75" t="n">
        <v>643154.211305628</v>
      </c>
      <c r="H1315" s="76" t="n">
        <v>378940.231267445</v>
      </c>
      <c r="I1315" s="77" t="str">
        <f>H1315-F1315</f>
      </c>
      <c r="J1315" s="78" t="str">
        <f>G1315-E1315</f>
      </c>
    </row>
    <row r="1316">
      <c r="A1316" t="s">
        <v>233</v>
      </c>
      <c r="B1316" t="s">
        <v>235</v>
      </c>
      <c r="C1316" s="72" t="n">
        <v>2030</v>
      </c>
      <c r="D1316" t="s">
        <v>193</v>
      </c>
      <c r="E1316" s="73" t="n">
        <v>463757.102940471</v>
      </c>
      <c r="F1316" s="74" t="n">
        <v>241233.973328087</v>
      </c>
      <c r="G1316" s="75" t="n">
        <v>464360.518103772</v>
      </c>
      <c r="H1316" s="76" t="n">
        <v>241310.309903655</v>
      </c>
      <c r="I1316" s="77" t="str">
        <f>H1316-F1316</f>
      </c>
      <c r="J1316" s="78" t="str">
        <f>G1316-E1316</f>
      </c>
    </row>
    <row r="1317">
      <c r="A1317" t="s">
        <v>233</v>
      </c>
      <c r="B1317" t="s">
        <v>235</v>
      </c>
      <c r="C1317" s="72" t="n">
        <v>2030</v>
      </c>
      <c r="D1317" t="s">
        <v>424</v>
      </c>
      <c r="E1317" s="73" t="n">
        <v>44647.2995885267</v>
      </c>
      <c r="F1317" s="74" t="n">
        <v>7223.11053844016</v>
      </c>
      <c r="G1317" s="75" t="n">
        <v>44647.268915283</v>
      </c>
      <c r="H1317" s="76" t="n">
        <v>7223.11031474236</v>
      </c>
      <c r="I1317" s="77" t="str">
        <f>H1317-F1317</f>
      </c>
      <c r="J1317" s="78" t="str">
        <f>G1317-E1317</f>
      </c>
    </row>
    <row r="1318">
      <c r="A1318" t="s">
        <v>233</v>
      </c>
      <c r="B1318" t="s">
        <v>235</v>
      </c>
      <c r="C1318" s="72" t="n">
        <v>2031</v>
      </c>
      <c r="D1318" t="s">
        <v>176</v>
      </c>
      <c r="E1318" s="73" t="n">
        <v>15080.8264303594</v>
      </c>
      <c r="F1318" s="74" t="n">
        <v>10955.4865853249</v>
      </c>
      <c r="G1318" s="75" t="n">
        <v>15080.3825495532</v>
      </c>
      <c r="H1318" s="76" t="n">
        <v>10955.4255331558</v>
      </c>
      <c r="I1318" s="77" t="str">
        <f>H1318-F1318</f>
      </c>
      <c r="J1318" s="78" t="str">
        <f>G1318-E1318</f>
      </c>
    </row>
    <row r="1319">
      <c r="A1319" t="s">
        <v>233</v>
      </c>
      <c r="B1319" t="s">
        <v>235</v>
      </c>
      <c r="C1319" s="72" t="n">
        <v>2031</v>
      </c>
      <c r="D1319" t="s">
        <v>238</v>
      </c>
      <c r="E1319" s="73" t="n">
        <v>1103586.21964829</v>
      </c>
      <c r="F1319" s="74" t="n">
        <v>177439.496737404</v>
      </c>
      <c r="G1319" s="75" t="n">
        <v>1107027.69162894</v>
      </c>
      <c r="H1319" s="76" t="n">
        <v>177510.906196669</v>
      </c>
      <c r="I1319" s="77" t="str">
        <f>H1319-F1319</f>
      </c>
      <c r="J1319" s="78" t="str">
        <f>G1319-E1319</f>
      </c>
    </row>
    <row r="1320">
      <c r="A1320" t="s">
        <v>233</v>
      </c>
      <c r="B1320" t="s">
        <v>235</v>
      </c>
      <c r="C1320" s="72" t="n">
        <v>2031</v>
      </c>
      <c r="D1320" t="s">
        <v>184</v>
      </c>
      <c r="E1320" s="73" t="n">
        <v>111424.462941226</v>
      </c>
      <c r="F1320" s="74" t="n">
        <v>75156.6215695134</v>
      </c>
      <c r="G1320" s="75" t="n">
        <v>111632.947554352</v>
      </c>
      <c r="H1320" s="76" t="n">
        <v>75230.219664338</v>
      </c>
      <c r="I1320" s="77" t="str">
        <f>H1320-F1320</f>
      </c>
      <c r="J1320" s="78" t="str">
        <f>G1320-E1320</f>
      </c>
    </row>
    <row r="1321">
      <c r="A1321" t="s">
        <v>233</v>
      </c>
      <c r="B1321" t="s">
        <v>235</v>
      </c>
      <c r="C1321" s="72" t="n">
        <v>2031</v>
      </c>
      <c r="D1321" t="s">
        <v>187</v>
      </c>
      <c r="E1321" s="73" t="n">
        <v>380902.335194565</v>
      </c>
      <c r="F1321" s="74" t="n">
        <v>351051.949438466</v>
      </c>
      <c r="G1321" s="75" t="n">
        <v>381470.266781021</v>
      </c>
      <c r="H1321" s="76" t="n">
        <v>351432.518672951</v>
      </c>
      <c r="I1321" s="77" t="str">
        <f>H1321-F1321</f>
      </c>
      <c r="J1321" s="78" t="str">
        <f>G1321-E1321</f>
      </c>
    </row>
    <row r="1322">
      <c r="A1322" t="s">
        <v>233</v>
      </c>
      <c r="B1322" t="s">
        <v>235</v>
      </c>
      <c r="C1322" s="72" t="n">
        <v>2031</v>
      </c>
      <c r="D1322" t="s">
        <v>190</v>
      </c>
      <c r="E1322" s="73" t="n">
        <v>656626.578595797</v>
      </c>
      <c r="F1322" s="74" t="n">
        <v>389900.582086454</v>
      </c>
      <c r="G1322" s="75" t="n">
        <v>658282.149268814</v>
      </c>
      <c r="H1322" s="76" t="n">
        <v>390181.003020302</v>
      </c>
      <c r="I1322" s="77" t="str">
        <f>H1322-F1322</f>
      </c>
      <c r="J1322" s="78" t="str">
        <f>G1322-E1322</f>
      </c>
    </row>
    <row r="1323">
      <c r="A1323" t="s">
        <v>233</v>
      </c>
      <c r="B1323" t="s">
        <v>235</v>
      </c>
      <c r="C1323" s="72" t="n">
        <v>2031</v>
      </c>
      <c r="D1323" t="s">
        <v>193</v>
      </c>
      <c r="E1323" s="73" t="n">
        <v>477166.176894627</v>
      </c>
      <c r="F1323" s="74" t="n">
        <v>250704.190705986</v>
      </c>
      <c r="G1323" s="75" t="n">
        <v>477778.146047482</v>
      </c>
      <c r="H1323" s="76" t="n">
        <v>250815.782662592</v>
      </c>
      <c r="I1323" s="77" t="str">
        <f>H1323-F1323</f>
      </c>
      <c r="J1323" s="78" t="str">
        <f>G1323-E1323</f>
      </c>
    </row>
    <row r="1324">
      <c r="A1324" t="s">
        <v>233</v>
      </c>
      <c r="B1324" t="s">
        <v>235</v>
      </c>
      <c r="C1324" s="72" t="n">
        <v>2031</v>
      </c>
      <c r="D1324" t="s">
        <v>424</v>
      </c>
      <c r="E1324" s="73" t="n">
        <v>44640.4052191919</v>
      </c>
      <c r="F1324" s="74" t="n">
        <v>7266.76661514884</v>
      </c>
      <c r="G1324" s="75" t="n">
        <v>44640.3472954778</v>
      </c>
      <c r="H1324" s="76" t="n">
        <v>7266.76600020754</v>
      </c>
      <c r="I1324" s="77" t="str">
        <f>H1324-F1324</f>
      </c>
      <c r="J1324" s="78" t="str">
        <f>G1324-E1324</f>
      </c>
    </row>
    <row r="1325">
      <c r="A1325" t="s">
        <v>233</v>
      </c>
      <c r="B1325" t="s">
        <v>235</v>
      </c>
      <c r="C1325" s="72" t="n">
        <v>2032</v>
      </c>
      <c r="D1325" t="s">
        <v>176</v>
      </c>
      <c r="E1325" s="73" t="n">
        <v>15532.0066568008</v>
      </c>
      <c r="F1325" s="74" t="n">
        <v>11274.6239397786</v>
      </c>
      <c r="G1325" s="75" t="n">
        <v>15531.2601955666</v>
      </c>
      <c r="H1325" s="76" t="n">
        <v>11274.4954497352</v>
      </c>
      <c r="I1325" s="77" t="str">
        <f>H1325-F1325</f>
      </c>
      <c r="J1325" s="78" t="str">
        <f>G1325-E1325</f>
      </c>
    </row>
    <row r="1326">
      <c r="A1326" t="s">
        <v>233</v>
      </c>
      <c r="B1326" t="s">
        <v>235</v>
      </c>
      <c r="C1326" s="72" t="n">
        <v>2032</v>
      </c>
      <c r="D1326" t="s">
        <v>238</v>
      </c>
      <c r="E1326" s="73" t="n">
        <v>1115027.67061681</v>
      </c>
      <c r="F1326" s="74" t="n">
        <v>185629.642010459</v>
      </c>
      <c r="G1326" s="75" t="n">
        <v>1118477.32749824</v>
      </c>
      <c r="H1326" s="76" t="n">
        <v>185725.999058801</v>
      </c>
      <c r="I1326" s="77" t="str">
        <f>H1326-F1326</f>
      </c>
      <c r="J1326" s="78" t="str">
        <f>G1326-E1326</f>
      </c>
    </row>
    <row r="1327">
      <c r="A1327" t="s">
        <v>233</v>
      </c>
      <c r="B1327" t="s">
        <v>235</v>
      </c>
      <c r="C1327" s="72" t="n">
        <v>2032</v>
      </c>
      <c r="D1327" t="s">
        <v>184</v>
      </c>
      <c r="E1327" s="73" t="n">
        <v>114622.763734304</v>
      </c>
      <c r="F1327" s="74" t="n">
        <v>77261.7924921682</v>
      </c>
      <c r="G1327" s="75" t="n">
        <v>114835.221802653</v>
      </c>
      <c r="H1327" s="76" t="n">
        <v>77353.0610239329</v>
      </c>
      <c r="I1327" s="77" t="str">
        <f>H1327-F1327</f>
      </c>
      <c r="J1327" s="78" t="str">
        <f>G1327-E1327</f>
      </c>
    </row>
    <row r="1328">
      <c r="A1328" t="s">
        <v>233</v>
      </c>
      <c r="B1328" t="s">
        <v>235</v>
      </c>
      <c r="C1328" s="72" t="n">
        <v>2032</v>
      </c>
      <c r="D1328" t="s">
        <v>187</v>
      </c>
      <c r="E1328" s="73" t="n">
        <v>389422.20113678</v>
      </c>
      <c r="F1328" s="74" t="n">
        <v>359400.916993883</v>
      </c>
      <c r="G1328" s="75" t="n">
        <v>389998.376688754</v>
      </c>
      <c r="H1328" s="76" t="n">
        <v>359834.546852866</v>
      </c>
      <c r="I1328" s="77" t="str">
        <f>H1328-F1328</f>
      </c>
      <c r="J1328" s="78" t="str">
        <f>G1328-E1328</f>
      </c>
    </row>
    <row r="1329">
      <c r="A1329" t="s">
        <v>233</v>
      </c>
      <c r="B1329" t="s">
        <v>235</v>
      </c>
      <c r="C1329" s="72" t="n">
        <v>2032</v>
      </c>
      <c r="D1329" t="s">
        <v>190</v>
      </c>
      <c r="E1329" s="73" t="n">
        <v>671457.580914786</v>
      </c>
      <c r="F1329" s="74" t="n">
        <v>400952.847238898</v>
      </c>
      <c r="G1329" s="75" t="n">
        <v>673133.888273266</v>
      </c>
      <c r="H1329" s="76" t="n">
        <v>401318.286193472</v>
      </c>
      <c r="I1329" s="77" t="str">
        <f>H1329-F1329</f>
      </c>
      <c r="J1329" s="78" t="str">
        <f>G1329-E1329</f>
      </c>
    </row>
    <row r="1330">
      <c r="A1330" t="s">
        <v>233</v>
      </c>
      <c r="B1330" t="s">
        <v>235</v>
      </c>
      <c r="C1330" s="72" t="n">
        <v>2032</v>
      </c>
      <c r="D1330" t="s">
        <v>193</v>
      </c>
      <c r="E1330" s="73" t="n">
        <v>490286.526760811</v>
      </c>
      <c r="F1330" s="74" t="n">
        <v>260205.39852271</v>
      </c>
      <c r="G1330" s="75" t="n">
        <v>490904.70344578</v>
      </c>
      <c r="H1330" s="76" t="n">
        <v>260346.937343717</v>
      </c>
      <c r="I1330" s="77" t="str">
        <f>H1330-F1330</f>
      </c>
      <c r="J1330" s="78" t="str">
        <f>G1330-E1330</f>
      </c>
    </row>
    <row r="1331">
      <c r="A1331" t="s">
        <v>233</v>
      </c>
      <c r="B1331" t="s">
        <v>235</v>
      </c>
      <c r="C1331" s="72" t="n">
        <v>2032</v>
      </c>
      <c r="D1331" t="s">
        <v>424</v>
      </c>
      <c r="E1331" s="73" t="n">
        <v>44583.3419141673</v>
      </c>
      <c r="F1331" s="74" t="n">
        <v>7308.69089172427</v>
      </c>
      <c r="G1331" s="75" t="n">
        <v>44583.2455015959</v>
      </c>
      <c r="H1331" s="76" t="n">
        <v>7308.68956833998</v>
      </c>
      <c r="I1331" s="77" t="str">
        <f>H1331-F1331</f>
      </c>
      <c r="J1331" s="78" t="str">
        <f>G1331-E1331</f>
      </c>
    </row>
    <row r="1332">
      <c r="A1332" t="s">
        <v>233</v>
      </c>
      <c r="B1332" t="s">
        <v>235</v>
      </c>
      <c r="C1332" s="72" t="n">
        <v>2033</v>
      </c>
      <c r="D1332" t="s">
        <v>176</v>
      </c>
      <c r="E1332" s="73" t="n">
        <v>15984.835628456</v>
      </c>
      <c r="F1332" s="74" t="n">
        <v>11587.1674012231</v>
      </c>
      <c r="G1332" s="75" t="n">
        <v>15983.7175379286</v>
      </c>
      <c r="H1332" s="76" t="n">
        <v>11586.9335708044</v>
      </c>
      <c r="I1332" s="77" t="str">
        <f>H1332-F1332</f>
      </c>
      <c r="J1332" s="78" t="str">
        <f>G1332-E1332</f>
      </c>
    </row>
    <row r="1333">
      <c r="A1333" t="s">
        <v>233</v>
      </c>
      <c r="B1333" t="s">
        <v>235</v>
      </c>
      <c r="C1333" s="72" t="n">
        <v>2033</v>
      </c>
      <c r="D1333" t="s">
        <v>238</v>
      </c>
      <c r="E1333" s="73" t="n">
        <v>1125777.89036169</v>
      </c>
      <c r="F1333" s="74" t="n">
        <v>193831.609301128</v>
      </c>
      <c r="G1333" s="75" t="n">
        <v>1129233.47845058</v>
      </c>
      <c r="H1333" s="76" t="n">
        <v>193953.224223645</v>
      </c>
      <c r="I1333" s="77" t="str">
        <f>H1333-F1333</f>
      </c>
      <c r="J1333" s="78" t="str">
        <f>G1333-E1333</f>
      </c>
    </row>
    <row r="1334">
      <c r="A1334" t="s">
        <v>233</v>
      </c>
      <c r="B1334" t="s">
        <v>235</v>
      </c>
      <c r="C1334" s="72" t="n">
        <v>2033</v>
      </c>
      <c r="D1334" t="s">
        <v>184</v>
      </c>
      <c r="E1334" s="73" t="n">
        <v>117782.771926493</v>
      </c>
      <c r="F1334" s="74" t="n">
        <v>79374.8531191035</v>
      </c>
      <c r="G1334" s="75" t="n">
        <v>117998.738437442</v>
      </c>
      <c r="H1334" s="76" t="n">
        <v>79480.4761690429</v>
      </c>
      <c r="I1334" s="77" t="str">
        <f>H1334-F1334</f>
      </c>
      <c r="J1334" s="78" t="str">
        <f>G1334-E1334</f>
      </c>
    </row>
    <row r="1335">
      <c r="A1335" t="s">
        <v>233</v>
      </c>
      <c r="B1335" t="s">
        <v>235</v>
      </c>
      <c r="C1335" s="72" t="n">
        <v>2033</v>
      </c>
      <c r="D1335" t="s">
        <v>187</v>
      </c>
      <c r="E1335" s="73" t="n">
        <v>397770.972920676</v>
      </c>
      <c r="F1335" s="74" t="n">
        <v>367582.870277275</v>
      </c>
      <c r="G1335" s="75" t="n">
        <v>398354.344992358</v>
      </c>
      <c r="H1335" s="76" t="n">
        <v>368051.624575443</v>
      </c>
      <c r="I1335" s="77" t="str">
        <f>H1335-F1335</f>
      </c>
      <c r="J1335" s="78" t="str">
        <f>G1335-E1335</f>
      </c>
    </row>
    <row r="1336">
      <c r="A1336" t="s">
        <v>233</v>
      </c>
      <c r="B1336" t="s">
        <v>235</v>
      </c>
      <c r="C1336" s="72" t="n">
        <v>2033</v>
      </c>
      <c r="D1336" t="s">
        <v>190</v>
      </c>
      <c r="E1336" s="73" t="n">
        <v>685939.531206948</v>
      </c>
      <c r="F1336" s="74" t="n">
        <v>411903.603348153</v>
      </c>
      <c r="G1336" s="75" t="n">
        <v>687634.699546926</v>
      </c>
      <c r="H1336" s="76" t="n">
        <v>412348.075678578</v>
      </c>
      <c r="I1336" s="77" t="str">
        <f>H1336-F1336</f>
      </c>
      <c r="J1336" s="78" t="str">
        <f>G1336-E1336</f>
      </c>
    </row>
    <row r="1337">
      <c r="A1337" t="s">
        <v>233</v>
      </c>
      <c r="B1337" t="s">
        <v>235</v>
      </c>
      <c r="C1337" s="72" t="n">
        <v>2033</v>
      </c>
      <c r="D1337" t="s">
        <v>193</v>
      </c>
      <c r="E1337" s="73" t="n">
        <v>503128.541138</v>
      </c>
      <c r="F1337" s="74" t="n">
        <v>269715.526625698</v>
      </c>
      <c r="G1337" s="75" t="n">
        <v>503751.109420694</v>
      </c>
      <c r="H1337" s="76" t="n">
        <v>269883.407599987</v>
      </c>
      <c r="I1337" s="77" t="str">
        <f>H1337-F1337</f>
      </c>
      <c r="J1337" s="78" t="str">
        <f>G1337-E1337</f>
      </c>
    </row>
    <row r="1338">
      <c r="A1338" t="s">
        <v>233</v>
      </c>
      <c r="B1338" t="s">
        <v>235</v>
      </c>
      <c r="C1338" s="72" t="n">
        <v>2033</v>
      </c>
      <c r="D1338" t="s">
        <v>424</v>
      </c>
      <c r="E1338" s="73" t="n">
        <v>44483.8266490385</v>
      </c>
      <c r="F1338" s="74" t="n">
        <v>7348.0765994259</v>
      </c>
      <c r="G1338" s="75" t="n">
        <v>44483.6835898413</v>
      </c>
      <c r="H1338" s="76" t="n">
        <v>7348.07414732206</v>
      </c>
      <c r="I1338" s="77" t="str">
        <f>H1338-F1338</f>
      </c>
      <c r="J1338" s="78" t="str">
        <f>G1338-E1338</f>
      </c>
    </row>
    <row r="1339">
      <c r="A1339" t="s">
        <v>233</v>
      </c>
      <c r="B1339" t="s">
        <v>235</v>
      </c>
      <c r="C1339" s="72" t="n">
        <v>2034</v>
      </c>
      <c r="D1339" t="s">
        <v>176</v>
      </c>
      <c r="E1339" s="73" t="n">
        <v>16438.4801339635</v>
      </c>
      <c r="F1339" s="74" t="n">
        <v>11896.76059623</v>
      </c>
      <c r="G1339" s="75" t="n">
        <v>16436.9312806497</v>
      </c>
      <c r="H1339" s="76" t="n">
        <v>11896.3823187386</v>
      </c>
      <c r="I1339" s="77" t="str">
        <f>H1339-F1339</f>
      </c>
      <c r="J1339" s="78" t="str">
        <f>G1339-E1339</f>
      </c>
    </row>
    <row r="1340">
      <c r="A1340" t="s">
        <v>233</v>
      </c>
      <c r="B1340" t="s">
        <v>235</v>
      </c>
      <c r="C1340" s="72" t="n">
        <v>2034</v>
      </c>
      <c r="D1340" t="s">
        <v>238</v>
      </c>
      <c r="E1340" s="73" t="n">
        <v>1135898.14950227</v>
      </c>
      <c r="F1340" s="74" t="n">
        <v>202000.151576263</v>
      </c>
      <c r="G1340" s="75" t="n">
        <v>1139357.01951607</v>
      </c>
      <c r="H1340" s="76" t="n">
        <v>202147.27044605</v>
      </c>
      <c r="I1340" s="77" t="str">
        <f>H1340-F1340</f>
      </c>
      <c r="J1340" s="78" t="str">
        <f>G1340-E1340</f>
      </c>
    </row>
    <row r="1341">
      <c r="A1341" t="s">
        <v>233</v>
      </c>
      <c r="B1341" t="s">
        <v>235</v>
      </c>
      <c r="C1341" s="72" t="n">
        <v>2034</v>
      </c>
      <c r="D1341" t="s">
        <v>184</v>
      </c>
      <c r="E1341" s="73" t="n">
        <v>120886.430987105</v>
      </c>
      <c r="F1341" s="74" t="n">
        <v>81477.5367095906</v>
      </c>
      <c r="G1341" s="75" t="n">
        <v>121105.471839437</v>
      </c>
      <c r="H1341" s="76" t="n">
        <v>81594.9482339212</v>
      </c>
      <c r="I1341" s="77" t="str">
        <f>H1341-F1341</f>
      </c>
      <c r="J1341" s="78" t="str">
        <f>G1341-E1341</f>
      </c>
    </row>
    <row r="1342">
      <c r="A1342" t="s">
        <v>233</v>
      </c>
      <c r="B1342" t="s">
        <v>235</v>
      </c>
      <c r="C1342" s="72" t="n">
        <v>2034</v>
      </c>
      <c r="D1342" t="s">
        <v>187</v>
      </c>
      <c r="E1342" s="73" t="n">
        <v>405970.245664035</v>
      </c>
      <c r="F1342" s="74" t="n">
        <v>375534.278658301</v>
      </c>
      <c r="G1342" s="75" t="n">
        <v>406559.867353788</v>
      </c>
      <c r="H1342" s="76" t="n">
        <v>376028.132278335</v>
      </c>
      <c r="I1342" s="77" t="str">
        <f>H1342-F1342</f>
      </c>
      <c r="J1342" s="78" t="str">
        <f>G1342-E1342</f>
      </c>
    </row>
    <row r="1343">
      <c r="A1343" t="s">
        <v>233</v>
      </c>
      <c r="B1343" t="s">
        <v>235</v>
      </c>
      <c r="C1343" s="72" t="n">
        <v>2034</v>
      </c>
      <c r="D1343" t="s">
        <v>190</v>
      </c>
      <c r="E1343" s="73" t="n">
        <v>699979.639342393</v>
      </c>
      <c r="F1343" s="74" t="n">
        <v>422741.003036226</v>
      </c>
      <c r="G1343" s="75" t="n">
        <v>701691.677358768</v>
      </c>
      <c r="H1343" s="76" t="n">
        <v>423259.100590806</v>
      </c>
      <c r="I1343" s="77" t="str">
        <f>H1343-F1343</f>
      </c>
      <c r="J1343" s="78" t="str">
        <f>G1343-E1343</f>
      </c>
    </row>
    <row r="1344">
      <c r="A1344" t="s">
        <v>233</v>
      </c>
      <c r="B1344" t="s">
        <v>235</v>
      </c>
      <c r="C1344" s="72" t="n">
        <v>2034</v>
      </c>
      <c r="D1344" t="s">
        <v>193</v>
      </c>
      <c r="E1344" s="73" t="n">
        <v>515781.108014119</v>
      </c>
      <c r="F1344" s="74" t="n">
        <v>279293.572208699</v>
      </c>
      <c r="G1344" s="75" t="n">
        <v>516406.53850878</v>
      </c>
      <c r="H1344" s="76" t="n">
        <v>279484.980285229</v>
      </c>
      <c r="I1344" s="77" t="str">
        <f>H1344-F1344</f>
      </c>
      <c r="J1344" s="78" t="str">
        <f>G1344-E1344</f>
      </c>
    </row>
    <row r="1345">
      <c r="A1345" t="s">
        <v>233</v>
      </c>
      <c r="B1345" t="s">
        <v>235</v>
      </c>
      <c r="C1345" s="72" t="n">
        <v>2034</v>
      </c>
      <c r="D1345" t="s">
        <v>424</v>
      </c>
      <c r="E1345" s="73" t="n">
        <v>44355.3806880776</v>
      </c>
      <c r="F1345" s="74" t="n">
        <v>7385.04498429039</v>
      </c>
      <c r="G1345" s="75" t="n">
        <v>44355.184450179</v>
      </c>
      <c r="H1345" s="76" t="n">
        <v>7385.04094675217</v>
      </c>
      <c r="I1345" s="77" t="str">
        <f>H1345-F1345</f>
      </c>
      <c r="J1345" s="78" t="str">
        <f>G1345-E1345</f>
      </c>
    </row>
    <row r="1346">
      <c r="A1346" t="s">
        <v>233</v>
      </c>
      <c r="B1346" t="s">
        <v>235</v>
      </c>
      <c r="C1346" s="72" t="n">
        <v>2035</v>
      </c>
      <c r="D1346" t="s">
        <v>176</v>
      </c>
      <c r="E1346" s="73" t="n">
        <v>16894.2467633857</v>
      </c>
      <c r="F1346" s="74" t="n">
        <v>12203.6182783561</v>
      </c>
      <c r="G1346" s="75" t="n">
        <v>16892.2141390053</v>
      </c>
      <c r="H1346" s="76" t="n">
        <v>12203.0577178634</v>
      </c>
      <c r="I1346" s="77" t="str">
        <f>H1346-F1346</f>
      </c>
      <c r="J1346" s="78" t="str">
        <f>G1346-E1346</f>
      </c>
    </row>
    <row r="1347">
      <c r="A1347" t="s">
        <v>233</v>
      </c>
      <c r="B1347" t="s">
        <v>235</v>
      </c>
      <c r="C1347" s="72" t="n">
        <v>2035</v>
      </c>
      <c r="D1347" t="s">
        <v>238</v>
      </c>
      <c r="E1347" s="73" t="n">
        <v>1145512.42462048</v>
      </c>
      <c r="F1347" s="74" t="n">
        <v>210118.16993857</v>
      </c>
      <c r="G1347" s="75" t="n">
        <v>1148972.16574985</v>
      </c>
      <c r="H1347" s="76" t="n">
        <v>210290.980527925</v>
      </c>
      <c r="I1347" s="77" t="str">
        <f>H1347-F1347</f>
      </c>
      <c r="J1347" s="78" t="str">
        <f>G1347-E1347</f>
      </c>
    </row>
    <row r="1348">
      <c r="A1348" t="s">
        <v>233</v>
      </c>
      <c r="B1348" t="s">
        <v>235</v>
      </c>
      <c r="C1348" s="72" t="n">
        <v>2035</v>
      </c>
      <c r="D1348" t="s">
        <v>184</v>
      </c>
      <c r="E1348" s="73" t="n">
        <v>123926.492767835</v>
      </c>
      <c r="F1348" s="74" t="n">
        <v>83567.9385180195</v>
      </c>
      <c r="G1348" s="75" t="n">
        <v>124148.207195844</v>
      </c>
      <c r="H1348" s="76" t="n">
        <v>83695.1178728798</v>
      </c>
      <c r="I1348" s="77" t="str">
        <f>H1348-F1348</f>
      </c>
      <c r="J1348" s="78" t="str">
        <f>G1348-E1348</f>
      </c>
    </row>
    <row r="1349">
      <c r="A1349" t="s">
        <v>233</v>
      </c>
      <c r="B1349" t="s">
        <v>235</v>
      </c>
      <c r="C1349" s="72" t="n">
        <v>2035</v>
      </c>
      <c r="D1349" t="s">
        <v>187</v>
      </c>
      <c r="E1349" s="73" t="n">
        <v>413938.291679472</v>
      </c>
      <c r="F1349" s="74" t="n">
        <v>383276.07106327</v>
      </c>
      <c r="G1349" s="75" t="n">
        <v>414533.160603145</v>
      </c>
      <c r="H1349" s="76" t="n">
        <v>383788.762526672</v>
      </c>
      <c r="I1349" s="77" t="str">
        <f>H1349-F1349</f>
      </c>
      <c r="J1349" s="78" t="str">
        <f>G1349-E1349</f>
      </c>
    </row>
    <row r="1350">
      <c r="A1350" t="s">
        <v>233</v>
      </c>
      <c r="B1350" t="s">
        <v>235</v>
      </c>
      <c r="C1350" s="72" t="n">
        <v>2035</v>
      </c>
      <c r="D1350" t="s">
        <v>190</v>
      </c>
      <c r="E1350" s="73" t="n">
        <v>713604.701717531</v>
      </c>
      <c r="F1350" s="74" t="n">
        <v>433495.165009288</v>
      </c>
      <c r="G1350" s="75" t="n">
        <v>715331.788822102</v>
      </c>
      <c r="H1350" s="76" t="n">
        <v>434082.031551195</v>
      </c>
      <c r="I1350" s="77" t="str">
        <f>H1350-F1350</f>
      </c>
      <c r="J1350" s="78" t="str">
        <f>G1350-E1350</f>
      </c>
    </row>
    <row r="1351">
      <c r="A1351" t="s">
        <v>233</v>
      </c>
      <c r="B1351" t="s">
        <v>235</v>
      </c>
      <c r="C1351" s="72" t="n">
        <v>2035</v>
      </c>
      <c r="D1351" t="s">
        <v>193</v>
      </c>
      <c r="E1351" s="73" t="n">
        <v>528191.538489106</v>
      </c>
      <c r="F1351" s="74" t="n">
        <v>288938.239594325</v>
      </c>
      <c r="G1351" s="75" t="n">
        <v>528818.371883953</v>
      </c>
      <c r="H1351" s="76" t="n">
        <v>289150.802435983</v>
      </c>
      <c r="I1351" s="77" t="str">
        <f>H1351-F1351</f>
      </c>
      <c r="J1351" s="78" t="str">
        <f>G1351-E1351</f>
      </c>
    </row>
    <row r="1352">
      <c r="A1352" t="s">
        <v>233</v>
      </c>
      <c r="B1352" t="s">
        <v>235</v>
      </c>
      <c r="C1352" s="72" t="n">
        <v>2035</v>
      </c>
      <c r="D1352" t="s">
        <v>424</v>
      </c>
      <c r="E1352" s="73" t="n">
        <v>44206.9621323201</v>
      </c>
      <c r="F1352" s="74" t="n">
        <v>7419.98493915222</v>
      </c>
      <c r="G1352" s="75" t="n">
        <v>44206.7073067121</v>
      </c>
      <c r="H1352" s="76" t="n">
        <v>7419.97885519321</v>
      </c>
      <c r="I1352" s="77" t="str">
        <f>H1352-F1352</f>
      </c>
      <c r="J1352" s="78" t="str">
        <f>G1352-E1352</f>
      </c>
    </row>
    <row r="1353">
      <c r="A1353" t="s">
        <v>233</v>
      </c>
      <c r="B1353" t="s">
        <v>235</v>
      </c>
      <c r="C1353" s="72" t="n">
        <v>2036</v>
      </c>
      <c r="D1353" t="s">
        <v>176</v>
      </c>
      <c r="E1353" s="73" t="n">
        <v>17353.2201468699</v>
      </c>
      <c r="F1353" s="74" t="n">
        <v>12507.6805784598</v>
      </c>
      <c r="G1353" s="75" t="n">
        <v>17350.6546269342</v>
      </c>
      <c r="H1353" s="76" t="n">
        <v>12506.9021026876</v>
      </c>
      <c r="I1353" s="77" t="str">
        <f>H1353-F1353</f>
      </c>
      <c r="J1353" s="78" t="str">
        <f>G1353-E1353</f>
      </c>
    </row>
    <row r="1354">
      <c r="A1354" t="s">
        <v>233</v>
      </c>
      <c r="B1354" t="s">
        <v>235</v>
      </c>
      <c r="C1354" s="72" t="n">
        <v>2036</v>
      </c>
      <c r="D1354" t="s">
        <v>238</v>
      </c>
      <c r="E1354" s="73" t="n">
        <v>1154807.22305262</v>
      </c>
      <c r="F1354" s="74" t="n">
        <v>218172.049147448</v>
      </c>
      <c r="G1354" s="75" t="n">
        <v>1158266.13775829</v>
      </c>
      <c r="H1354" s="76" t="n">
        <v>218370.687575925</v>
      </c>
      <c r="I1354" s="77" t="str">
        <f>H1354-F1354</f>
      </c>
      <c r="J1354" s="78" t="str">
        <f>G1354-E1354</f>
      </c>
    </row>
    <row r="1355">
      <c r="A1355" t="s">
        <v>233</v>
      </c>
      <c r="B1355" t="s">
        <v>235</v>
      </c>
      <c r="C1355" s="72" t="n">
        <v>2036</v>
      </c>
      <c r="D1355" t="s">
        <v>184</v>
      </c>
      <c r="E1355" s="73" t="n">
        <v>126914.407026261</v>
      </c>
      <c r="F1355" s="74" t="n">
        <v>85630.2613282778</v>
      </c>
      <c r="G1355" s="75" t="n">
        <v>127138.451085333</v>
      </c>
      <c r="H1355" s="76" t="n">
        <v>85765.5647353171</v>
      </c>
      <c r="I1355" s="77" t="str">
        <f>H1355-F1355</f>
      </c>
      <c r="J1355" s="78" t="str">
        <f>G1355-E1355</f>
      </c>
    </row>
    <row r="1356">
      <c r="A1356" t="s">
        <v>233</v>
      </c>
      <c r="B1356" t="s">
        <v>235</v>
      </c>
      <c r="C1356" s="72" t="n">
        <v>2036</v>
      </c>
      <c r="D1356" t="s">
        <v>187</v>
      </c>
      <c r="E1356" s="73" t="n">
        <v>421633.536719004</v>
      </c>
      <c r="F1356" s="74" t="n">
        <v>390758.77229306</v>
      </c>
      <c r="G1356" s="75" t="n">
        <v>422232.659922133</v>
      </c>
      <c r="H1356" s="76" t="n">
        <v>391285.955739587</v>
      </c>
      <c r="I1356" s="77" t="str">
        <f>H1356-F1356</f>
      </c>
      <c r="J1356" s="78" t="str">
        <f>G1356-E1356</f>
      </c>
    </row>
    <row r="1357">
      <c r="A1357" t="s">
        <v>233</v>
      </c>
      <c r="B1357" t="s">
        <v>235</v>
      </c>
      <c r="C1357" s="72" t="n">
        <v>2036</v>
      </c>
      <c r="D1357" t="s">
        <v>190</v>
      </c>
      <c r="E1357" s="73" t="n">
        <v>726791.252906367</v>
      </c>
      <c r="F1357" s="74" t="n">
        <v>444096.745328134</v>
      </c>
      <c r="G1357" s="75" t="n">
        <v>728531.610160843</v>
      </c>
      <c r="H1357" s="76" t="n">
        <v>444747.907566169</v>
      </c>
      <c r="I1357" s="77" t="str">
        <f>H1357-F1357</f>
      </c>
      <c r="J1357" s="78" t="str">
        <f>G1357-E1357</f>
      </c>
    </row>
    <row r="1358">
      <c r="A1358" t="s">
        <v>233</v>
      </c>
      <c r="B1358" t="s">
        <v>235</v>
      </c>
      <c r="C1358" s="72" t="n">
        <v>2036</v>
      </c>
      <c r="D1358" t="s">
        <v>193</v>
      </c>
      <c r="E1358" s="73" t="n">
        <v>540425.314967079</v>
      </c>
      <c r="F1358" s="74" t="n">
        <v>298647.96986488</v>
      </c>
      <c r="G1358" s="75" t="n">
        <v>541052.28077363</v>
      </c>
      <c r="H1358" s="76" t="n">
        <v>298879.611309733</v>
      </c>
      <c r="I1358" s="77" t="str">
        <f>H1358-F1358</f>
      </c>
      <c r="J1358" s="78" t="str">
        <f>G1358-E1358</f>
      </c>
    </row>
    <row r="1359">
      <c r="A1359" t="s">
        <v>233</v>
      </c>
      <c r="B1359" t="s">
        <v>235</v>
      </c>
      <c r="C1359" s="72" t="n">
        <v>2036</v>
      </c>
      <c r="D1359" t="s">
        <v>424</v>
      </c>
      <c r="E1359" s="73" t="n">
        <v>44050.3163406196</v>
      </c>
      <c r="F1359" s="74" t="n">
        <v>7453.34370398725</v>
      </c>
      <c r="G1359" s="75" t="n">
        <v>44049.9983782722</v>
      </c>
      <c r="H1359" s="76" t="n">
        <v>7453.3351271514</v>
      </c>
      <c r="I1359" s="77" t="str">
        <f>H1359-F1359</f>
      </c>
      <c r="J1359" s="78" t="str">
        <f>G1359-E1359</f>
      </c>
    </row>
    <row r="1360">
      <c r="A1360" t="s">
        <v>233</v>
      </c>
      <c r="B1360" t="s">
        <v>235</v>
      </c>
      <c r="C1360" s="72" t="n">
        <v>2037</v>
      </c>
      <c r="D1360" t="s">
        <v>176</v>
      </c>
      <c r="E1360" s="73" t="n">
        <v>17815.6474800804</v>
      </c>
      <c r="F1360" s="74" t="n">
        <v>12808.5307987666</v>
      </c>
      <c r="G1360" s="75" t="n">
        <v>17812.5035281772</v>
      </c>
      <c r="H1360" s="76" t="n">
        <v>12807.5012683992</v>
      </c>
      <c r="I1360" s="77" t="str">
        <f>H1360-F1360</f>
      </c>
      <c r="J1360" s="78" t="str">
        <f>G1360-E1360</f>
      </c>
    </row>
    <row r="1361">
      <c r="A1361" t="s">
        <v>233</v>
      </c>
      <c r="B1361" t="s">
        <v>235</v>
      </c>
      <c r="C1361" s="72" t="n">
        <v>2037</v>
      </c>
      <c r="D1361" t="s">
        <v>238</v>
      </c>
      <c r="E1361" s="73" t="n">
        <v>1163907.72153822</v>
      </c>
      <c r="F1361" s="74" t="n">
        <v>226148.775781436</v>
      </c>
      <c r="G1361" s="75" t="n">
        <v>1167364.66541375</v>
      </c>
      <c r="H1361" s="76" t="n">
        <v>226373.365626062</v>
      </c>
      <c r="I1361" s="77" t="str">
        <f>H1361-F1361</f>
      </c>
      <c r="J1361" s="78" t="str">
        <f>G1361-E1361</f>
      </c>
    </row>
    <row r="1362">
      <c r="A1362" t="s">
        <v>233</v>
      </c>
      <c r="B1362" t="s">
        <v>235</v>
      </c>
      <c r="C1362" s="72" t="n">
        <v>2037</v>
      </c>
      <c r="D1362" t="s">
        <v>184</v>
      </c>
      <c r="E1362" s="73" t="n">
        <v>129866.027938778</v>
      </c>
      <c r="F1362" s="74" t="n">
        <v>87643.8013580627</v>
      </c>
      <c r="G1362" s="75" t="n">
        <v>130092.112965313</v>
      </c>
      <c r="H1362" s="76" t="n">
        <v>87785.8739142287</v>
      </c>
      <c r="I1362" s="77" t="str">
        <f>H1362-F1362</f>
      </c>
      <c r="J1362" s="78" t="str">
        <f>G1362-E1362</f>
      </c>
    </row>
    <row r="1363">
      <c r="A1363" t="s">
        <v>233</v>
      </c>
      <c r="B1363" t="s">
        <v>235</v>
      </c>
      <c r="C1363" s="72" t="n">
        <v>2037</v>
      </c>
      <c r="D1363" t="s">
        <v>187</v>
      </c>
      <c r="E1363" s="73" t="n">
        <v>429072.205660597</v>
      </c>
      <c r="F1363" s="74" t="n">
        <v>397935.311389045</v>
      </c>
      <c r="G1363" s="75" t="n">
        <v>429674.679324948</v>
      </c>
      <c r="H1363" s="76" t="n">
        <v>398473.813386608</v>
      </c>
      <c r="I1363" s="77" t="str">
        <f>H1363-F1363</f>
      </c>
      <c r="J1363" s="78" t="str">
        <f>G1363-E1363</f>
      </c>
    </row>
    <row r="1364">
      <c r="A1364" t="s">
        <v>233</v>
      </c>
      <c r="B1364" t="s">
        <v>235</v>
      </c>
      <c r="C1364" s="72" t="n">
        <v>2037</v>
      </c>
      <c r="D1364" t="s">
        <v>190</v>
      </c>
      <c r="E1364" s="73" t="n">
        <v>739509.531007824</v>
      </c>
      <c r="F1364" s="74" t="n">
        <v>454457.143319175</v>
      </c>
      <c r="G1364" s="75" t="n">
        <v>741261.427234993</v>
      </c>
      <c r="H1364" s="76" t="n">
        <v>455168.184528758</v>
      </c>
      <c r="I1364" s="77" t="str">
        <f>H1364-F1364</f>
      </c>
      <c r="J1364" s="78" t="str">
        <f>G1364-E1364</f>
      </c>
    </row>
    <row r="1365">
      <c r="A1365" t="s">
        <v>233</v>
      </c>
      <c r="B1365" t="s">
        <v>235</v>
      </c>
      <c r="C1365" s="72" t="n">
        <v>2037</v>
      </c>
      <c r="D1365" t="s">
        <v>193</v>
      </c>
      <c r="E1365" s="73" t="n">
        <v>552632.417557619</v>
      </c>
      <c r="F1365" s="74" t="n">
        <v>308417.167714371</v>
      </c>
      <c r="G1365" s="75" t="n">
        <v>553258.517761357</v>
      </c>
      <c r="H1365" s="76" t="n">
        <v>308666.043562302</v>
      </c>
      <c r="I1365" s="77" t="str">
        <f>H1365-F1365</f>
      </c>
      <c r="J1365" s="78" t="str">
        <f>G1365-E1365</f>
      </c>
    </row>
    <row r="1366">
      <c r="A1366" t="s">
        <v>233</v>
      </c>
      <c r="B1366" t="s">
        <v>235</v>
      </c>
      <c r="C1366" s="72" t="n">
        <v>2037</v>
      </c>
      <c r="D1366" t="s">
        <v>424</v>
      </c>
      <c r="E1366" s="73" t="n">
        <v>43886.8815577609</v>
      </c>
      <c r="F1366" s="74" t="n">
        <v>7485.65095624212</v>
      </c>
      <c r="G1366" s="75" t="n">
        <v>43886.4966397613</v>
      </c>
      <c r="H1366" s="76" t="n">
        <v>7485.63945861012</v>
      </c>
      <c r="I1366" s="77" t="str">
        <f>H1366-F1366</f>
      </c>
      <c r="J1366" s="78" t="str">
        <f>G1366-E1366</f>
      </c>
    </row>
    <row r="1367">
      <c r="A1367" t="s">
        <v>233</v>
      </c>
      <c r="B1367" t="s">
        <v>235</v>
      </c>
      <c r="C1367" s="72" t="n">
        <v>2038</v>
      </c>
      <c r="D1367" t="s">
        <v>176</v>
      </c>
      <c r="E1367" s="73" t="n">
        <v>18282.3852382858</v>
      </c>
      <c r="F1367" s="74" t="n">
        <v>13109.5702039983</v>
      </c>
      <c r="G1367" s="75" t="n">
        <v>18278.6195315823</v>
      </c>
      <c r="H1367" s="76" t="n">
        <v>13108.2586821674</v>
      </c>
      <c r="I1367" s="77" t="str">
        <f>H1367-F1367</f>
      </c>
      <c r="J1367" s="78" t="str">
        <f>G1367-E1367</f>
      </c>
    </row>
    <row r="1368">
      <c r="A1368" t="s">
        <v>233</v>
      </c>
      <c r="B1368" t="s">
        <v>235</v>
      </c>
      <c r="C1368" s="72" t="n">
        <v>2038</v>
      </c>
      <c r="D1368" t="s">
        <v>238</v>
      </c>
      <c r="E1368" s="73" t="n">
        <v>1172833.46751294</v>
      </c>
      <c r="F1368" s="74" t="n">
        <v>234035.6541383</v>
      </c>
      <c r="G1368" s="75" t="n">
        <v>1176286.23006217</v>
      </c>
      <c r="H1368" s="76" t="n">
        <v>234286.302403295</v>
      </c>
      <c r="I1368" s="77" t="str">
        <f>H1368-F1368</f>
      </c>
      <c r="J1368" s="78" t="str">
        <f>G1368-E1368</f>
      </c>
    </row>
    <row r="1369">
      <c r="A1369" t="s">
        <v>233</v>
      </c>
      <c r="B1369" t="s">
        <v>235</v>
      </c>
      <c r="C1369" s="72" t="n">
        <v>2038</v>
      </c>
      <c r="D1369" t="s">
        <v>184</v>
      </c>
      <c r="E1369" s="73" t="n">
        <v>132776.923415362</v>
      </c>
      <c r="F1369" s="74" t="n">
        <v>89615.1624477338</v>
      </c>
      <c r="G1369" s="75" t="n">
        <v>133004.77137127</v>
      </c>
      <c r="H1369" s="76" t="n">
        <v>89762.9085046272</v>
      </c>
      <c r="I1369" s="77" t="str">
        <f>H1369-F1369</f>
      </c>
      <c r="J1369" s="78" t="str">
        <f>G1369-E1369</f>
      </c>
    </row>
    <row r="1370">
      <c r="A1370" t="s">
        <v>233</v>
      </c>
      <c r="B1370" t="s">
        <v>235</v>
      </c>
      <c r="C1370" s="72" t="n">
        <v>2038</v>
      </c>
      <c r="D1370" t="s">
        <v>187</v>
      </c>
      <c r="E1370" s="73" t="n">
        <v>436273.379198329</v>
      </c>
      <c r="F1370" s="74" t="n">
        <v>404837.513035424</v>
      </c>
      <c r="G1370" s="75" t="n">
        <v>436878.359538317</v>
      </c>
      <c r="H1370" s="76" t="n">
        <v>405384.957772321</v>
      </c>
      <c r="I1370" s="77" t="str">
        <f>H1370-F1370</f>
      </c>
      <c r="J1370" s="78" t="str">
        <f>G1370-E1370</f>
      </c>
    </row>
    <row r="1371">
      <c r="A1371" t="s">
        <v>233</v>
      </c>
      <c r="B1371" t="s">
        <v>235</v>
      </c>
      <c r="C1371" s="72" t="n">
        <v>2038</v>
      </c>
      <c r="D1371" t="s">
        <v>190</v>
      </c>
      <c r="E1371" s="73" t="n">
        <v>751799.12442864</v>
      </c>
      <c r="F1371" s="74" t="n">
        <v>464576.305023807</v>
      </c>
      <c r="G1371" s="75" t="n">
        <v>753560.822146793</v>
      </c>
      <c r="H1371" s="76" t="n">
        <v>465342.91786371</v>
      </c>
      <c r="I1371" s="77" t="str">
        <f>H1371-F1371</f>
      </c>
      <c r="J1371" s="78" t="str">
        <f>G1371-E1371</f>
      </c>
    </row>
    <row r="1372">
      <c r="A1372" t="s">
        <v>233</v>
      </c>
      <c r="B1372" t="s">
        <v>235</v>
      </c>
      <c r="C1372" s="72" t="n">
        <v>2038</v>
      </c>
      <c r="D1372" t="s">
        <v>193</v>
      </c>
      <c r="E1372" s="73" t="n">
        <v>564779.535034673</v>
      </c>
      <c r="F1372" s="74" t="n">
        <v>318196.615180833</v>
      </c>
      <c r="G1372" s="75" t="n">
        <v>565403.758799385</v>
      </c>
      <c r="H1372" s="76" t="n">
        <v>318461.022248122</v>
      </c>
      <c r="I1372" s="77" t="str">
        <f>H1372-F1372</f>
      </c>
      <c r="J1372" s="78" t="str">
        <f>G1372-E1372</f>
      </c>
    </row>
    <row r="1373">
      <c r="A1373" t="s">
        <v>233</v>
      </c>
      <c r="B1373" t="s">
        <v>235</v>
      </c>
      <c r="C1373" s="72" t="n">
        <v>2038</v>
      </c>
      <c r="D1373" t="s">
        <v>424</v>
      </c>
      <c r="E1373" s="73" t="n">
        <v>43731.2000141195</v>
      </c>
      <c r="F1373" s="74" t="n">
        <v>7517.78517709087</v>
      </c>
      <c r="G1373" s="75" t="n">
        <v>43730.7448506382</v>
      </c>
      <c r="H1373" s="76" t="n">
        <v>7517.77035327065</v>
      </c>
      <c r="I1373" s="77" t="str">
        <f>H1373-F1373</f>
      </c>
      <c r="J1373" s="78" t="str">
        <f>G1373-E1373</f>
      </c>
    </row>
    <row r="1374">
      <c r="A1374" t="s">
        <v>233</v>
      </c>
      <c r="B1374" t="s">
        <v>235</v>
      </c>
      <c r="C1374" s="72" t="n">
        <v>2039</v>
      </c>
      <c r="D1374" t="s">
        <v>176</v>
      </c>
      <c r="E1374" s="73" t="n">
        <v>18756.5211089967</v>
      </c>
      <c r="F1374" s="74" t="n">
        <v>13406.2919878577</v>
      </c>
      <c r="G1374" s="75" t="n">
        <v>18752.090499403</v>
      </c>
      <c r="H1374" s="76" t="n">
        <v>13404.6696202756</v>
      </c>
      <c r="I1374" s="77" t="str">
        <f>H1374-F1374</f>
      </c>
      <c r="J1374" s="78" t="str">
        <f>G1374-E1374</f>
      </c>
    </row>
    <row r="1375">
      <c r="A1375" t="s">
        <v>233</v>
      </c>
      <c r="B1375" t="s">
        <v>235</v>
      </c>
      <c r="C1375" s="72" t="n">
        <v>2039</v>
      </c>
      <c r="D1375" t="s">
        <v>238</v>
      </c>
      <c r="E1375" s="73" t="n">
        <v>1181291.71173989</v>
      </c>
      <c r="F1375" s="74" t="n">
        <v>241855.404440293</v>
      </c>
      <c r="G1375" s="75" t="n">
        <v>1184738.39184491</v>
      </c>
      <c r="H1375" s="76" t="n">
        <v>242132.191153164</v>
      </c>
      <c r="I1375" s="77" t="str">
        <f>H1375-F1375</f>
      </c>
      <c r="J1375" s="78" t="str">
        <f>G1375-E1375</f>
      </c>
    </row>
    <row r="1376">
      <c r="A1376" t="s">
        <v>233</v>
      </c>
      <c r="B1376" t="s">
        <v>235</v>
      </c>
      <c r="C1376" s="72" t="n">
        <v>2039</v>
      </c>
      <c r="D1376" t="s">
        <v>184</v>
      </c>
      <c r="E1376" s="73" t="n">
        <v>135642.785150861</v>
      </c>
      <c r="F1376" s="74" t="n">
        <v>91563.8211009912</v>
      </c>
      <c r="G1376" s="75" t="n">
        <v>135872.13136763</v>
      </c>
      <c r="H1376" s="76" t="n">
        <v>91716.3663536023</v>
      </c>
      <c r="I1376" s="77" t="str">
        <f>H1376-F1376</f>
      </c>
      <c r="J1376" s="78" t="str">
        <f>G1376-E1376</f>
      </c>
    </row>
    <row r="1377">
      <c r="A1377" t="s">
        <v>233</v>
      </c>
      <c r="B1377" t="s">
        <v>235</v>
      </c>
      <c r="C1377" s="72" t="n">
        <v>2039</v>
      </c>
      <c r="D1377" t="s">
        <v>187</v>
      </c>
      <c r="E1377" s="73" t="n">
        <v>443299.178150638</v>
      </c>
      <c r="F1377" s="74" t="n">
        <v>411565.611995301</v>
      </c>
      <c r="G1377" s="75" t="n">
        <v>443905.980748337</v>
      </c>
      <c r="H1377" s="76" t="n">
        <v>412120.21350488</v>
      </c>
      <c r="I1377" s="77" t="str">
        <f>H1377-F1377</f>
      </c>
      <c r="J1377" s="78" t="str">
        <f>G1377-E1377</f>
      </c>
    </row>
    <row r="1378">
      <c r="A1378" t="s">
        <v>233</v>
      </c>
      <c r="B1378" t="s">
        <v>235</v>
      </c>
      <c r="C1378" s="72" t="n">
        <v>2039</v>
      </c>
      <c r="D1378" t="s">
        <v>190</v>
      </c>
      <c r="E1378" s="73" t="n">
        <v>763758.190734216</v>
      </c>
      <c r="F1378" s="74" t="n">
        <v>474451.833506862</v>
      </c>
      <c r="G1378" s="75" t="n">
        <v>765528.467838857</v>
      </c>
      <c r="H1378" s="76" t="n">
        <v>475269.787528918</v>
      </c>
      <c r="I1378" s="77" t="str">
        <f>H1378-F1378</f>
      </c>
      <c r="J1378" s="78" t="str">
        <f>G1378-E1378</f>
      </c>
    </row>
    <row r="1379">
      <c r="A1379" t="s">
        <v>233</v>
      </c>
      <c r="B1379" t="s">
        <v>235</v>
      </c>
      <c r="C1379" s="72" t="n">
        <v>2039</v>
      </c>
      <c r="D1379" t="s">
        <v>193</v>
      </c>
      <c r="E1379" s="73" t="n">
        <v>576793.168506518</v>
      </c>
      <c r="F1379" s="74" t="n">
        <v>327968.054984773</v>
      </c>
      <c r="G1379" s="75" t="n">
        <v>577414.514396235</v>
      </c>
      <c r="H1379" s="76" t="n">
        <v>328246.401276368</v>
      </c>
      <c r="I1379" s="77" t="str">
        <f>H1379-F1379</f>
      </c>
      <c r="J1379" s="78" t="str">
        <f>G1379-E1379</f>
      </c>
    </row>
    <row r="1380">
      <c r="A1380" t="s">
        <v>233</v>
      </c>
      <c r="B1380" t="s">
        <v>235</v>
      </c>
      <c r="C1380" s="72" t="n">
        <v>2039</v>
      </c>
      <c r="D1380" t="s">
        <v>424</v>
      </c>
      <c r="E1380" s="73" t="n">
        <v>43589.3738191071</v>
      </c>
      <c r="F1380" s="74" t="n">
        <v>7547.57839466417</v>
      </c>
      <c r="G1380" s="75" t="n">
        <v>43588.845456637</v>
      </c>
      <c r="H1380" s="76" t="n">
        <v>7547.5598608641</v>
      </c>
      <c r="I1380" s="77" t="str">
        <f>H1380-F1380</f>
      </c>
      <c r="J1380" s="78" t="str">
        <f>G1380-E1380</f>
      </c>
    </row>
    <row r="1381">
      <c r="A1381" t="s">
        <v>233</v>
      </c>
      <c r="B1381" t="s">
        <v>235</v>
      </c>
      <c r="C1381" s="72" t="n">
        <v>2040</v>
      </c>
      <c r="D1381" t="s">
        <v>176</v>
      </c>
      <c r="E1381" s="73" t="n">
        <v>19240.8761169497</v>
      </c>
      <c r="F1381" s="74" t="n">
        <v>13700.9333558884</v>
      </c>
      <c r="G1381" s="75" t="n">
        <v>19235.7365429273</v>
      </c>
      <c r="H1381" s="76" t="n">
        <v>13698.9721681132</v>
      </c>
      <c r="I1381" s="77" t="str">
        <f>H1381-F1381</f>
      </c>
      <c r="J1381" s="78" t="str">
        <f>G1381-E1381</f>
      </c>
    </row>
    <row r="1382">
      <c r="A1382" t="s">
        <v>233</v>
      </c>
      <c r="B1382" t="s">
        <v>235</v>
      </c>
      <c r="C1382" s="72" t="n">
        <v>2040</v>
      </c>
      <c r="D1382" t="s">
        <v>238</v>
      </c>
      <c r="E1382" s="73" t="n">
        <v>1189195.71003919</v>
      </c>
      <c r="F1382" s="74" t="n">
        <v>249591.492071509</v>
      </c>
      <c r="G1382" s="75" t="n">
        <v>1192634.43006365</v>
      </c>
      <c r="H1382" s="76" t="n">
        <v>249894.478827588</v>
      </c>
      <c r="I1382" s="77" t="str">
        <f>H1382-F1382</f>
      </c>
      <c r="J1382" s="78" t="str">
        <f>G1382-E1382</f>
      </c>
    </row>
    <row r="1383">
      <c r="A1383" t="s">
        <v>233</v>
      </c>
      <c r="B1383" t="s">
        <v>235</v>
      </c>
      <c r="C1383" s="72" t="n">
        <v>2040</v>
      </c>
      <c r="D1383" t="s">
        <v>184</v>
      </c>
      <c r="E1383" s="73" t="n">
        <v>138459.209538499</v>
      </c>
      <c r="F1383" s="74" t="n">
        <v>93480.2874786353</v>
      </c>
      <c r="G1383" s="75" t="n">
        <v>138689.796610277</v>
      </c>
      <c r="H1383" s="76" t="n">
        <v>93636.8967600593</v>
      </c>
      <c r="I1383" s="77" t="str">
        <f>H1383-F1383</f>
      </c>
      <c r="J1383" s="78" t="str">
        <f>G1383-E1383</f>
      </c>
    </row>
    <row r="1384">
      <c r="A1384" t="s">
        <v>233</v>
      </c>
      <c r="B1384" t="s">
        <v>235</v>
      </c>
      <c r="C1384" s="72" t="n">
        <v>2040</v>
      </c>
      <c r="D1384" t="s">
        <v>187</v>
      </c>
      <c r="E1384" s="73" t="n">
        <v>450233.662268798</v>
      </c>
      <c r="F1384" s="74" t="n">
        <v>418060.674900862</v>
      </c>
      <c r="G1384" s="75" t="n">
        <v>450841.764596063</v>
      </c>
      <c r="H1384" s="76" t="n">
        <v>418620.908948174</v>
      </c>
      <c r="I1384" s="77" t="str">
        <f>H1384-F1384</f>
      </c>
      <c r="J1384" s="78" t="str">
        <f>G1384-E1384</f>
      </c>
    </row>
    <row r="1385">
      <c r="A1385" t="s">
        <v>233</v>
      </c>
      <c r="B1385" t="s">
        <v>235</v>
      </c>
      <c r="C1385" s="72" t="n">
        <v>2040</v>
      </c>
      <c r="D1385" t="s">
        <v>190</v>
      </c>
      <c r="E1385" s="73" t="n">
        <v>775310.928315296</v>
      </c>
      <c r="F1385" s="74" t="n">
        <v>484081.860588576</v>
      </c>
      <c r="G1385" s="75" t="n">
        <v>777088.496702091</v>
      </c>
      <c r="H1385" s="76" t="n">
        <v>484947.105425179</v>
      </c>
      <c r="I1385" s="77" t="str">
        <f>H1385-F1385</f>
      </c>
      <c r="J1385" s="78" t="str">
        <f>G1385-E1385</f>
      </c>
    </row>
    <row r="1386">
      <c r="A1386" t="s">
        <v>233</v>
      </c>
      <c r="B1386" t="s">
        <v>235</v>
      </c>
      <c r="C1386" s="72" t="n">
        <v>2040</v>
      </c>
      <c r="D1386" t="s">
        <v>193</v>
      </c>
      <c r="E1386" s="73" t="n">
        <v>588742.139511933</v>
      </c>
      <c r="F1386" s="74" t="n">
        <v>337748.225410538</v>
      </c>
      <c r="G1386" s="75" t="n">
        <v>589359.733832842</v>
      </c>
      <c r="H1386" s="76" t="n">
        <v>338039.010430446</v>
      </c>
      <c r="I1386" s="77" t="str">
        <f>H1386-F1386</f>
      </c>
      <c r="J1386" s="78" t="str">
        <f>G1386-E1386</f>
      </c>
    </row>
    <row r="1387">
      <c r="A1387" t="s">
        <v>233</v>
      </c>
      <c r="B1387" t="s">
        <v>235</v>
      </c>
      <c r="C1387" s="72" t="n">
        <v>2040</v>
      </c>
      <c r="D1387" t="s">
        <v>424</v>
      </c>
      <c r="E1387" s="73" t="n">
        <v>43465.4639404003</v>
      </c>
      <c r="F1387" s="74" t="n">
        <v>7573.74816843058</v>
      </c>
      <c r="G1387" s="75" t="n">
        <v>43464.8596818836</v>
      </c>
      <c r="H1387" s="76" t="n">
        <v>7573.72556082699</v>
      </c>
      <c r="I1387" s="77" t="str">
        <f>H1387-F1387</f>
      </c>
      <c r="J1387" s="78" t="str">
        <f>G1387-E1387</f>
      </c>
    </row>
    <row r="1388">
      <c r="A1388" t="s">
        <v>233</v>
      </c>
      <c r="B1388" t="s">
        <v>235</v>
      </c>
      <c r="C1388" s="72" t="n">
        <v>2041</v>
      </c>
      <c r="D1388" t="s">
        <v>176</v>
      </c>
      <c r="E1388" s="73" t="n">
        <v>19733.1758623203</v>
      </c>
      <c r="F1388" s="74" t="n">
        <v>13993.9344071136</v>
      </c>
      <c r="G1388" s="75" t="n">
        <v>19727.283486384</v>
      </c>
      <c r="H1388" s="76" t="n">
        <v>13991.6066902828</v>
      </c>
      <c r="I1388" s="77" t="str">
        <f>H1388-F1388</f>
      </c>
      <c r="J1388" s="78" t="str">
        <f>G1388-E1388</f>
      </c>
    </row>
    <row r="1389">
      <c r="A1389" t="s">
        <v>233</v>
      </c>
      <c r="B1389" t="s">
        <v>235</v>
      </c>
      <c r="C1389" s="72" t="n">
        <v>2041</v>
      </c>
      <c r="D1389" t="s">
        <v>238</v>
      </c>
      <c r="E1389" s="73" t="n">
        <v>1196558.88539346</v>
      </c>
      <c r="F1389" s="74" t="n">
        <v>257269.775507477</v>
      </c>
      <c r="G1389" s="75" t="n">
        <v>1199988.17586749</v>
      </c>
      <c r="H1389" s="76" t="n">
        <v>257599.044002988</v>
      </c>
      <c r="I1389" s="77" t="str">
        <f>H1389-F1389</f>
      </c>
      <c r="J1389" s="78" t="str">
        <f>G1389-E1389</f>
      </c>
    </row>
    <row r="1390">
      <c r="A1390" t="s">
        <v>233</v>
      </c>
      <c r="B1390" t="s">
        <v>235</v>
      </c>
      <c r="C1390" s="72" t="n">
        <v>2041</v>
      </c>
      <c r="D1390" t="s">
        <v>184</v>
      </c>
      <c r="E1390" s="73" t="n">
        <v>141243.962009021</v>
      </c>
      <c r="F1390" s="74" t="n">
        <v>95366.9416760838</v>
      </c>
      <c r="G1390" s="75" t="n">
        <v>141475.570851386</v>
      </c>
      <c r="H1390" s="76" t="n">
        <v>95527.0063786807</v>
      </c>
      <c r="I1390" s="77" t="str">
        <f>H1390-F1390</f>
      </c>
      <c r="J1390" s="78" t="str">
        <f>G1390-E1390</f>
      </c>
    </row>
    <row r="1391">
      <c r="A1391" t="s">
        <v>233</v>
      </c>
      <c r="B1391" t="s">
        <v>235</v>
      </c>
      <c r="C1391" s="72" t="n">
        <v>2041</v>
      </c>
      <c r="D1391" t="s">
        <v>187</v>
      </c>
      <c r="E1391" s="73" t="n">
        <v>457089.204151894</v>
      </c>
      <c r="F1391" s="74" t="n">
        <v>424441.035831886</v>
      </c>
      <c r="G1391" s="75" t="n">
        <v>457698.128134802</v>
      </c>
      <c r="H1391" s="76" t="n">
        <v>425005.77720965</v>
      </c>
      <c r="I1391" s="77" t="str">
        <f>H1391-F1391</f>
      </c>
      <c r="J1391" s="78" t="str">
        <f>G1391-E1391</f>
      </c>
    </row>
    <row r="1392">
      <c r="A1392" t="s">
        <v>233</v>
      </c>
      <c r="B1392" t="s">
        <v>235</v>
      </c>
      <c r="C1392" s="72" t="n">
        <v>2041</v>
      </c>
      <c r="D1392" t="s">
        <v>190</v>
      </c>
      <c r="E1392" s="73" t="n">
        <v>786509.486811679</v>
      </c>
      <c r="F1392" s="74" t="n">
        <v>493482.170418019</v>
      </c>
      <c r="G1392" s="75" t="n">
        <v>788293.242756689</v>
      </c>
      <c r="H1392" s="76" t="n">
        <v>494390.873248259</v>
      </c>
      <c r="I1392" s="77" t="str">
        <f>H1392-F1392</f>
      </c>
      <c r="J1392" s="78" t="str">
        <f>G1392-E1392</f>
      </c>
    </row>
    <row r="1393">
      <c r="A1393" t="s">
        <v>233</v>
      </c>
      <c r="B1393" t="s">
        <v>235</v>
      </c>
      <c r="C1393" s="72" t="n">
        <v>2041</v>
      </c>
      <c r="D1393" t="s">
        <v>193</v>
      </c>
      <c r="E1393" s="73" t="n">
        <v>600542.412070037</v>
      </c>
      <c r="F1393" s="74" t="n">
        <v>347622.892384435</v>
      </c>
      <c r="G1393" s="75" t="n">
        <v>601155.340946961</v>
      </c>
      <c r="H1393" s="76" t="n">
        <v>347924.766327078</v>
      </c>
      <c r="I1393" s="77" t="str">
        <f>H1393-F1393</f>
      </c>
      <c r="J1393" s="78" t="str">
        <f>G1393-E1393</f>
      </c>
    </row>
    <row r="1394">
      <c r="A1394" t="s">
        <v>233</v>
      </c>
      <c r="B1394" t="s">
        <v>235</v>
      </c>
      <c r="C1394" s="72" t="n">
        <v>2041</v>
      </c>
      <c r="D1394" t="s">
        <v>424</v>
      </c>
      <c r="E1394" s="73" t="n">
        <v>43361.6183044044</v>
      </c>
      <c r="F1394" s="74" t="n">
        <v>7596.02237639275</v>
      </c>
      <c r="G1394" s="75" t="n">
        <v>43360.9356755525</v>
      </c>
      <c r="H1394" s="76" t="n">
        <v>7595.99533386821</v>
      </c>
      <c r="I1394" s="77" t="str">
        <f>H1394-F1394</f>
      </c>
      <c r="J1394" s="78" t="str">
        <f>G1394-E1394</f>
      </c>
    </row>
    <row r="1395">
      <c r="A1395" t="s">
        <v>233</v>
      </c>
      <c r="B1395" t="s">
        <v>235</v>
      </c>
      <c r="C1395" s="72" t="n">
        <v>2042</v>
      </c>
      <c r="D1395" t="s">
        <v>176</v>
      </c>
      <c r="E1395" s="73" t="n">
        <v>20228.9574885484</v>
      </c>
      <c r="F1395" s="74" t="n">
        <v>14287.3396095363</v>
      </c>
      <c r="G1395" s="75" t="n">
        <v>20222.2683991647</v>
      </c>
      <c r="H1395" s="76" t="n">
        <v>14284.6169088399</v>
      </c>
      <c r="I1395" s="77" t="str">
        <f>H1395-F1395</f>
      </c>
      <c r="J1395" s="78" t="str">
        <f>G1395-E1395</f>
      </c>
    </row>
    <row r="1396">
      <c r="A1396" t="s">
        <v>233</v>
      </c>
      <c r="B1396" t="s">
        <v>235</v>
      </c>
      <c r="C1396" s="72" t="n">
        <v>2042</v>
      </c>
      <c r="D1396" t="s">
        <v>238</v>
      </c>
      <c r="E1396" s="73" t="n">
        <v>1203381.11133451</v>
      </c>
      <c r="F1396" s="74" t="n">
        <v>264933.799790903</v>
      </c>
      <c r="G1396" s="75" t="n">
        <v>1206799.58929471</v>
      </c>
      <c r="H1396" s="76" t="n">
        <v>265289.409116733</v>
      </c>
      <c r="I1396" s="77" t="str">
        <f>H1396-F1396</f>
      </c>
      <c r="J1396" s="78" t="str">
        <f>G1396-E1396</f>
      </c>
    </row>
    <row r="1397">
      <c r="A1397" t="s">
        <v>233</v>
      </c>
      <c r="B1397" t="s">
        <v>235</v>
      </c>
      <c r="C1397" s="72" t="n">
        <v>2042</v>
      </c>
      <c r="D1397" t="s">
        <v>184</v>
      </c>
      <c r="E1397" s="73" t="n">
        <v>144015.629771753</v>
      </c>
      <c r="F1397" s="74" t="n">
        <v>97243.1233864309</v>
      </c>
      <c r="G1397" s="75" t="n">
        <v>144248.066926011</v>
      </c>
      <c r="H1397" s="76" t="n">
        <v>97406.1569770963</v>
      </c>
      <c r="I1397" s="77" t="str">
        <f>H1397-F1397</f>
      </c>
      <c r="J1397" s="78" t="str">
        <f>G1397-E1397</f>
      </c>
    </row>
    <row r="1398">
      <c r="A1398" t="s">
        <v>233</v>
      </c>
      <c r="B1398" t="s">
        <v>235</v>
      </c>
      <c r="C1398" s="72" t="n">
        <v>2042</v>
      </c>
      <c r="D1398" t="s">
        <v>187</v>
      </c>
      <c r="E1398" s="73" t="n">
        <v>463877.740827352</v>
      </c>
      <c r="F1398" s="74" t="n">
        <v>430828.612656536</v>
      </c>
      <c r="G1398" s="75" t="n">
        <v>464487.038990191</v>
      </c>
      <c r="H1398" s="76" t="n">
        <v>431397.042999706</v>
      </c>
      <c r="I1398" s="77" t="str">
        <f>H1398-F1398</f>
      </c>
      <c r="J1398" s="78" t="str">
        <f>G1398-E1398</f>
      </c>
    </row>
    <row r="1399">
      <c r="A1399" t="s">
        <v>233</v>
      </c>
      <c r="B1399" t="s">
        <v>235</v>
      </c>
      <c r="C1399" s="72" t="n">
        <v>2042</v>
      </c>
      <c r="D1399" t="s">
        <v>190</v>
      </c>
      <c r="E1399" s="73" t="n">
        <v>797436.586181606</v>
      </c>
      <c r="F1399" s="74" t="n">
        <v>502655.215688377</v>
      </c>
      <c r="G1399" s="75" t="n">
        <v>799225.499121645</v>
      </c>
      <c r="H1399" s="76" t="n">
        <v>503603.803809569</v>
      </c>
      <c r="I1399" s="77" t="str">
        <f>H1399-F1399</f>
      </c>
      <c r="J1399" s="78" t="str">
        <f>G1399-E1399</f>
      </c>
    </row>
    <row r="1400">
      <c r="A1400" t="s">
        <v>233</v>
      </c>
      <c r="B1400" t="s">
        <v>235</v>
      </c>
      <c r="C1400" s="72" t="n">
        <v>2042</v>
      </c>
      <c r="D1400" t="s">
        <v>193</v>
      </c>
      <c r="E1400" s="73" t="n">
        <v>612056.932556181</v>
      </c>
      <c r="F1400" s="74" t="n">
        <v>357619.217363761</v>
      </c>
      <c r="G1400" s="75" t="n">
        <v>612664.177038008</v>
      </c>
      <c r="H1400" s="76" t="n">
        <v>357930.939504437</v>
      </c>
      <c r="I1400" s="77" t="str">
        <f>H1400-F1400</f>
      </c>
      <c r="J1400" s="78" t="str">
        <f>G1400-E1400</f>
      </c>
    </row>
    <row r="1401">
      <c r="A1401" t="s">
        <v>233</v>
      </c>
      <c r="B1401" t="s">
        <v>235</v>
      </c>
      <c r="C1401" s="72" t="n">
        <v>2042</v>
      </c>
      <c r="D1401" t="s">
        <v>424</v>
      </c>
      <c r="E1401" s="73" t="n">
        <v>43279.4917978566</v>
      </c>
      <c r="F1401" s="74" t="n">
        <v>7616.62464846344</v>
      </c>
      <c r="G1401" s="75" t="n">
        <v>43278.7284816073</v>
      </c>
      <c r="H1401" s="76" t="n">
        <v>7616.59280355029</v>
      </c>
      <c r="I1401" s="77" t="str">
        <f>H1401-F1401</f>
      </c>
      <c r="J1401" s="78" t="str">
        <f>G1401-E1401</f>
      </c>
    </row>
    <row r="1402">
      <c r="A1402" t="s">
        <v>233</v>
      </c>
      <c r="B1402" t="s">
        <v>235</v>
      </c>
      <c r="C1402" s="72" t="n">
        <v>2043</v>
      </c>
      <c r="D1402" t="s">
        <v>176</v>
      </c>
      <c r="E1402" s="73" t="n">
        <v>20728.0801468496</v>
      </c>
      <c r="F1402" s="74" t="n">
        <v>14576.0291241435</v>
      </c>
      <c r="G1402" s="75" t="n">
        <v>20720.5482054553</v>
      </c>
      <c r="H1402" s="76" t="n">
        <v>14572.8831532714</v>
      </c>
      <c r="I1402" s="77" t="str">
        <f>H1402-F1402</f>
      </c>
      <c r="J1402" s="78" t="str">
        <f>G1402-E1402</f>
      </c>
    </row>
    <row r="1403">
      <c r="A1403" t="s">
        <v>233</v>
      </c>
      <c r="B1403" t="s">
        <v>235</v>
      </c>
      <c r="C1403" s="72" t="n">
        <v>2043</v>
      </c>
      <c r="D1403" t="s">
        <v>238</v>
      </c>
      <c r="E1403" s="73" t="n">
        <v>1209642.99133191</v>
      </c>
      <c r="F1403" s="74" t="n">
        <v>272568.500361647</v>
      </c>
      <c r="G1403" s="75" t="n">
        <v>1213049.26096591</v>
      </c>
      <c r="H1403" s="76" t="n">
        <v>272950.435419178</v>
      </c>
      <c r="I1403" s="77" t="str">
        <f>H1403-F1403</f>
      </c>
      <c r="J1403" s="78" t="str">
        <f>G1403-E1403</f>
      </c>
    </row>
    <row r="1404">
      <c r="A1404" t="s">
        <v>233</v>
      </c>
      <c r="B1404" t="s">
        <v>235</v>
      </c>
      <c r="C1404" s="72" t="n">
        <v>2043</v>
      </c>
      <c r="D1404" t="s">
        <v>184</v>
      </c>
      <c r="E1404" s="73" t="n">
        <v>146760.769141507</v>
      </c>
      <c r="F1404" s="74" t="n">
        <v>99105.8143770487</v>
      </c>
      <c r="G1404" s="75" t="n">
        <v>146993.814208207</v>
      </c>
      <c r="H1404" s="76" t="n">
        <v>99271.3911680729</v>
      </c>
      <c r="I1404" s="77" t="str">
        <f>H1404-F1404</f>
      </c>
      <c r="J1404" s="78" t="str">
        <f>G1404-E1404</f>
      </c>
    </row>
    <row r="1405">
      <c r="A1405" t="s">
        <v>233</v>
      </c>
      <c r="B1405" t="s">
        <v>235</v>
      </c>
      <c r="C1405" s="72" t="n">
        <v>2043</v>
      </c>
      <c r="D1405" t="s">
        <v>187</v>
      </c>
      <c r="E1405" s="73" t="n">
        <v>470545.676762388</v>
      </c>
      <c r="F1405" s="74" t="n">
        <v>437108.73029979</v>
      </c>
      <c r="G1405" s="75" t="n">
        <v>471154.839580669</v>
      </c>
      <c r="H1405" s="76" t="n">
        <v>437679.988471842</v>
      </c>
      <c r="I1405" s="77" t="str">
        <f>H1405-F1405</f>
      </c>
      <c r="J1405" s="78" t="str">
        <f>G1405-E1405</f>
      </c>
    </row>
    <row r="1406">
      <c r="A1406" t="s">
        <v>233</v>
      </c>
      <c r="B1406" t="s">
        <v>235</v>
      </c>
      <c r="C1406" s="72" t="n">
        <v>2043</v>
      </c>
      <c r="D1406" t="s">
        <v>190</v>
      </c>
      <c r="E1406" s="73" t="n">
        <v>808221.475022652</v>
      </c>
      <c r="F1406" s="74" t="n">
        <v>511625.261784705</v>
      </c>
      <c r="G1406" s="75" t="n">
        <v>810014.772834319</v>
      </c>
      <c r="H1406" s="76" t="n">
        <v>512610.449179313</v>
      </c>
      <c r="I1406" s="77" t="str">
        <f>H1406-F1406</f>
      </c>
      <c r="J1406" s="78" t="str">
        <f>G1406-E1406</f>
      </c>
    </row>
    <row r="1407">
      <c r="A1407" t="s">
        <v>233</v>
      </c>
      <c r="B1407" t="s">
        <v>235</v>
      </c>
      <c r="C1407" s="72" t="n">
        <v>2043</v>
      </c>
      <c r="D1407" t="s">
        <v>193</v>
      </c>
      <c r="E1407" s="73" t="n">
        <v>623352.700503423</v>
      </c>
      <c r="F1407" s="74" t="n">
        <v>367638.771208433</v>
      </c>
      <c r="G1407" s="75" t="n">
        <v>623953.356494139</v>
      </c>
      <c r="H1407" s="76" t="n">
        <v>367959.059248153</v>
      </c>
      <c r="I1407" s="77" t="str">
        <f>H1407-F1407</f>
      </c>
      <c r="J1407" s="78" t="str">
        <f>G1407-E1407</f>
      </c>
    </row>
    <row r="1408">
      <c r="A1408" t="s">
        <v>233</v>
      </c>
      <c r="B1408" t="s">
        <v>235</v>
      </c>
      <c r="C1408" s="72" t="n">
        <v>2043</v>
      </c>
      <c r="D1408" t="s">
        <v>424</v>
      </c>
      <c r="E1408" s="73" t="n">
        <v>43232.9847509194</v>
      </c>
      <c r="F1408" s="74" t="n">
        <v>7634.67511836139</v>
      </c>
      <c r="G1408" s="75" t="n">
        <v>43232.1385441846</v>
      </c>
      <c r="H1408" s="76" t="n">
        <v>7634.63809790975</v>
      </c>
      <c r="I1408" s="77" t="str">
        <f>H1408-F1408</f>
      </c>
      <c r="J1408" s="78" t="str">
        <f>G1408-E1408</f>
      </c>
    </row>
    <row r="1409">
      <c r="A1409" t="s">
        <v>233</v>
      </c>
      <c r="B1409" t="s">
        <v>235</v>
      </c>
      <c r="C1409" s="72" t="n">
        <v>2044</v>
      </c>
      <c r="D1409" t="s">
        <v>176</v>
      </c>
      <c r="E1409" s="73" t="n">
        <v>21228.6697162045</v>
      </c>
      <c r="F1409" s="74" t="n">
        <v>14865.0284532033</v>
      </c>
      <c r="G1409" s="75" t="n">
        <v>21220.2473713984</v>
      </c>
      <c r="H1409" s="76" t="n">
        <v>14861.4315691186</v>
      </c>
      <c r="I1409" s="77" t="str">
        <f>H1409-F1409</f>
      </c>
      <c r="J1409" s="78" t="str">
        <f>G1409-E1409</f>
      </c>
    </row>
    <row r="1410">
      <c r="A1410" t="s">
        <v>233</v>
      </c>
      <c r="B1410" t="s">
        <v>235</v>
      </c>
      <c r="C1410" s="72" t="n">
        <v>2044</v>
      </c>
      <c r="D1410" t="s">
        <v>238</v>
      </c>
      <c r="E1410" s="73" t="n">
        <v>1215594.9529332</v>
      </c>
      <c r="F1410" s="74" t="n">
        <v>280098.275111585</v>
      </c>
      <c r="G1410" s="75" t="n">
        <v>1218988.4670045</v>
      </c>
      <c r="H1410" s="76" t="n">
        <v>280506.441535508</v>
      </c>
      <c r="I1410" s="77" t="str">
        <f>H1410-F1410</f>
      </c>
      <c r="J1410" s="78" t="str">
        <f>G1410-E1410</f>
      </c>
    </row>
    <row r="1411">
      <c r="A1411" t="s">
        <v>233</v>
      </c>
      <c r="B1411" t="s">
        <v>235</v>
      </c>
      <c r="C1411" s="72" t="n">
        <v>2044</v>
      </c>
      <c r="D1411" t="s">
        <v>184</v>
      </c>
      <c r="E1411" s="73" t="n">
        <v>149462.812360654</v>
      </c>
      <c r="F1411" s="74" t="n">
        <v>100944.557074123</v>
      </c>
      <c r="G1411" s="75" t="n">
        <v>149696.213967301</v>
      </c>
      <c r="H1411" s="76" t="n">
        <v>101112.290089553</v>
      </c>
      <c r="I1411" s="77" t="str">
        <f>H1411-F1411</f>
      </c>
      <c r="J1411" s="78" t="str">
        <f>G1411-E1411</f>
      </c>
    </row>
    <row r="1412">
      <c r="A1412" t="s">
        <v>233</v>
      </c>
      <c r="B1412" t="s">
        <v>235</v>
      </c>
      <c r="C1412" s="72" t="n">
        <v>2044</v>
      </c>
      <c r="D1412" t="s">
        <v>187</v>
      </c>
      <c r="E1412" s="73" t="n">
        <v>476972.936004273</v>
      </c>
      <c r="F1412" s="74" t="n">
        <v>443227.398416852</v>
      </c>
      <c r="G1412" s="75" t="n">
        <v>477581.314836645</v>
      </c>
      <c r="H1412" s="76" t="n">
        <v>443800.637197395</v>
      </c>
      <c r="I1412" s="77" t="str">
        <f>H1412-F1412</f>
      </c>
      <c r="J1412" s="78" t="str">
        <f>G1412-E1412</f>
      </c>
    </row>
    <row r="1413">
      <c r="A1413" t="s">
        <v>233</v>
      </c>
      <c r="B1413" t="s">
        <v>235</v>
      </c>
      <c r="C1413" s="72" t="n">
        <v>2044</v>
      </c>
      <c r="D1413" t="s">
        <v>190</v>
      </c>
      <c r="E1413" s="73" t="n">
        <v>818945.321119948</v>
      </c>
      <c r="F1413" s="74" t="n">
        <v>520401.381567546</v>
      </c>
      <c r="G1413" s="75" t="n">
        <v>820742.370121934</v>
      </c>
      <c r="H1413" s="76" t="n">
        <v>521420.170330997</v>
      </c>
      <c r="I1413" s="77" t="str">
        <f>H1413-F1413</f>
      </c>
      <c r="J1413" s="78" t="str">
        <f>G1413-E1413</f>
      </c>
    </row>
    <row r="1414">
      <c r="A1414" t="s">
        <v>233</v>
      </c>
      <c r="B1414" t="s">
        <v>235</v>
      </c>
      <c r="C1414" s="72" t="n">
        <v>2044</v>
      </c>
      <c r="D1414" t="s">
        <v>193</v>
      </c>
      <c r="E1414" s="73" t="n">
        <v>634431.33128027</v>
      </c>
      <c r="F1414" s="74" t="n">
        <v>377591.038790763</v>
      </c>
      <c r="G1414" s="75" t="n">
        <v>635024.546467649</v>
      </c>
      <c r="H1414" s="76" t="n">
        <v>377918.589898958</v>
      </c>
      <c r="I1414" s="77" t="str">
        <f>H1414-F1414</f>
      </c>
      <c r="J1414" s="78" t="str">
        <f>G1414-E1414</f>
      </c>
    </row>
    <row r="1415">
      <c r="A1415" t="s">
        <v>233</v>
      </c>
      <c r="B1415" t="s">
        <v>235</v>
      </c>
      <c r="C1415" s="72" t="n">
        <v>2044</v>
      </c>
      <c r="D1415" t="s">
        <v>424</v>
      </c>
      <c r="E1415" s="73" t="n">
        <v>43203.5611419316</v>
      </c>
      <c r="F1415" s="74" t="n">
        <v>7652.76440054003</v>
      </c>
      <c r="G1415" s="75" t="n">
        <v>43202.6300388595</v>
      </c>
      <c r="H1415" s="76" t="n">
        <v>7652.72182573668</v>
      </c>
      <c r="I1415" s="77" t="str">
        <f>H1415-F1415</f>
      </c>
      <c r="J1415" s="78" t="str">
        <f>G1415-E1415</f>
      </c>
    </row>
    <row r="1416">
      <c r="A1416" t="s">
        <v>233</v>
      </c>
      <c r="B1416" t="s">
        <v>235</v>
      </c>
      <c r="C1416" s="72" t="n">
        <v>2045</v>
      </c>
      <c r="D1416" t="s">
        <v>176</v>
      </c>
      <c r="E1416" s="73" t="n">
        <v>21726.9756412226</v>
      </c>
      <c r="F1416" s="74" t="n">
        <v>15152.3727246808</v>
      </c>
      <c r="G1416" s="75" t="n">
        <v>21717.6165215297</v>
      </c>
      <c r="H1416" s="76" t="n">
        <v>15148.2979562423</v>
      </c>
      <c r="I1416" s="77" t="str">
        <f>H1416-F1416</f>
      </c>
      <c r="J1416" s="78" t="str">
        <f>G1416-E1416</f>
      </c>
    </row>
    <row r="1417">
      <c r="A1417" t="s">
        <v>233</v>
      </c>
      <c r="B1417" t="s">
        <v>235</v>
      </c>
      <c r="C1417" s="72" t="n">
        <v>2045</v>
      </c>
      <c r="D1417" t="s">
        <v>238</v>
      </c>
      <c r="E1417" s="73" t="n">
        <v>1221288.51910877</v>
      </c>
      <c r="F1417" s="74" t="n">
        <v>287490.843674217</v>
      </c>
      <c r="G1417" s="75" t="n">
        <v>1224668.96644768</v>
      </c>
      <c r="H1417" s="76" t="n">
        <v>287925.043222784</v>
      </c>
      <c r="I1417" s="77" t="str">
        <f>H1417-F1417</f>
      </c>
      <c r="J1417" s="78" t="str">
        <f>G1417-E1417</f>
      </c>
    </row>
    <row r="1418">
      <c r="A1418" t="s">
        <v>233</v>
      </c>
      <c r="B1418" t="s">
        <v>235</v>
      </c>
      <c r="C1418" s="72" t="n">
        <v>2045</v>
      </c>
      <c r="D1418" t="s">
        <v>184</v>
      </c>
      <c r="E1418" s="73" t="n">
        <v>152104.571587252</v>
      </c>
      <c r="F1418" s="74" t="n">
        <v>102765.757190709</v>
      </c>
      <c r="G1418" s="75" t="n">
        <v>152338.052815886</v>
      </c>
      <c r="H1418" s="76" t="n">
        <v>102935.314985138</v>
      </c>
      <c r="I1418" s="77" t="str">
        <f>H1418-F1418</f>
      </c>
      <c r="J1418" s="78" t="str">
        <f>G1418-E1418</f>
      </c>
    </row>
    <row r="1419">
      <c r="A1419" t="s">
        <v>233</v>
      </c>
      <c r="B1419" t="s">
        <v>235</v>
      </c>
      <c r="C1419" s="72" t="n">
        <v>2045</v>
      </c>
      <c r="D1419" t="s">
        <v>187</v>
      </c>
      <c r="E1419" s="73" t="n">
        <v>483116.588503035</v>
      </c>
      <c r="F1419" s="74" t="n">
        <v>449143.16905997</v>
      </c>
      <c r="G1419" s="75" t="n">
        <v>483723.516122198</v>
      </c>
      <c r="H1419" s="76" t="n">
        <v>449717.558047709</v>
      </c>
      <c r="I1419" s="77" t="str">
        <f>H1419-F1419</f>
      </c>
      <c r="J1419" s="78" t="str">
        <f>G1419-E1419</f>
      </c>
    </row>
    <row r="1420">
      <c r="A1420" t="s">
        <v>233</v>
      </c>
      <c r="B1420" t="s">
        <v>235</v>
      </c>
      <c r="C1420" s="72" t="n">
        <v>2045</v>
      </c>
      <c r="D1420" t="s">
        <v>190</v>
      </c>
      <c r="E1420" s="73" t="n">
        <v>829669.979332451</v>
      </c>
      <c r="F1420" s="74" t="n">
        <v>528944.743706558</v>
      </c>
      <c r="G1420" s="75" t="n">
        <v>831470.210098177</v>
      </c>
      <c r="H1420" s="76" t="n">
        <v>529994.226959208</v>
      </c>
      <c r="I1420" s="77" t="str">
        <f>H1420-F1420</f>
      </c>
      <c r="J1420" s="78" t="str">
        <f>G1420-E1420</f>
      </c>
    </row>
    <row r="1421">
      <c r="A1421" t="s">
        <v>233</v>
      </c>
      <c r="B1421" t="s">
        <v>235</v>
      </c>
      <c r="C1421" s="72" t="n">
        <v>2045</v>
      </c>
      <c r="D1421" t="s">
        <v>193</v>
      </c>
      <c r="E1421" s="73" t="n">
        <v>645145.623446868</v>
      </c>
      <c r="F1421" s="74" t="n">
        <v>387417.173156246</v>
      </c>
      <c r="G1421" s="75" t="n">
        <v>645730.44769896</v>
      </c>
      <c r="H1421" s="76" t="n">
        <v>387750.678781898</v>
      </c>
      <c r="I1421" s="77" t="str">
        <f>H1421-F1421</f>
      </c>
      <c r="J1421" s="78" t="str">
        <f>G1421-E1421</f>
      </c>
    </row>
    <row r="1422">
      <c r="A1422" t="s">
        <v>233</v>
      </c>
      <c r="B1422" t="s">
        <v>235</v>
      </c>
      <c r="C1422" s="72" t="n">
        <v>2045</v>
      </c>
      <c r="D1422" t="s">
        <v>424</v>
      </c>
      <c r="E1422" s="73" t="n">
        <v>43191.6215743104</v>
      </c>
      <c r="F1422" s="74" t="n">
        <v>7672.11673754075</v>
      </c>
      <c r="G1422" s="75" t="n">
        <v>43190.6037513161</v>
      </c>
      <c r="H1422" s="76" t="n">
        <v>7672.06822678464</v>
      </c>
      <c r="I1422" s="77" t="str">
        <f>H1422-F1422</f>
      </c>
      <c r="J1422" s="78" t="str">
        <f>G1422-E1422</f>
      </c>
    </row>
    <row r="1423">
      <c r="A1423" t="s">
        <v>233</v>
      </c>
      <c r="B1423" t="s">
        <v>235</v>
      </c>
      <c r="C1423" s="72" t="n">
        <v>2046</v>
      </c>
      <c r="D1423" t="s">
        <v>176</v>
      </c>
      <c r="E1423" s="73" t="n">
        <v>22221.3159595894</v>
      </c>
      <c r="F1423" s="74" t="n">
        <v>15441.4736698339</v>
      </c>
      <c r="G1423" s="75" t="n">
        <v>22210.9745219107</v>
      </c>
      <c r="H1423" s="76" t="n">
        <v>15436.8918612077</v>
      </c>
      <c r="I1423" s="77" t="str">
        <f>H1423-F1423</f>
      </c>
      <c r="J1423" s="78" t="str">
        <f>G1423-E1423</f>
      </c>
    </row>
    <row r="1424">
      <c r="A1424" t="s">
        <v>233</v>
      </c>
      <c r="B1424" t="s">
        <v>235</v>
      </c>
      <c r="C1424" s="72" t="n">
        <v>2046</v>
      </c>
      <c r="D1424" t="s">
        <v>238</v>
      </c>
      <c r="E1424" s="73" t="n">
        <v>1226757.82480397</v>
      </c>
      <c r="F1424" s="74" t="n">
        <v>294705.978180828</v>
      </c>
      <c r="G1424" s="75" t="n">
        <v>1230125.0687767</v>
      </c>
      <c r="H1424" s="76" t="n">
        <v>295165.877208802</v>
      </c>
      <c r="I1424" s="77" t="str">
        <f>H1424-F1424</f>
      </c>
      <c r="J1424" s="78" t="str">
        <f>G1424-E1424</f>
      </c>
    </row>
    <row r="1425">
      <c r="A1425" t="s">
        <v>233</v>
      </c>
      <c r="B1425" t="s">
        <v>235</v>
      </c>
      <c r="C1425" s="72" t="n">
        <v>2046</v>
      </c>
      <c r="D1425" t="s">
        <v>184</v>
      </c>
      <c r="E1425" s="73" t="n">
        <v>154685.900418781</v>
      </c>
      <c r="F1425" s="74" t="n">
        <v>104560.065675288</v>
      </c>
      <c r="G1425" s="75" t="n">
        <v>154919.185199882</v>
      </c>
      <c r="H1425" s="76" t="n">
        <v>104731.133984312</v>
      </c>
      <c r="I1425" s="77" t="str">
        <f>H1425-F1425</f>
      </c>
      <c r="J1425" s="78" t="str">
        <f>G1425-E1425</f>
      </c>
    </row>
    <row r="1426">
      <c r="A1426" t="s">
        <v>233</v>
      </c>
      <c r="B1426" t="s">
        <v>235</v>
      </c>
      <c r="C1426" s="72" t="n">
        <v>2046</v>
      </c>
      <c r="D1426" t="s">
        <v>187</v>
      </c>
      <c r="E1426" s="73" t="n">
        <v>488954.76574506</v>
      </c>
      <c r="F1426" s="74" t="n">
        <v>454735.45642728</v>
      </c>
      <c r="G1426" s="75" t="n">
        <v>489559.569488497</v>
      </c>
      <c r="H1426" s="76" t="n">
        <v>455310.080020589</v>
      </c>
      <c r="I1426" s="77" t="str">
        <f>H1426-F1426</f>
      </c>
      <c r="J1426" s="78" t="str">
        <f>G1426-E1426</f>
      </c>
    </row>
    <row r="1427">
      <c r="A1427" t="s">
        <v>233</v>
      </c>
      <c r="B1427" t="s">
        <v>235</v>
      </c>
      <c r="C1427" s="72" t="n">
        <v>2046</v>
      </c>
      <c r="D1427" t="s">
        <v>190</v>
      </c>
      <c r="E1427" s="73" t="n">
        <v>840219.765884992</v>
      </c>
      <c r="F1427" s="74" t="n">
        <v>537362.609620733</v>
      </c>
      <c r="G1427" s="75" t="n">
        <v>842022.211146035</v>
      </c>
      <c r="H1427" s="76" t="n">
        <v>538440.168228285</v>
      </c>
      <c r="I1427" s="77" t="str">
        <f>H1427-F1427</f>
      </c>
      <c r="J1427" s="78" t="str">
        <f>G1427-E1427</f>
      </c>
    </row>
    <row r="1428">
      <c r="A1428" t="s">
        <v>233</v>
      </c>
      <c r="B1428" t="s">
        <v>235</v>
      </c>
      <c r="C1428" s="72" t="n">
        <v>2046</v>
      </c>
      <c r="D1428" t="s">
        <v>193</v>
      </c>
      <c r="E1428" s="73" t="n">
        <v>655447.760539731</v>
      </c>
      <c r="F1428" s="74" t="n">
        <v>397093.778608144</v>
      </c>
      <c r="G1428" s="75" t="n">
        <v>656023.203848247</v>
      </c>
      <c r="H1428" s="76" t="n">
        <v>397431.950602612</v>
      </c>
      <c r="I1428" s="77" t="str">
        <f>H1428-F1428</f>
      </c>
      <c r="J1428" s="78" t="str">
        <f>G1428-E1428</f>
      </c>
    </row>
    <row r="1429">
      <c r="A1429" t="s">
        <v>233</v>
      </c>
      <c r="B1429" t="s">
        <v>235</v>
      </c>
      <c r="C1429" s="72" t="n">
        <v>2046</v>
      </c>
      <c r="D1429" t="s">
        <v>424</v>
      </c>
      <c r="E1429" s="73" t="n">
        <v>43197.4167219565</v>
      </c>
      <c r="F1429" s="74" t="n">
        <v>7693.61186658735</v>
      </c>
      <c r="G1429" s="75" t="n">
        <v>43196.3103231123</v>
      </c>
      <c r="H1429" s="76" t="n">
        <v>7693.55704865625</v>
      </c>
      <c r="I1429" s="77" t="str">
        <f>H1429-F1429</f>
      </c>
      <c r="J1429" s="78" t="str">
        <f>G1429-E1429</f>
      </c>
    </row>
    <row r="1430">
      <c r="A1430" t="s">
        <v>233</v>
      </c>
      <c r="B1430" t="s">
        <v>235</v>
      </c>
      <c r="C1430" s="72" t="n">
        <v>2047</v>
      </c>
      <c r="D1430" t="s">
        <v>176</v>
      </c>
      <c r="E1430" s="73" t="n">
        <v>22711.0314220654</v>
      </c>
      <c r="F1430" s="74" t="n">
        <v>15733.6054700062</v>
      </c>
      <c r="G1430" s="75" t="n">
        <v>22699.6629629007</v>
      </c>
      <c r="H1430" s="76" t="n">
        <v>15728.4854947303</v>
      </c>
      <c r="I1430" s="77" t="str">
        <f>H1430-F1430</f>
      </c>
      <c r="J1430" s="78" t="str">
        <f>G1430-E1430</f>
      </c>
    </row>
    <row r="1431">
      <c r="A1431" t="s">
        <v>233</v>
      </c>
      <c r="B1431" t="s">
        <v>235</v>
      </c>
      <c r="C1431" s="72" t="n">
        <v>2047</v>
      </c>
      <c r="D1431" t="s">
        <v>238</v>
      </c>
      <c r="E1431" s="73" t="n">
        <v>1231920.93801205</v>
      </c>
      <c r="F1431" s="74" t="n">
        <v>301695.362438777</v>
      </c>
      <c r="G1431" s="75" t="n">
        <v>1235274.66521773</v>
      </c>
      <c r="H1431" s="76" t="n">
        <v>302180.550312501</v>
      </c>
      <c r="I1431" s="77" t="str">
        <f>H1431-F1431</f>
      </c>
      <c r="J1431" s="78" t="str">
        <f>G1431-E1431</f>
      </c>
    </row>
    <row r="1432">
      <c r="A1432" t="s">
        <v>233</v>
      </c>
      <c r="B1432" t="s">
        <v>235</v>
      </c>
      <c r="C1432" s="72" t="n">
        <v>2047</v>
      </c>
      <c r="D1432" t="s">
        <v>184</v>
      </c>
      <c r="E1432" s="73" t="n">
        <v>157203.130104907</v>
      </c>
      <c r="F1432" s="74" t="n">
        <v>106315.401654613</v>
      </c>
      <c r="G1432" s="75" t="n">
        <v>157435.937342911</v>
      </c>
      <c r="H1432" s="76" t="n">
        <v>106487.677760342</v>
      </c>
      <c r="I1432" s="77" t="str">
        <f>H1432-F1432</f>
      </c>
      <c r="J1432" s="78" t="str">
        <f>G1432-E1432</f>
      </c>
    </row>
    <row r="1433">
      <c r="A1433" t="s">
        <v>233</v>
      </c>
      <c r="B1433" t="s">
        <v>235</v>
      </c>
      <c r="C1433" s="72" t="n">
        <v>2047</v>
      </c>
      <c r="D1433" t="s">
        <v>187</v>
      </c>
      <c r="E1433" s="73" t="n">
        <v>494445.363835353</v>
      </c>
      <c r="F1433" s="74" t="n">
        <v>459965.471568422</v>
      </c>
      <c r="G1433" s="75" t="n">
        <v>495047.331680699</v>
      </c>
      <c r="H1433" s="76" t="n">
        <v>460539.427749469</v>
      </c>
      <c r="I1433" s="77" t="str">
        <f>H1433-F1433</f>
      </c>
      <c r="J1433" s="78" t="str">
        <f>G1433-E1433</f>
      </c>
    </row>
    <row r="1434">
      <c r="A1434" t="s">
        <v>233</v>
      </c>
      <c r="B1434" t="s">
        <v>235</v>
      </c>
      <c r="C1434" s="72" t="n">
        <v>2047</v>
      </c>
      <c r="D1434" t="s">
        <v>190</v>
      </c>
      <c r="E1434" s="73" t="n">
        <v>850553.308067599</v>
      </c>
      <c r="F1434" s="74" t="n">
        <v>545789.526300674</v>
      </c>
      <c r="G1434" s="75" t="n">
        <v>852357.036896631</v>
      </c>
      <c r="H1434" s="76" t="n">
        <v>546892.884748123</v>
      </c>
      <c r="I1434" s="77" t="str">
        <f>H1434-F1434</f>
      </c>
      <c r="J1434" s="78" t="str">
        <f>G1434-E1434</f>
      </c>
    </row>
    <row r="1435">
      <c r="A1435" t="s">
        <v>233</v>
      </c>
      <c r="B1435" t="s">
        <v>235</v>
      </c>
      <c r="C1435" s="72" t="n">
        <v>2047</v>
      </c>
      <c r="D1435" t="s">
        <v>193</v>
      </c>
      <c r="E1435" s="73" t="n">
        <v>665395.398780678</v>
      </c>
      <c r="F1435" s="74" t="n">
        <v>406596.796833973</v>
      </c>
      <c r="G1435" s="75" t="n">
        <v>665960.530537607</v>
      </c>
      <c r="H1435" s="76" t="n">
        <v>406938.309858621</v>
      </c>
      <c r="I1435" s="77" t="str">
        <f>H1435-F1435</f>
      </c>
      <c r="J1435" s="78" t="str">
        <f>G1435-E1435</f>
      </c>
    </row>
    <row r="1436">
      <c r="A1436" t="s">
        <v>233</v>
      </c>
      <c r="B1436" t="s">
        <v>235</v>
      </c>
      <c r="C1436" s="72" t="n">
        <v>2047</v>
      </c>
      <c r="D1436" t="s">
        <v>424</v>
      </c>
      <c r="E1436" s="73" t="n">
        <v>43218.8310769219</v>
      </c>
      <c r="F1436" s="74" t="n">
        <v>7716.32601631922</v>
      </c>
      <c r="G1436" s="75" t="n">
        <v>43217.6341923504</v>
      </c>
      <c r="H1436" s="76" t="n">
        <v>7716.26452507886</v>
      </c>
      <c r="I1436" s="77" t="str">
        <f>H1436-F1436</f>
      </c>
      <c r="J1436" s="78" t="str">
        <f>G1436-E1436</f>
      </c>
    </row>
    <row r="1437">
      <c r="A1437" t="s">
        <v>233</v>
      </c>
      <c r="B1437" t="s">
        <v>235</v>
      </c>
      <c r="C1437" s="72" t="n">
        <v>2048</v>
      </c>
      <c r="D1437" t="s">
        <v>176</v>
      </c>
      <c r="E1437" s="73" t="n">
        <v>23192.214576918</v>
      </c>
      <c r="F1437" s="74" t="n">
        <v>16030.905169698</v>
      </c>
      <c r="G1437" s="75" t="n">
        <v>23179.7775298232</v>
      </c>
      <c r="H1437" s="76" t="n">
        <v>16025.2187605858</v>
      </c>
      <c r="I1437" s="77" t="str">
        <f>H1437-F1437</f>
      </c>
      <c r="J1437" s="78" t="str">
        <f>G1437-E1437</f>
      </c>
    </row>
    <row r="1438">
      <c r="A1438" t="s">
        <v>233</v>
      </c>
      <c r="B1438" t="s">
        <v>235</v>
      </c>
      <c r="C1438" s="72" t="n">
        <v>2048</v>
      </c>
      <c r="D1438" t="s">
        <v>238</v>
      </c>
      <c r="E1438" s="73" t="n">
        <v>1236868.87936865</v>
      </c>
      <c r="F1438" s="74" t="n">
        <v>308454.24911954</v>
      </c>
      <c r="G1438" s="75" t="n">
        <v>1240209.10376068</v>
      </c>
      <c r="H1438" s="76" t="n">
        <v>308964.310377282</v>
      </c>
      <c r="I1438" s="77" t="str">
        <f>H1438-F1438</f>
      </c>
      <c r="J1438" s="78" t="str">
        <f>G1438-E1438</f>
      </c>
    </row>
    <row r="1439">
      <c r="A1439" t="s">
        <v>233</v>
      </c>
      <c r="B1439" t="s">
        <v>235</v>
      </c>
      <c r="C1439" s="72" t="n">
        <v>2048</v>
      </c>
      <c r="D1439" t="s">
        <v>184</v>
      </c>
      <c r="E1439" s="73" t="n">
        <v>159645.025837377</v>
      </c>
      <c r="F1439" s="74" t="n">
        <v>108032.095325267</v>
      </c>
      <c r="G1439" s="75" t="n">
        <v>159877.069557409</v>
      </c>
      <c r="H1439" s="76" t="n">
        <v>108205.309376064</v>
      </c>
      <c r="I1439" s="77" t="str">
        <f>H1439-F1439</f>
      </c>
      <c r="J1439" s="78" t="str">
        <f>G1439-E1439</f>
      </c>
    </row>
    <row r="1440">
      <c r="A1440" t="s">
        <v>233</v>
      </c>
      <c r="B1440" t="s">
        <v>235</v>
      </c>
      <c r="C1440" s="72" t="n">
        <v>2048</v>
      </c>
      <c r="D1440" t="s">
        <v>187</v>
      </c>
      <c r="E1440" s="73" t="n">
        <v>499653.410598954</v>
      </c>
      <c r="F1440" s="74" t="n">
        <v>464985.819686619</v>
      </c>
      <c r="G1440" s="75" t="n">
        <v>500251.963676638</v>
      </c>
      <c r="H1440" s="76" t="n">
        <v>465558.478994868</v>
      </c>
      <c r="I1440" s="77" t="str">
        <f>H1440-F1440</f>
      </c>
      <c r="J1440" s="78" t="str">
        <f>G1440-E1440</f>
      </c>
    </row>
    <row r="1441">
      <c r="A1441" t="s">
        <v>233</v>
      </c>
      <c r="B1441" t="s">
        <v>235</v>
      </c>
      <c r="C1441" s="72" t="n">
        <v>2048</v>
      </c>
      <c r="D1441" t="s">
        <v>190</v>
      </c>
      <c r="E1441" s="73" t="n">
        <v>860617.201183793</v>
      </c>
      <c r="F1441" s="74" t="n">
        <v>554092.484873456</v>
      </c>
      <c r="G1441" s="75" t="n">
        <v>862421.197666068</v>
      </c>
      <c r="H1441" s="76" t="n">
        <v>555219.254274076</v>
      </c>
      <c r="I1441" s="77" t="str">
        <f>H1441-F1441</f>
      </c>
      <c r="J1441" s="78" t="str">
        <f>G1441-E1441</f>
      </c>
    </row>
    <row r="1442">
      <c r="A1442" t="s">
        <v>233</v>
      </c>
      <c r="B1442" t="s">
        <v>235</v>
      </c>
      <c r="C1442" s="72" t="n">
        <v>2048</v>
      </c>
      <c r="D1442" t="s">
        <v>193</v>
      </c>
      <c r="E1442" s="73" t="n">
        <v>674984.102009823</v>
      </c>
      <c r="F1442" s="74" t="n">
        <v>415877.653247383</v>
      </c>
      <c r="G1442" s="75" t="n">
        <v>675538.067131439</v>
      </c>
      <c r="H1442" s="76" t="n">
        <v>416221.145643516</v>
      </c>
      <c r="I1442" s="77" t="str">
        <f>H1442-F1442</f>
      </c>
      <c r="J1442" s="78" t="str">
        <f>G1442-E1442</f>
      </c>
    </row>
    <row r="1443">
      <c r="A1443" t="s">
        <v>233</v>
      </c>
      <c r="B1443" t="s">
        <v>235</v>
      </c>
      <c r="C1443" s="72" t="n">
        <v>2048</v>
      </c>
      <c r="D1443" t="s">
        <v>424</v>
      </c>
      <c r="E1443" s="73" t="n">
        <v>43248.4055460474</v>
      </c>
      <c r="F1443" s="74" t="n">
        <v>7741.03677392315</v>
      </c>
      <c r="G1443" s="75" t="n">
        <v>43247.1165682685</v>
      </c>
      <c r="H1443" s="76" t="n">
        <v>7740.96823230914</v>
      </c>
      <c r="I1443" s="77" t="str">
        <f>H1443-F1443</f>
      </c>
      <c r="J1443" s="78" t="str">
        <f>G1443-E1443</f>
      </c>
    </row>
    <row r="1444">
      <c r="A1444" t="s">
        <v>233</v>
      </c>
      <c r="B1444" t="s">
        <v>235</v>
      </c>
      <c r="C1444" s="72" t="n">
        <v>2049</v>
      </c>
      <c r="D1444" t="s">
        <v>176</v>
      </c>
      <c r="E1444" s="73" t="n">
        <v>23663.9039380115</v>
      </c>
      <c r="F1444" s="74" t="n">
        <v>16328.8915562825</v>
      </c>
      <c r="G1444" s="75" t="n">
        <v>23650.3614840449</v>
      </c>
      <c r="H1444" s="76" t="n">
        <v>16322.61151708</v>
      </c>
      <c r="I1444" s="77" t="str">
        <f>H1444-F1444</f>
      </c>
      <c r="J1444" s="78" t="str">
        <f>G1444-E1444</f>
      </c>
    </row>
    <row r="1445">
      <c r="A1445" t="s">
        <v>233</v>
      </c>
      <c r="B1445" t="s">
        <v>235</v>
      </c>
      <c r="C1445" s="72" t="n">
        <v>2049</v>
      </c>
      <c r="D1445" t="s">
        <v>238</v>
      </c>
      <c r="E1445" s="73" t="n">
        <v>1241631.55525027</v>
      </c>
      <c r="F1445" s="74" t="n">
        <v>314994.162975966</v>
      </c>
      <c r="G1445" s="75" t="n">
        <v>1244958.37630862</v>
      </c>
      <c r="H1445" s="76" t="n">
        <v>315528.654574656</v>
      </c>
      <c r="I1445" s="77" t="str">
        <f>H1445-F1445</f>
      </c>
      <c r="J1445" s="78" t="str">
        <f>G1445-E1445</f>
      </c>
    </row>
    <row r="1446">
      <c r="A1446" t="s">
        <v>233</v>
      </c>
      <c r="B1446" t="s">
        <v>235</v>
      </c>
      <c r="C1446" s="72" t="n">
        <v>2049</v>
      </c>
      <c r="D1446" t="s">
        <v>184</v>
      </c>
      <c r="E1446" s="73" t="n">
        <v>162007.130020136</v>
      </c>
      <c r="F1446" s="74" t="n">
        <v>109708.463739336</v>
      </c>
      <c r="G1446" s="75" t="n">
        <v>162238.134685625</v>
      </c>
      <c r="H1446" s="76" t="n">
        <v>109882.371148655</v>
      </c>
      <c r="I1446" s="77" t="str">
        <f>H1446-F1446</f>
      </c>
      <c r="J1446" s="78" t="str">
        <f>G1446-E1446</f>
      </c>
    </row>
    <row r="1447">
      <c r="A1447" t="s">
        <v>233</v>
      </c>
      <c r="B1447" t="s">
        <v>235</v>
      </c>
      <c r="C1447" s="72" t="n">
        <v>2049</v>
      </c>
      <c r="D1447" t="s">
        <v>187</v>
      </c>
      <c r="E1447" s="73" t="n">
        <v>504621.244501088</v>
      </c>
      <c r="F1447" s="74" t="n">
        <v>469813.051614149</v>
      </c>
      <c r="G1447" s="75" t="n">
        <v>505215.900508139</v>
      </c>
      <c r="H1447" s="76" t="n">
        <v>470383.880162835</v>
      </c>
      <c r="I1447" s="77" t="str">
        <f>H1447-F1447</f>
      </c>
      <c r="J1447" s="78" t="str">
        <f>G1447-E1447</f>
      </c>
    </row>
    <row r="1448">
      <c r="A1448" t="s">
        <v>233</v>
      </c>
      <c r="B1448" t="s">
        <v>235</v>
      </c>
      <c r="C1448" s="72" t="n">
        <v>2049</v>
      </c>
      <c r="D1448" t="s">
        <v>190</v>
      </c>
      <c r="E1448" s="73" t="n">
        <v>870236.520463285</v>
      </c>
      <c r="F1448" s="74" t="n">
        <v>562190.038059398</v>
      </c>
      <c r="G1448" s="75" t="n">
        <v>872039.412561908</v>
      </c>
      <c r="H1448" s="76" t="n">
        <v>563337.765593671</v>
      </c>
      <c r="I1448" s="77" t="str">
        <f>H1448-F1448</f>
      </c>
      <c r="J1448" s="78" t="str">
        <f>G1448-E1448</f>
      </c>
    </row>
    <row r="1449">
      <c r="A1449" t="s">
        <v>233</v>
      </c>
      <c r="B1449" t="s">
        <v>235</v>
      </c>
      <c r="C1449" s="72" t="n">
        <v>2049</v>
      </c>
      <c r="D1449" t="s">
        <v>193</v>
      </c>
      <c r="E1449" s="73" t="n">
        <v>684257.451063498</v>
      </c>
      <c r="F1449" s="74" t="n">
        <v>424867.20252217</v>
      </c>
      <c r="G1449" s="75" t="n">
        <v>684799.519243418</v>
      </c>
      <c r="H1449" s="76" t="n">
        <v>425211.294806661</v>
      </c>
      <c r="I1449" s="77" t="str">
        <f>H1449-F1449</f>
      </c>
      <c r="J1449" s="78" t="str">
        <f>G1449-E1449</f>
      </c>
    </row>
    <row r="1450">
      <c r="A1450" t="s">
        <v>233</v>
      </c>
      <c r="B1450" t="s">
        <v>235</v>
      </c>
      <c r="C1450" s="72" t="n">
        <v>2049</v>
      </c>
      <c r="D1450" t="s">
        <v>424</v>
      </c>
      <c r="E1450" s="73" t="n">
        <v>43289.0763499405</v>
      </c>
      <c r="F1450" s="74" t="n">
        <v>7764.50103306277</v>
      </c>
      <c r="G1450" s="75" t="n">
        <v>43287.6941181752</v>
      </c>
      <c r="H1450" s="76" t="n">
        <v>7764.42505773382</v>
      </c>
      <c r="I1450" s="77" t="str">
        <f>H1450-F1450</f>
      </c>
      <c r="J1450" s="78" t="str">
        <f>G1450-E1450</f>
      </c>
    </row>
    <row r="1451">
      <c r="A1451" t="s">
        <v>233</v>
      </c>
      <c r="B1451" t="s">
        <v>235</v>
      </c>
      <c r="C1451" s="72" t="n">
        <v>2050</v>
      </c>
      <c r="D1451" t="s">
        <v>176</v>
      </c>
      <c r="E1451" s="73" t="n">
        <v>24125.1107892796</v>
      </c>
      <c r="F1451" s="74" t="n">
        <v>16625.8225148862</v>
      </c>
      <c r="G1451" s="75" t="n">
        <v>24110.4306261692</v>
      </c>
      <c r="H1451" s="76" t="n">
        <v>16618.9237091261</v>
      </c>
      <c r="I1451" s="77" t="str">
        <f>H1451-F1451</f>
      </c>
      <c r="J1451" s="78" t="str">
        <f>G1451-E1451</f>
      </c>
    </row>
    <row r="1452">
      <c r="A1452" t="s">
        <v>233</v>
      </c>
      <c r="B1452" t="s">
        <v>235</v>
      </c>
      <c r="C1452" s="72" t="n">
        <v>2050</v>
      </c>
      <c r="D1452" t="s">
        <v>238</v>
      </c>
      <c r="E1452" s="73" t="n">
        <v>1246261.3010485</v>
      </c>
      <c r="F1452" s="74" t="n">
        <v>321307.692343752</v>
      </c>
      <c r="G1452" s="75" t="n">
        <v>1249574.98129843</v>
      </c>
      <c r="H1452" s="76" t="n">
        <v>321866.145423905</v>
      </c>
      <c r="I1452" s="77" t="str">
        <f>H1452-F1452</f>
      </c>
      <c r="J1452" s="78" t="str">
        <f>G1452-E1452</f>
      </c>
    </row>
    <row r="1453">
      <c r="A1453" t="s">
        <v>233</v>
      </c>
      <c r="B1453" t="s">
        <v>235</v>
      </c>
      <c r="C1453" s="72" t="n">
        <v>2050</v>
      </c>
      <c r="D1453" t="s">
        <v>184</v>
      </c>
      <c r="E1453" s="73" t="n">
        <v>164297.2312079</v>
      </c>
      <c r="F1453" s="74" t="n">
        <v>111321.915835496</v>
      </c>
      <c r="G1453" s="75" t="n">
        <v>164526.94959842</v>
      </c>
      <c r="H1453" s="76" t="n">
        <v>111496.260054028</v>
      </c>
      <c r="I1453" s="77" t="str">
        <f>H1453-F1453</f>
      </c>
      <c r="J1453" s="78" t="str">
        <f>G1453-E1453</f>
      </c>
    </row>
    <row r="1454">
      <c r="A1454" t="s">
        <v>233</v>
      </c>
      <c r="B1454" t="s">
        <v>235</v>
      </c>
      <c r="C1454" s="72" t="n">
        <v>2050</v>
      </c>
      <c r="D1454" t="s">
        <v>187</v>
      </c>
      <c r="E1454" s="73" t="n">
        <v>509333.507959226</v>
      </c>
      <c r="F1454" s="74" t="n">
        <v>474324.902548416</v>
      </c>
      <c r="G1454" s="75" t="n">
        <v>509923.794653266</v>
      </c>
      <c r="H1454" s="76" t="n">
        <v>474893.254554943</v>
      </c>
      <c r="I1454" s="77" t="str">
        <f>H1454-F1454</f>
      </c>
      <c r="J1454" s="78" t="str">
        <f>G1454-E1454</f>
      </c>
    </row>
    <row r="1455">
      <c r="A1455" t="s">
        <v>233</v>
      </c>
      <c r="B1455" t="s">
        <v>235</v>
      </c>
      <c r="C1455" s="72" t="n">
        <v>2050</v>
      </c>
      <c r="D1455" t="s">
        <v>190</v>
      </c>
      <c r="E1455" s="73" t="n">
        <v>879419.668499865</v>
      </c>
      <c r="F1455" s="74" t="n">
        <v>570138.613069685</v>
      </c>
      <c r="G1455" s="75" t="n">
        <v>881220.210178615</v>
      </c>
      <c r="H1455" s="76" t="n">
        <v>571305.130665456</v>
      </c>
      <c r="I1455" s="77" t="str">
        <f>H1455-F1455</f>
      </c>
      <c r="J1455" s="78" t="str">
        <f>G1455-E1455</f>
      </c>
    </row>
    <row r="1456">
      <c r="A1456" t="s">
        <v>233</v>
      </c>
      <c r="B1456" t="s">
        <v>235</v>
      </c>
      <c r="C1456" s="72" t="n">
        <v>2050</v>
      </c>
      <c r="D1456" t="s">
        <v>193</v>
      </c>
      <c r="E1456" s="73" t="n">
        <v>693303.765256058</v>
      </c>
      <c r="F1456" s="74" t="n">
        <v>433584.725463764</v>
      </c>
      <c r="G1456" s="75" t="n">
        <v>693833.375810026</v>
      </c>
      <c r="H1456" s="76" t="n">
        <v>433928.116842437</v>
      </c>
      <c r="I1456" s="77" t="str">
        <f>H1456-F1456</f>
      </c>
      <c r="J1456" s="78" t="str">
        <f>G1456-E1456</f>
      </c>
    </row>
    <row r="1457">
      <c r="A1457" t="s">
        <v>233</v>
      </c>
      <c r="B1457" t="s">
        <v>235</v>
      </c>
      <c r="C1457" s="72" t="n">
        <v>2050</v>
      </c>
      <c r="D1457" t="s">
        <v>424</v>
      </c>
      <c r="E1457" s="73" t="n">
        <v>43338.8103480166</v>
      </c>
      <c r="F1457" s="74" t="n">
        <v>7785.67630111771</v>
      </c>
      <c r="G1457" s="75" t="n">
        <v>43337.3340718481</v>
      </c>
      <c r="H1457" s="76" t="n">
        <v>7785.59251624651</v>
      </c>
      <c r="I1457" s="77" t="str">
        <f>H1457-F1457</f>
      </c>
      <c r="J1457" s="78" t="str">
        <f>G1457-E1457</f>
      </c>
    </row>
    <row r="1458">
      <c r="A1458" t="s">
        <v>244</v>
      </c>
      <c r="B1458" t="s">
        <v>246</v>
      </c>
      <c r="C1458" s="72" t="n">
        <v>2025</v>
      </c>
      <c r="D1458" t="s">
        <v>176</v>
      </c>
      <c r="E1458" s="73" t="n">
        <v>12347.3896757033</v>
      </c>
      <c r="F1458" s="74" t="n">
        <v>8975.30849722876</v>
      </c>
      <c r="G1458" s="75" t="n">
        <v>12347.3896757033</v>
      </c>
      <c r="H1458" s="76" t="n">
        <v>8975.30849722876</v>
      </c>
      <c r="I1458" s="77" t="str">
        <f>H1458-F1458</f>
      </c>
      <c r="J1458" s="78" t="str">
        <f>G1458-E1458</f>
      </c>
    </row>
    <row r="1459">
      <c r="A1459" t="s">
        <v>244</v>
      </c>
      <c r="B1459" t="s">
        <v>246</v>
      </c>
      <c r="C1459" s="72" t="n">
        <v>2025</v>
      </c>
      <c r="D1459" t="s">
        <v>238</v>
      </c>
      <c r="E1459" s="73" t="n">
        <v>1026043.97207164</v>
      </c>
      <c r="F1459" s="74" t="n">
        <v>129403.022830672</v>
      </c>
      <c r="G1459" s="75" t="n">
        <v>1026043.97207164</v>
      </c>
      <c r="H1459" s="76" t="n">
        <v>129403.022830672</v>
      </c>
      <c r="I1459" s="77" t="str">
        <f>H1459-F1459</f>
      </c>
      <c r="J1459" s="78" t="str">
        <f>G1459-E1459</f>
      </c>
    </row>
    <row r="1460">
      <c r="A1460" t="s">
        <v>244</v>
      </c>
      <c r="B1460" t="s">
        <v>246</v>
      </c>
      <c r="C1460" s="72" t="n">
        <v>2025</v>
      </c>
      <c r="D1460" t="s">
        <v>184</v>
      </c>
      <c r="E1460" s="73" t="n">
        <v>91684.5090142746</v>
      </c>
      <c r="F1460" s="74" t="n">
        <v>63318.7518252021</v>
      </c>
      <c r="G1460" s="75" t="n">
        <v>91684.5090142746</v>
      </c>
      <c r="H1460" s="76" t="n">
        <v>63318.7518252021</v>
      </c>
      <c r="I1460" s="77" t="str">
        <f>H1460-F1460</f>
      </c>
      <c r="J1460" s="78" t="str">
        <f>G1460-E1460</f>
      </c>
    </row>
    <row r="1461">
      <c r="A1461" t="s">
        <v>244</v>
      </c>
      <c r="B1461" t="s">
        <v>246</v>
      </c>
      <c r="C1461" s="72" t="n">
        <v>2025</v>
      </c>
      <c r="D1461" t="s">
        <v>187</v>
      </c>
      <c r="E1461" s="73" t="n">
        <v>327817.992111529</v>
      </c>
      <c r="F1461" s="74" t="n">
        <v>300216.82861998</v>
      </c>
      <c r="G1461" s="75" t="n">
        <v>327817.992111529</v>
      </c>
      <c r="H1461" s="76" t="n">
        <v>300216.82861998</v>
      </c>
      <c r="I1461" s="77" t="str">
        <f>H1461-F1461</f>
      </c>
      <c r="J1461" s="78" t="str">
        <f>G1461-E1461</f>
      </c>
    </row>
    <row r="1462">
      <c r="A1462" t="s">
        <v>244</v>
      </c>
      <c r="B1462" t="s">
        <v>246</v>
      </c>
      <c r="C1462" s="72" t="n">
        <v>2025</v>
      </c>
      <c r="D1462" t="s">
        <v>190</v>
      </c>
      <c r="E1462" s="73" t="n">
        <v>563964.128928848</v>
      </c>
      <c r="F1462" s="74" t="n">
        <v>321188.162987932</v>
      </c>
      <c r="G1462" s="75" t="n">
        <v>563964.128928848</v>
      </c>
      <c r="H1462" s="76" t="n">
        <v>321188.162987932</v>
      </c>
      <c r="I1462" s="77" t="str">
        <f>H1462-F1462</f>
      </c>
      <c r="J1462" s="78" t="str">
        <f>G1462-E1462</f>
      </c>
    </row>
    <row r="1463">
      <c r="A1463" t="s">
        <v>244</v>
      </c>
      <c r="B1463" t="s">
        <v>246</v>
      </c>
      <c r="C1463" s="72" t="n">
        <v>2025</v>
      </c>
      <c r="D1463" t="s">
        <v>193</v>
      </c>
      <c r="E1463" s="73" t="n">
        <v>396205.912797568</v>
      </c>
      <c r="F1463" s="74" t="n">
        <v>191954.713579597</v>
      </c>
      <c r="G1463" s="75" t="n">
        <v>396205.912797568</v>
      </c>
      <c r="H1463" s="76" t="n">
        <v>191954.713579597</v>
      </c>
      <c r="I1463" s="77" t="str">
        <f>H1463-F1463</f>
      </c>
      <c r="J1463" s="78" t="str">
        <f>G1463-E1463</f>
      </c>
    </row>
    <row r="1464">
      <c r="A1464" t="s">
        <v>244</v>
      </c>
      <c r="B1464" t="s">
        <v>246</v>
      </c>
      <c r="C1464" s="72" t="n">
        <v>2025</v>
      </c>
      <c r="D1464" t="s">
        <v>424</v>
      </c>
      <c r="E1464" s="73" t="n">
        <v>44024.8557845561</v>
      </c>
      <c r="F1464" s="74" t="n">
        <v>6961.02866951274</v>
      </c>
      <c r="G1464" s="75" t="n">
        <v>44024.8557845561</v>
      </c>
      <c r="H1464" s="76" t="n">
        <v>6961.02866951274</v>
      </c>
      <c r="I1464" s="77" t="str">
        <f>H1464-F1464</f>
      </c>
      <c r="J1464" s="78" t="str">
        <f>G1464-E1464</f>
      </c>
    </row>
    <row r="1465">
      <c r="A1465" t="s">
        <v>244</v>
      </c>
      <c r="B1465" t="s">
        <v>246</v>
      </c>
      <c r="C1465" s="72" t="n">
        <v>2026</v>
      </c>
      <c r="D1465" t="s">
        <v>176</v>
      </c>
      <c r="E1465" s="73" t="n">
        <v>12812.507871628</v>
      </c>
      <c r="F1465" s="74" t="n">
        <v>9308.26420910955</v>
      </c>
      <c r="G1465" s="75" t="n">
        <v>12812.507871628</v>
      </c>
      <c r="H1465" s="76" t="n">
        <v>9308.26420910955</v>
      </c>
      <c r="I1465" s="77" t="str">
        <f>H1465-F1465</f>
      </c>
      <c r="J1465" s="78" t="str">
        <f>G1465-E1465</f>
      </c>
    </row>
    <row r="1466">
      <c r="A1466" t="s">
        <v>244</v>
      </c>
      <c r="B1466" t="s">
        <v>246</v>
      </c>
      <c r="C1466" s="72" t="n">
        <v>2026</v>
      </c>
      <c r="D1466" t="s">
        <v>238</v>
      </c>
      <c r="E1466" s="73" t="n">
        <v>1040956.74283153</v>
      </c>
      <c r="F1466" s="74" t="n">
        <v>137191.896136923</v>
      </c>
      <c r="G1466" s="75" t="n">
        <v>1040956.74283153</v>
      </c>
      <c r="H1466" s="76" t="n">
        <v>137191.896136923</v>
      </c>
      <c r="I1466" s="77" t="str">
        <f>H1466-F1466</f>
      </c>
      <c r="J1466" s="78" t="str">
        <f>G1466-E1466</f>
      </c>
    </row>
    <row r="1467">
      <c r="A1467" t="s">
        <v>244</v>
      </c>
      <c r="B1467" t="s">
        <v>246</v>
      </c>
      <c r="C1467" s="72" t="n">
        <v>2026</v>
      </c>
      <c r="D1467" t="s">
        <v>184</v>
      </c>
      <c r="E1467" s="73" t="n">
        <v>95077.1833035265</v>
      </c>
      <c r="F1467" s="74" t="n">
        <v>65164.4704134017</v>
      </c>
      <c r="G1467" s="75" t="n">
        <v>95077.1833035265</v>
      </c>
      <c r="H1467" s="76" t="n">
        <v>65164.4704134017</v>
      </c>
      <c r="I1467" s="77" t="str">
        <f>H1467-F1467</f>
      </c>
      <c r="J1467" s="78" t="str">
        <f>G1467-E1467</f>
      </c>
    </row>
    <row r="1468">
      <c r="A1468" t="s">
        <v>244</v>
      </c>
      <c r="B1468" t="s">
        <v>246</v>
      </c>
      <c r="C1468" s="72" t="n">
        <v>2026</v>
      </c>
      <c r="D1468" t="s">
        <v>187</v>
      </c>
      <c r="E1468" s="73" t="n">
        <v>336875.423495605</v>
      </c>
      <c r="F1468" s="74" t="n">
        <v>308606.943045308</v>
      </c>
      <c r="G1468" s="75" t="n">
        <v>336875.423495605</v>
      </c>
      <c r="H1468" s="76" t="n">
        <v>308606.943045308</v>
      </c>
      <c r="I1468" s="77" t="str">
        <f>H1468-F1468</f>
      </c>
      <c r="J1468" s="78" t="str">
        <f>G1468-E1468</f>
      </c>
    </row>
    <row r="1469">
      <c r="A1469" t="s">
        <v>244</v>
      </c>
      <c r="B1469" t="s">
        <v>246</v>
      </c>
      <c r="C1469" s="72" t="n">
        <v>2026</v>
      </c>
      <c r="D1469" t="s">
        <v>190</v>
      </c>
      <c r="E1469" s="73" t="n">
        <v>577463.657765768</v>
      </c>
      <c r="F1469" s="74" t="n">
        <v>332896.185768311</v>
      </c>
      <c r="G1469" s="75" t="n">
        <v>580111.541957649</v>
      </c>
      <c r="H1469" s="76" t="n">
        <v>332896.185768311</v>
      </c>
      <c r="I1469" s="77" t="str">
        <f>H1469-F1469</f>
      </c>
      <c r="J1469" s="78" t="str">
        <f>G1469-E1469</f>
      </c>
    </row>
    <row r="1470">
      <c r="A1470" t="s">
        <v>244</v>
      </c>
      <c r="B1470" t="s">
        <v>246</v>
      </c>
      <c r="C1470" s="72" t="n">
        <v>2026</v>
      </c>
      <c r="D1470" t="s">
        <v>193</v>
      </c>
      <c r="E1470" s="73" t="n">
        <v>409829.87281699</v>
      </c>
      <c r="F1470" s="74" t="n">
        <v>202008.199783237</v>
      </c>
      <c r="G1470" s="75" t="n">
        <v>409829.87281699</v>
      </c>
      <c r="H1470" s="76" t="n">
        <v>202008.199783237</v>
      </c>
      <c r="I1470" s="77" t="str">
        <f>H1470-F1470</f>
      </c>
      <c r="J1470" s="78" t="str">
        <f>G1470-E1470</f>
      </c>
    </row>
    <row r="1471">
      <c r="A1471" t="s">
        <v>244</v>
      </c>
      <c r="B1471" t="s">
        <v>246</v>
      </c>
      <c r="C1471" s="72" t="n">
        <v>2026</v>
      </c>
      <c r="D1471" t="s">
        <v>424</v>
      </c>
      <c r="E1471" s="73" t="n">
        <v>44219.1707517653</v>
      </c>
      <c r="F1471" s="74" t="n">
        <v>7023.77126872287</v>
      </c>
      <c r="G1471" s="75" t="n">
        <v>44219.1707517653</v>
      </c>
      <c r="H1471" s="76" t="n">
        <v>7023.77126872287</v>
      </c>
      <c r="I1471" s="77" t="str">
        <f>H1471-F1471</f>
      </c>
      <c r="J1471" s="78" t="str">
        <f>G1471-E1471</f>
      </c>
    </row>
    <row r="1472">
      <c r="A1472" t="s">
        <v>244</v>
      </c>
      <c r="B1472" t="s">
        <v>246</v>
      </c>
      <c r="C1472" s="72" t="n">
        <v>2027</v>
      </c>
      <c r="D1472" t="s">
        <v>176</v>
      </c>
      <c r="E1472" s="73" t="n">
        <v>13273.481772584</v>
      </c>
      <c r="F1472" s="74" t="n">
        <v>9640.71530777017</v>
      </c>
      <c r="G1472" s="75" t="n">
        <v>13273.481772584</v>
      </c>
      <c r="H1472" s="76" t="n">
        <v>9640.71530777017</v>
      </c>
      <c r="I1472" s="77" t="str">
        <f>H1472-F1472</f>
      </c>
      <c r="J1472" s="78" t="str">
        <f>G1472-E1472</f>
      </c>
    </row>
    <row r="1473">
      <c r="A1473" t="s">
        <v>244</v>
      </c>
      <c r="B1473" t="s">
        <v>246</v>
      </c>
      <c r="C1473" s="72" t="n">
        <v>2027</v>
      </c>
      <c r="D1473" t="s">
        <v>238</v>
      </c>
      <c r="E1473" s="73" t="n">
        <v>1055255.40879996</v>
      </c>
      <c r="F1473" s="74" t="n">
        <v>145087.130776418</v>
      </c>
      <c r="G1473" s="75" t="n">
        <v>1055255.40879996</v>
      </c>
      <c r="H1473" s="76" t="n">
        <v>145087.130776418</v>
      </c>
      <c r="I1473" s="77" t="str">
        <f>H1473-F1473</f>
      </c>
      <c r="J1473" s="78" t="str">
        <f>G1473-E1473</f>
      </c>
    </row>
    <row r="1474">
      <c r="A1474" t="s">
        <v>244</v>
      </c>
      <c r="B1474" t="s">
        <v>246</v>
      </c>
      <c r="C1474" s="72" t="n">
        <v>2027</v>
      </c>
      <c r="D1474" t="s">
        <v>184</v>
      </c>
      <c r="E1474" s="73" t="n">
        <v>98448.8278839669</v>
      </c>
      <c r="F1474" s="74" t="n">
        <v>67068.0169086102</v>
      </c>
      <c r="G1474" s="75" t="n">
        <v>98448.8278839669</v>
      </c>
      <c r="H1474" s="76" t="n">
        <v>67068.0169086102</v>
      </c>
      <c r="I1474" s="77" t="str">
        <f>H1474-F1474</f>
      </c>
      <c r="J1474" s="78" t="str">
        <f>G1474-E1474</f>
      </c>
    </row>
    <row r="1475">
      <c r="A1475" t="s">
        <v>244</v>
      </c>
      <c r="B1475" t="s">
        <v>246</v>
      </c>
      <c r="C1475" s="72" t="n">
        <v>2027</v>
      </c>
      <c r="D1475" t="s">
        <v>187</v>
      </c>
      <c r="E1475" s="73" t="n">
        <v>345936.706716403</v>
      </c>
      <c r="F1475" s="74" t="n">
        <v>317119.553552555</v>
      </c>
      <c r="G1475" s="75" t="n">
        <v>345936.706716403</v>
      </c>
      <c r="H1475" s="76" t="n">
        <v>317119.553552555</v>
      </c>
      <c r="I1475" s="77" t="str">
        <f>H1475-F1475</f>
      </c>
      <c r="J1475" s="78" t="str">
        <f>G1475-E1475</f>
      </c>
    </row>
    <row r="1476">
      <c r="A1476" t="s">
        <v>244</v>
      </c>
      <c r="B1476" t="s">
        <v>246</v>
      </c>
      <c r="C1476" s="72" t="n">
        <v>2027</v>
      </c>
      <c r="D1476" t="s">
        <v>190</v>
      </c>
      <c r="E1476" s="73" t="n">
        <v>590738.20877047</v>
      </c>
      <c r="F1476" s="74" t="n">
        <v>344346.46701206</v>
      </c>
      <c r="G1476" s="75" t="n">
        <v>596148.832334676</v>
      </c>
      <c r="H1476" s="76" t="n">
        <v>344517.274659827</v>
      </c>
      <c r="I1476" s="77" t="str">
        <f>H1476-F1476</f>
      </c>
      <c r="J1476" s="78" t="str">
        <f>G1476-E1476</f>
      </c>
    </row>
    <row r="1477">
      <c r="A1477" t="s">
        <v>244</v>
      </c>
      <c r="B1477" t="s">
        <v>246</v>
      </c>
      <c r="C1477" s="72" t="n">
        <v>2027</v>
      </c>
      <c r="D1477" t="s">
        <v>193</v>
      </c>
      <c r="E1477" s="73" t="n">
        <v>423485.101321999</v>
      </c>
      <c r="F1477" s="74" t="n">
        <v>211995.488024171</v>
      </c>
      <c r="G1477" s="75" t="n">
        <v>423485.101321999</v>
      </c>
      <c r="H1477" s="76" t="n">
        <v>211995.488024171</v>
      </c>
      <c r="I1477" s="77" t="str">
        <f>H1477-F1477</f>
      </c>
      <c r="J1477" s="78" t="str">
        <f>G1477-E1477</f>
      </c>
    </row>
    <row r="1478">
      <c r="A1478" t="s">
        <v>244</v>
      </c>
      <c r="B1478" t="s">
        <v>246</v>
      </c>
      <c r="C1478" s="72" t="n">
        <v>2027</v>
      </c>
      <c r="D1478" t="s">
        <v>424</v>
      </c>
      <c r="E1478" s="73" t="n">
        <v>44384.2018393689</v>
      </c>
      <c r="F1478" s="74" t="n">
        <v>7080.05700568168</v>
      </c>
      <c r="G1478" s="75" t="n">
        <v>44384.2018393689</v>
      </c>
      <c r="H1478" s="76" t="n">
        <v>7080.05700568168</v>
      </c>
      <c r="I1478" s="77" t="str">
        <f>H1478-F1478</f>
      </c>
      <c r="J1478" s="78" t="str">
        <f>G1478-E1478</f>
      </c>
    </row>
    <row r="1479">
      <c r="A1479" t="s">
        <v>244</v>
      </c>
      <c r="B1479" t="s">
        <v>246</v>
      </c>
      <c r="C1479" s="72" t="n">
        <v>2028</v>
      </c>
      <c r="D1479" t="s">
        <v>176</v>
      </c>
      <c r="E1479" s="73" t="n">
        <v>13729.5501543531</v>
      </c>
      <c r="F1479" s="74" t="n">
        <v>9971.45472163389</v>
      </c>
      <c r="G1479" s="75" t="n">
        <v>13729.5005000864</v>
      </c>
      <c r="H1479" s="76" t="n">
        <v>9971.45472163389</v>
      </c>
      <c r="I1479" s="77" t="str">
        <f>H1479-F1479</f>
      </c>
      <c r="J1479" s="78" t="str">
        <f>G1479-E1479</f>
      </c>
    </row>
    <row r="1480">
      <c r="A1480" t="s">
        <v>244</v>
      </c>
      <c r="B1480" t="s">
        <v>246</v>
      </c>
      <c r="C1480" s="72" t="n">
        <v>2028</v>
      </c>
      <c r="D1480" t="s">
        <v>238</v>
      </c>
      <c r="E1480" s="73" t="n">
        <v>1069006.42184021</v>
      </c>
      <c r="F1480" s="74" t="n">
        <v>153077.867387244</v>
      </c>
      <c r="G1480" s="75" t="n">
        <v>1069005.07088018</v>
      </c>
      <c r="H1480" s="76" t="n">
        <v>153077.867387244</v>
      </c>
      <c r="I1480" s="77" t="str">
        <f>H1480-F1480</f>
      </c>
      <c r="J1480" s="78" t="str">
        <f>G1480-E1480</f>
      </c>
    </row>
    <row r="1481">
      <c r="A1481" t="s">
        <v>244</v>
      </c>
      <c r="B1481" t="s">
        <v>246</v>
      </c>
      <c r="C1481" s="72" t="n">
        <v>2028</v>
      </c>
      <c r="D1481" t="s">
        <v>184</v>
      </c>
      <c r="E1481" s="73" t="n">
        <v>101798.289551852</v>
      </c>
      <c r="F1481" s="74" t="n">
        <v>69019.933123165</v>
      </c>
      <c r="G1481" s="75" t="n">
        <v>101797.96761407</v>
      </c>
      <c r="H1481" s="76" t="n">
        <v>69019.933123165</v>
      </c>
      <c r="I1481" s="77" t="str">
        <f>H1481-F1481</f>
      </c>
      <c r="J1481" s="78" t="str">
        <f>G1481-E1481</f>
      </c>
    </row>
    <row r="1482">
      <c r="A1482" t="s">
        <v>244</v>
      </c>
      <c r="B1482" t="s">
        <v>246</v>
      </c>
      <c r="C1482" s="72" t="n">
        <v>2028</v>
      </c>
      <c r="D1482" t="s">
        <v>187</v>
      </c>
      <c r="E1482" s="73" t="n">
        <v>354966.262802424</v>
      </c>
      <c r="F1482" s="74" t="n">
        <v>325690.683016893</v>
      </c>
      <c r="G1482" s="75" t="n">
        <v>354965.535819133</v>
      </c>
      <c r="H1482" s="76" t="n">
        <v>325690.683016893</v>
      </c>
      <c r="I1482" s="77" t="str">
        <f>H1482-F1482</f>
      </c>
      <c r="J1482" s="78" t="str">
        <f>G1482-E1482</f>
      </c>
    </row>
    <row r="1483">
      <c r="A1483" t="s">
        <v>244</v>
      </c>
      <c r="B1483" t="s">
        <v>246</v>
      </c>
      <c r="C1483" s="72" t="n">
        <v>2028</v>
      </c>
      <c r="D1483" t="s">
        <v>190</v>
      </c>
      <c r="E1483" s="73" t="n">
        <v>603747.294239836</v>
      </c>
      <c r="F1483" s="74" t="n">
        <v>355565.694804629</v>
      </c>
      <c r="G1483" s="75" t="n">
        <v>612031.659444751</v>
      </c>
      <c r="H1483" s="76" t="n">
        <v>356073.571438059</v>
      </c>
      <c r="I1483" s="77" t="str">
        <f>H1483-F1483</f>
      </c>
      <c r="J1483" s="78" t="str">
        <f>G1483-E1483</f>
      </c>
    </row>
    <row r="1484">
      <c r="A1484" t="s">
        <v>244</v>
      </c>
      <c r="B1484" t="s">
        <v>246</v>
      </c>
      <c r="C1484" s="72" t="n">
        <v>2028</v>
      </c>
      <c r="D1484" t="s">
        <v>193</v>
      </c>
      <c r="E1484" s="73" t="n">
        <v>437161.07053265</v>
      </c>
      <c r="F1484" s="74" t="n">
        <v>221908.958563303</v>
      </c>
      <c r="G1484" s="75" t="n">
        <v>437159.755191958</v>
      </c>
      <c r="H1484" s="76" t="n">
        <v>221908.958563303</v>
      </c>
      <c r="I1484" s="77" t="str">
        <f>H1484-F1484</f>
      </c>
      <c r="J1484" s="78" t="str">
        <f>G1484-E1484</f>
      </c>
    </row>
    <row r="1485">
      <c r="A1485" t="s">
        <v>244</v>
      </c>
      <c r="B1485" t="s">
        <v>246</v>
      </c>
      <c r="C1485" s="72" t="n">
        <v>2028</v>
      </c>
      <c r="D1485" t="s">
        <v>424</v>
      </c>
      <c r="E1485" s="73" t="n">
        <v>44510.0741307302</v>
      </c>
      <c r="F1485" s="74" t="n">
        <v>7131.07016356498</v>
      </c>
      <c r="G1485" s="75" t="n">
        <v>44510.0649629929</v>
      </c>
      <c r="H1485" s="76" t="n">
        <v>7131.07016356498</v>
      </c>
      <c r="I1485" s="77" t="str">
        <f>H1485-F1485</f>
      </c>
      <c r="J1485" s="78" t="str">
        <f>G1485-E1485</f>
      </c>
    </row>
    <row r="1486">
      <c r="A1486" t="s">
        <v>244</v>
      </c>
      <c r="B1486" t="s">
        <v>246</v>
      </c>
      <c r="C1486" s="72" t="n">
        <v>2029</v>
      </c>
      <c r="D1486" t="s">
        <v>176</v>
      </c>
      <c r="E1486" s="73" t="n">
        <v>14181.6228469189</v>
      </c>
      <c r="F1486" s="74" t="n">
        <v>10301.2405935884</v>
      </c>
      <c r="G1486" s="75" t="n">
        <v>14181.4236375467</v>
      </c>
      <c r="H1486" s="76" t="n">
        <v>10301.2295792609</v>
      </c>
      <c r="I1486" s="77" t="str">
        <f>H1486-F1486</f>
      </c>
      <c r="J1486" s="78" t="str">
        <f>G1486-E1486</f>
      </c>
    </row>
    <row r="1487">
      <c r="A1487" t="s">
        <v>244</v>
      </c>
      <c r="B1487" t="s">
        <v>246</v>
      </c>
      <c r="C1487" s="72" t="n">
        <v>2029</v>
      </c>
      <c r="D1487" t="s">
        <v>238</v>
      </c>
      <c r="E1487" s="73" t="n">
        <v>1082257.76551367</v>
      </c>
      <c r="F1487" s="74" t="n">
        <v>161161.087901743</v>
      </c>
      <c r="G1487" s="75" t="n">
        <v>1082252.39423074</v>
      </c>
      <c r="H1487" s="76" t="n">
        <v>161161.062132093</v>
      </c>
      <c r="I1487" s="77" t="str">
        <f>H1487-F1487</f>
      </c>
      <c r="J1487" s="78" t="str">
        <f>G1487-E1487</f>
      </c>
    </row>
    <row r="1488">
      <c r="A1488" t="s">
        <v>244</v>
      </c>
      <c r="B1488" t="s">
        <v>246</v>
      </c>
      <c r="C1488" s="72" t="n">
        <v>2029</v>
      </c>
      <c r="D1488" t="s">
        <v>184</v>
      </c>
      <c r="E1488" s="73" t="n">
        <v>105115.982530291</v>
      </c>
      <c r="F1488" s="74" t="n">
        <v>71042.1044963578</v>
      </c>
      <c r="G1488" s="75" t="n">
        <v>105114.693344183</v>
      </c>
      <c r="H1488" s="76" t="n">
        <v>71042.0544294395</v>
      </c>
      <c r="I1488" s="77" t="str">
        <f>H1488-F1488</f>
      </c>
      <c r="J1488" s="78" t="str">
        <f>G1488-E1488</f>
      </c>
    </row>
    <row r="1489">
      <c r="A1489" t="s">
        <v>244</v>
      </c>
      <c r="B1489" t="s">
        <v>246</v>
      </c>
      <c r="C1489" s="72" t="n">
        <v>2029</v>
      </c>
      <c r="D1489" t="s">
        <v>187</v>
      </c>
      <c r="E1489" s="73" t="n">
        <v>363899.132260206</v>
      </c>
      <c r="F1489" s="74" t="n">
        <v>334293.093868243</v>
      </c>
      <c r="G1489" s="75" t="n">
        <v>363896.204247168</v>
      </c>
      <c r="H1489" s="76" t="n">
        <v>334292.677138926</v>
      </c>
      <c r="I1489" s="77" t="str">
        <f>H1489-F1489</f>
      </c>
      <c r="J1489" s="78" t="str">
        <f>G1489-E1489</f>
      </c>
    </row>
    <row r="1490">
      <c r="A1490" t="s">
        <v>244</v>
      </c>
      <c r="B1490" t="s">
        <v>246</v>
      </c>
      <c r="C1490" s="72" t="n">
        <v>2029</v>
      </c>
      <c r="D1490" t="s">
        <v>190</v>
      </c>
      <c r="E1490" s="73" t="n">
        <v>616461.508596148</v>
      </c>
      <c r="F1490" s="74" t="n">
        <v>366568.860970446</v>
      </c>
      <c r="G1490" s="75" t="n">
        <v>627726.336898794</v>
      </c>
      <c r="H1490" s="76" t="n">
        <v>367575.22274735</v>
      </c>
      <c r="I1490" s="77" t="str">
        <f>H1490-F1490</f>
      </c>
      <c r="J1490" s="78" t="str">
        <f>G1490-E1490</f>
      </c>
    </row>
    <row r="1491">
      <c r="A1491" t="s">
        <v>244</v>
      </c>
      <c r="B1491" t="s">
        <v>246</v>
      </c>
      <c r="C1491" s="72" t="n">
        <v>2029</v>
      </c>
      <c r="D1491" t="s">
        <v>193</v>
      </c>
      <c r="E1491" s="73" t="n">
        <v>450791.429958563</v>
      </c>
      <c r="F1491" s="74" t="n">
        <v>231708.285986292</v>
      </c>
      <c r="G1491" s="75" t="n">
        <v>450786.134013569</v>
      </c>
      <c r="H1491" s="76" t="n">
        <v>231708.01887569</v>
      </c>
      <c r="I1491" s="77" t="str">
        <f>H1491-F1491</f>
      </c>
      <c r="J1491" s="78" t="str">
        <f>G1491-E1491</f>
      </c>
    </row>
    <row r="1492">
      <c r="A1492" t="s">
        <v>244</v>
      </c>
      <c r="B1492" t="s">
        <v>246</v>
      </c>
      <c r="C1492" s="72" t="n">
        <v>2029</v>
      </c>
      <c r="D1492" t="s">
        <v>424</v>
      </c>
      <c r="E1492" s="73" t="n">
        <v>44600.2973279605</v>
      </c>
      <c r="F1492" s="74" t="n">
        <v>7178.21942569511</v>
      </c>
      <c r="G1492" s="75" t="n">
        <v>44600.2614435955</v>
      </c>
      <c r="H1492" s="76" t="n">
        <v>7178.21931597252</v>
      </c>
      <c r="I1492" s="77" t="str">
        <f>H1492-F1492</f>
      </c>
      <c r="J1492" s="78" t="str">
        <f>G1492-E1492</f>
      </c>
    </row>
    <row r="1493">
      <c r="A1493" t="s">
        <v>244</v>
      </c>
      <c r="B1493" t="s">
        <v>246</v>
      </c>
      <c r="C1493" s="72" t="n">
        <v>2030</v>
      </c>
      <c r="D1493" t="s">
        <v>176</v>
      </c>
      <c r="E1493" s="73" t="n">
        <v>14631.4247774724</v>
      </c>
      <c r="F1493" s="74" t="n">
        <v>10630.3214106212</v>
      </c>
      <c r="G1493" s="75" t="n">
        <v>14630.9263575645</v>
      </c>
      <c r="H1493" s="76" t="n">
        <v>10630.2702680602</v>
      </c>
      <c r="I1493" s="77" t="str">
        <f>H1493-F1493</f>
      </c>
      <c r="J1493" s="78" t="str">
        <f>G1493-E1493</f>
      </c>
    </row>
    <row r="1494">
      <c r="A1494" t="s">
        <v>244</v>
      </c>
      <c r="B1494" t="s">
        <v>246</v>
      </c>
      <c r="C1494" s="72" t="n">
        <v>2030</v>
      </c>
      <c r="D1494" t="s">
        <v>238</v>
      </c>
      <c r="E1494" s="73" t="n">
        <v>1094970.17420367</v>
      </c>
      <c r="F1494" s="74" t="n">
        <v>169314.961417649</v>
      </c>
      <c r="G1494" s="75" t="n">
        <v>1094956.84444967</v>
      </c>
      <c r="H1494" s="76" t="n">
        <v>169314.834038038</v>
      </c>
      <c r="I1494" s="77" t="str">
        <f>H1494-F1494</f>
      </c>
      <c r="J1494" s="78" t="str">
        <f>G1494-E1494</f>
      </c>
    </row>
    <row r="1495">
      <c r="A1495" t="s">
        <v>244</v>
      </c>
      <c r="B1495" t="s">
        <v>246</v>
      </c>
      <c r="C1495" s="72" t="n">
        <v>2030</v>
      </c>
      <c r="D1495" t="s">
        <v>184</v>
      </c>
      <c r="E1495" s="73" t="n">
        <v>108396.994070988</v>
      </c>
      <c r="F1495" s="74" t="n">
        <v>73121.0367116926</v>
      </c>
      <c r="G1495" s="75" t="n">
        <v>108393.77376612</v>
      </c>
      <c r="H1495" s="76" t="n">
        <v>73120.8011068864</v>
      </c>
      <c r="I1495" s="77" t="str">
        <f>H1495-F1495</f>
      </c>
      <c r="J1495" s="78" t="str">
        <f>G1495-E1495</f>
      </c>
    </row>
    <row r="1496">
      <c r="A1496" t="s">
        <v>244</v>
      </c>
      <c r="B1496" t="s">
        <v>246</v>
      </c>
      <c r="C1496" s="72" t="n">
        <v>2030</v>
      </c>
      <c r="D1496" t="s">
        <v>187</v>
      </c>
      <c r="E1496" s="73" t="n">
        <v>372749.153998755</v>
      </c>
      <c r="F1496" s="74" t="n">
        <v>342891.437119202</v>
      </c>
      <c r="G1496" s="75" t="n">
        <v>372741.795461264</v>
      </c>
      <c r="H1496" s="76" t="n">
        <v>342889.635366394</v>
      </c>
      <c r="I1496" s="77" t="str">
        <f>H1496-F1496</f>
      </c>
      <c r="J1496" s="78" t="str">
        <f>G1496-E1496</f>
      </c>
    </row>
    <row r="1497">
      <c r="A1497" t="s">
        <v>244</v>
      </c>
      <c r="B1497" t="s">
        <v>246</v>
      </c>
      <c r="C1497" s="72" t="n">
        <v>2030</v>
      </c>
      <c r="D1497" t="s">
        <v>190</v>
      </c>
      <c r="E1497" s="73" t="n">
        <v>628807.901556581</v>
      </c>
      <c r="F1497" s="74" t="n">
        <v>377279.286781793</v>
      </c>
      <c r="G1497" s="75" t="n">
        <v>643154.211305628</v>
      </c>
      <c r="H1497" s="76" t="n">
        <v>378940.231267445</v>
      </c>
      <c r="I1497" s="77" t="str">
        <f>H1497-F1497</f>
      </c>
      <c r="J1497" s="78" t="str">
        <f>G1497-E1497</f>
      </c>
    </row>
    <row r="1498">
      <c r="A1498" t="s">
        <v>244</v>
      </c>
      <c r="B1498" t="s">
        <v>246</v>
      </c>
      <c r="C1498" s="72" t="n">
        <v>2030</v>
      </c>
      <c r="D1498" t="s">
        <v>193</v>
      </c>
      <c r="E1498" s="73" t="n">
        <v>464373.820844495</v>
      </c>
      <c r="F1498" s="74" t="n">
        <v>241311.535363313</v>
      </c>
      <c r="G1498" s="75" t="n">
        <v>464360.518103772</v>
      </c>
      <c r="H1498" s="76" t="n">
        <v>241310.309903655</v>
      </c>
      <c r="I1498" s="77" t="str">
        <f>H1498-F1498</f>
      </c>
      <c r="J1498" s="78" t="str">
        <f>G1498-E1498</f>
      </c>
    </row>
    <row r="1499">
      <c r="A1499" t="s">
        <v>244</v>
      </c>
      <c r="B1499" t="s">
        <v>246</v>
      </c>
      <c r="C1499" s="72" t="n">
        <v>2030</v>
      </c>
      <c r="D1499" t="s">
        <v>424</v>
      </c>
      <c r="E1499" s="73" t="n">
        <v>44647.3566085934</v>
      </c>
      <c r="F1499" s="74" t="n">
        <v>7223.11083892067</v>
      </c>
      <c r="G1499" s="75" t="n">
        <v>44647.268915283</v>
      </c>
      <c r="H1499" s="76" t="n">
        <v>7223.11031474236</v>
      </c>
      <c r="I1499" s="77" t="str">
        <f>H1499-F1499</f>
      </c>
      <c r="J1499" s="78" t="str">
        <f>G1499-E1499</f>
      </c>
    </row>
    <row r="1500">
      <c r="A1500" t="s">
        <v>244</v>
      </c>
      <c r="B1500" t="s">
        <v>246</v>
      </c>
      <c r="C1500" s="72" t="n">
        <v>2031</v>
      </c>
      <c r="D1500" t="s">
        <v>176</v>
      </c>
      <c r="E1500" s="73" t="n">
        <v>15081.3784927947</v>
      </c>
      <c r="F1500" s="74" t="n">
        <v>10955.5684083327</v>
      </c>
      <c r="G1500" s="75" t="n">
        <v>15080.3825495532</v>
      </c>
      <c r="H1500" s="76" t="n">
        <v>10955.4255331558</v>
      </c>
      <c r="I1500" s="77" t="str">
        <f>H1500-F1500</f>
      </c>
      <c r="J1500" s="78" t="str">
        <f>G1500-E1500</f>
      </c>
    </row>
    <row r="1501">
      <c r="A1501" t="s">
        <v>244</v>
      </c>
      <c r="B1501" t="s">
        <v>246</v>
      </c>
      <c r="C1501" s="72" t="n">
        <v>2031</v>
      </c>
      <c r="D1501" t="s">
        <v>238</v>
      </c>
      <c r="E1501" s="73" t="n">
        <v>1107054.12494877</v>
      </c>
      <c r="F1501" s="74" t="n">
        <v>177511.283028823</v>
      </c>
      <c r="G1501" s="75" t="n">
        <v>1107027.69162894</v>
      </c>
      <c r="H1501" s="76" t="n">
        <v>177510.906196669</v>
      </c>
      <c r="I1501" s="77" t="str">
        <f>H1501-F1501</f>
      </c>
      <c r="J1501" s="78" t="str">
        <f>G1501-E1501</f>
      </c>
    </row>
    <row r="1502">
      <c r="A1502" t="s">
        <v>244</v>
      </c>
      <c r="B1502" t="s">
        <v>246</v>
      </c>
      <c r="C1502" s="72" t="n">
        <v>2031</v>
      </c>
      <c r="D1502" t="s">
        <v>184</v>
      </c>
      <c r="E1502" s="73" t="n">
        <v>111639.37132894</v>
      </c>
      <c r="F1502" s="74" t="n">
        <v>75230.8855531545</v>
      </c>
      <c r="G1502" s="75" t="n">
        <v>111632.947554352</v>
      </c>
      <c r="H1502" s="76" t="n">
        <v>75230.219664338</v>
      </c>
      <c r="I1502" s="77" t="str">
        <f>H1502-F1502</f>
      </c>
      <c r="J1502" s="78" t="str">
        <f>G1502-E1502</f>
      </c>
    </row>
    <row r="1503">
      <c r="A1503" t="s">
        <v>244</v>
      </c>
      <c r="B1503" t="s">
        <v>246</v>
      </c>
      <c r="C1503" s="72" t="n">
        <v>2031</v>
      </c>
      <c r="D1503" t="s">
        <v>187</v>
      </c>
      <c r="E1503" s="73" t="n">
        <v>381485.035944543</v>
      </c>
      <c r="F1503" s="74" t="n">
        <v>351437.289310664</v>
      </c>
      <c r="G1503" s="75" t="n">
        <v>381470.266781021</v>
      </c>
      <c r="H1503" s="76" t="n">
        <v>351432.518672951</v>
      </c>
      <c r="I1503" s="77" t="str">
        <f>H1503-F1503</f>
      </c>
      <c r="J1503" s="78" t="str">
        <f>G1503-E1503</f>
      </c>
    </row>
    <row r="1504">
      <c r="A1504" t="s">
        <v>244</v>
      </c>
      <c r="B1504" t="s">
        <v>246</v>
      </c>
      <c r="C1504" s="72" t="n">
        <v>2031</v>
      </c>
      <c r="D1504" t="s">
        <v>190</v>
      </c>
      <c r="E1504" s="73" t="n">
        <v>643697.068772496</v>
      </c>
      <c r="F1504" s="74" t="n">
        <v>387714.980341078</v>
      </c>
      <c r="G1504" s="75" t="n">
        <v>658282.149268814</v>
      </c>
      <c r="H1504" s="76" t="n">
        <v>390181.003020302</v>
      </c>
      <c r="I1504" s="77" t="str">
        <f>H1504-F1504</f>
      </c>
      <c r="J1504" s="78" t="str">
        <f>G1504-E1504</f>
      </c>
    </row>
    <row r="1505">
      <c r="A1505" t="s">
        <v>244</v>
      </c>
      <c r="B1505" t="s">
        <v>246</v>
      </c>
      <c r="C1505" s="72" t="n">
        <v>2031</v>
      </c>
      <c r="D1505" t="s">
        <v>193</v>
      </c>
      <c r="E1505" s="73" t="n">
        <v>477804.822533809</v>
      </c>
      <c r="F1505" s="74" t="n">
        <v>250819.182738778</v>
      </c>
      <c r="G1505" s="75" t="n">
        <v>477778.146047482</v>
      </c>
      <c r="H1505" s="76" t="n">
        <v>250815.782662592</v>
      </c>
      <c r="I1505" s="77" t="str">
        <f>H1505-F1505</f>
      </c>
      <c r="J1505" s="78" t="str">
        <f>G1505-E1505</f>
      </c>
    </row>
    <row r="1506">
      <c r="A1506" t="s">
        <v>244</v>
      </c>
      <c r="B1506" t="s">
        <v>246</v>
      </c>
      <c r="C1506" s="72" t="n">
        <v>2031</v>
      </c>
      <c r="D1506" t="s">
        <v>424</v>
      </c>
      <c r="E1506" s="73" t="n">
        <v>44640.5185705419</v>
      </c>
      <c r="F1506" s="74" t="n">
        <v>7266.76750101593</v>
      </c>
      <c r="G1506" s="75" t="n">
        <v>44640.3472954778</v>
      </c>
      <c r="H1506" s="76" t="n">
        <v>7266.76600020754</v>
      </c>
      <c r="I1506" s="77" t="str">
        <f>H1506-F1506</f>
      </c>
      <c r="J1506" s="78" t="str">
        <f>G1506-E1506</f>
      </c>
    </row>
    <row r="1507">
      <c r="A1507" t="s">
        <v>244</v>
      </c>
      <c r="B1507" t="s">
        <v>246</v>
      </c>
      <c r="C1507" s="72" t="n">
        <v>2032</v>
      </c>
      <c r="D1507" t="s">
        <v>176</v>
      </c>
      <c r="E1507" s="73" t="n">
        <v>15532.9998106191</v>
      </c>
      <c r="F1507" s="74" t="n">
        <v>11274.8050450843</v>
      </c>
      <c r="G1507" s="75" t="n">
        <v>15531.2601955666</v>
      </c>
      <c r="H1507" s="76" t="n">
        <v>11274.4954497352</v>
      </c>
      <c r="I1507" s="77" t="str">
        <f>H1507-F1507</f>
      </c>
      <c r="J1507" s="78" t="str">
        <f>G1507-E1507</f>
      </c>
    </row>
    <row r="1508">
      <c r="A1508" t="s">
        <v>244</v>
      </c>
      <c r="B1508" t="s">
        <v>246</v>
      </c>
      <c r="C1508" s="72" t="n">
        <v>2032</v>
      </c>
      <c r="D1508" t="s">
        <v>238</v>
      </c>
      <c r="E1508" s="73" t="n">
        <v>1118522.99785851</v>
      </c>
      <c r="F1508" s="74" t="n">
        <v>185726.862164943</v>
      </c>
      <c r="G1508" s="75" t="n">
        <v>1118477.32749824</v>
      </c>
      <c r="H1508" s="76" t="n">
        <v>185725.999058801</v>
      </c>
      <c r="I1508" s="77" t="str">
        <f>H1508-F1508</f>
      </c>
      <c r="J1508" s="78" t="str">
        <f>G1508-E1508</f>
      </c>
    </row>
    <row r="1509">
      <c r="A1509" t="s">
        <v>244</v>
      </c>
      <c r="B1509" t="s">
        <v>246</v>
      </c>
      <c r="C1509" s="72" t="n">
        <v>2032</v>
      </c>
      <c r="D1509" t="s">
        <v>184</v>
      </c>
      <c r="E1509" s="73" t="n">
        <v>114846.416090708</v>
      </c>
      <c r="F1509" s="74" t="n">
        <v>77354.5308746872</v>
      </c>
      <c r="G1509" s="75" t="n">
        <v>114835.221802653</v>
      </c>
      <c r="H1509" s="76" t="n">
        <v>77353.0610239329</v>
      </c>
      <c r="I1509" s="77" t="str">
        <f>H1509-F1509</f>
      </c>
      <c r="J1509" s="78" t="str">
        <f>G1509-E1509</f>
      </c>
    </row>
    <row r="1510">
      <c r="A1510" t="s">
        <v>244</v>
      </c>
      <c r="B1510" t="s">
        <v>246</v>
      </c>
      <c r="C1510" s="72" t="n">
        <v>2032</v>
      </c>
      <c r="D1510" t="s">
        <v>187</v>
      </c>
      <c r="E1510" s="73" t="n">
        <v>390024.209415901</v>
      </c>
      <c r="F1510" s="74" t="n">
        <v>359844.52847418</v>
      </c>
      <c r="G1510" s="75" t="n">
        <v>389998.376688754</v>
      </c>
      <c r="H1510" s="76" t="n">
        <v>359834.546852866</v>
      </c>
      <c r="I1510" s="77" t="str">
        <f>H1510-F1510</f>
      </c>
      <c r="J1510" s="78" t="str">
        <f>G1510-E1510</f>
      </c>
    </row>
    <row r="1511">
      <c r="A1511" t="s">
        <v>244</v>
      </c>
      <c r="B1511" t="s">
        <v>246</v>
      </c>
      <c r="C1511" s="72" t="n">
        <v>2032</v>
      </c>
      <c r="D1511" t="s">
        <v>190</v>
      </c>
      <c r="E1511" s="73" t="n">
        <v>658316.436682526</v>
      </c>
      <c r="F1511" s="74" t="n">
        <v>398102.206572297</v>
      </c>
      <c r="G1511" s="75" t="n">
        <v>673133.888273266</v>
      </c>
      <c r="H1511" s="76" t="n">
        <v>401318.286193472</v>
      </c>
      <c r="I1511" s="77" t="str">
        <f>H1511-F1511</f>
      </c>
      <c r="J1511" s="78" t="str">
        <f>G1511-E1511</f>
      </c>
    </row>
    <row r="1512">
      <c r="A1512" t="s">
        <v>244</v>
      </c>
      <c r="B1512" t="s">
        <v>246</v>
      </c>
      <c r="C1512" s="72" t="n">
        <v>2032</v>
      </c>
      <c r="D1512" t="s">
        <v>193</v>
      </c>
      <c r="E1512" s="73" t="n">
        <v>490951.329958555</v>
      </c>
      <c r="F1512" s="74" t="n">
        <v>260354.289692436</v>
      </c>
      <c r="G1512" s="75" t="n">
        <v>490904.70344578</v>
      </c>
      <c r="H1512" s="76" t="n">
        <v>260346.937343717</v>
      </c>
      <c r="I1512" s="77" t="str">
        <f>H1512-F1512</f>
      </c>
      <c r="J1512" s="78" t="str">
        <f>G1512-E1512</f>
      </c>
    </row>
    <row r="1513">
      <c r="A1513" t="s">
        <v>244</v>
      </c>
      <c r="B1513" t="s">
        <v>246</v>
      </c>
      <c r="C1513" s="72" t="n">
        <v>2032</v>
      </c>
      <c r="D1513" t="s">
        <v>424</v>
      </c>
      <c r="E1513" s="73" t="n">
        <v>44583.5380279304</v>
      </c>
      <c r="F1513" s="74" t="n">
        <v>7308.69290730994</v>
      </c>
      <c r="G1513" s="75" t="n">
        <v>44583.2455015959</v>
      </c>
      <c r="H1513" s="76" t="n">
        <v>7308.68956833998</v>
      </c>
      <c r="I1513" s="77" t="str">
        <f>H1513-F1513</f>
      </c>
      <c r="J1513" s="78" t="str">
        <f>G1513-E1513</f>
      </c>
    </row>
    <row r="1514">
      <c r="A1514" t="s">
        <v>244</v>
      </c>
      <c r="B1514" t="s">
        <v>246</v>
      </c>
      <c r="C1514" s="72" t="n">
        <v>2033</v>
      </c>
      <c r="D1514" t="s">
        <v>176</v>
      </c>
      <c r="E1514" s="73" t="n">
        <v>15986.4220733314</v>
      </c>
      <c r="F1514" s="74" t="n">
        <v>11587.5100927938</v>
      </c>
      <c r="G1514" s="75" t="n">
        <v>15983.7175379286</v>
      </c>
      <c r="H1514" s="76" t="n">
        <v>11586.9335708044</v>
      </c>
      <c r="I1514" s="77" t="str">
        <f>H1514-F1514</f>
      </c>
      <c r="J1514" s="78" t="str">
        <f>G1514-E1514</f>
      </c>
    </row>
    <row r="1515">
      <c r="A1515" t="s">
        <v>244</v>
      </c>
      <c r="B1515" t="s">
        <v>246</v>
      </c>
      <c r="C1515" s="72" t="n">
        <v>2033</v>
      </c>
      <c r="D1515" t="s">
        <v>238</v>
      </c>
      <c r="E1515" s="73" t="n">
        <v>1129303.76507375</v>
      </c>
      <c r="F1515" s="74" t="n">
        <v>193954.913409829</v>
      </c>
      <c r="G1515" s="75" t="n">
        <v>1129233.47845058</v>
      </c>
      <c r="H1515" s="76" t="n">
        <v>193953.224223645</v>
      </c>
      <c r="I1515" s="77" t="str">
        <f>H1515-F1515</f>
      </c>
      <c r="J1515" s="78" t="str">
        <f>G1515-E1515</f>
      </c>
    </row>
    <row r="1516">
      <c r="A1516" t="s">
        <v>244</v>
      </c>
      <c r="B1516" t="s">
        <v>246</v>
      </c>
      <c r="C1516" s="72" t="n">
        <v>2033</v>
      </c>
      <c r="D1516" t="s">
        <v>184</v>
      </c>
      <c r="E1516" s="73" t="n">
        <v>118016.110017936</v>
      </c>
      <c r="F1516" s="74" t="n">
        <v>79483.2627702295</v>
      </c>
      <c r="G1516" s="75" t="n">
        <v>117998.738437442</v>
      </c>
      <c r="H1516" s="76" t="n">
        <v>79480.4761690429</v>
      </c>
      <c r="I1516" s="77" t="str">
        <f>H1516-F1516</f>
      </c>
      <c r="J1516" s="78" t="str">
        <f>G1516-E1516</f>
      </c>
    </row>
    <row r="1517">
      <c r="A1517" t="s">
        <v>244</v>
      </c>
      <c r="B1517" t="s">
        <v>246</v>
      </c>
      <c r="C1517" s="72" t="n">
        <v>2033</v>
      </c>
      <c r="D1517" t="s">
        <v>187</v>
      </c>
      <c r="E1517" s="73" t="n">
        <v>398394.581023162</v>
      </c>
      <c r="F1517" s="74" t="n">
        <v>368069.697926258</v>
      </c>
      <c r="G1517" s="75" t="n">
        <v>398354.344992358</v>
      </c>
      <c r="H1517" s="76" t="n">
        <v>368051.624575443</v>
      </c>
      <c r="I1517" s="77" t="str">
        <f>H1517-F1517</f>
      </c>
      <c r="J1517" s="78" t="str">
        <f>G1517-E1517</f>
      </c>
    </row>
    <row r="1518">
      <c r="A1518" t="s">
        <v>244</v>
      </c>
      <c r="B1518" t="s">
        <v>246</v>
      </c>
      <c r="C1518" s="72" t="n">
        <v>2033</v>
      </c>
      <c r="D1518" t="s">
        <v>190</v>
      </c>
      <c r="E1518" s="73" t="n">
        <v>672593.141396024</v>
      </c>
      <c r="F1518" s="74" t="n">
        <v>408430.30863195</v>
      </c>
      <c r="G1518" s="75" t="n">
        <v>687634.699546926</v>
      </c>
      <c r="H1518" s="76" t="n">
        <v>412348.075678578</v>
      </c>
      <c r="I1518" s="77" t="str">
        <f>H1518-F1518</f>
      </c>
      <c r="J1518" s="78" t="str">
        <f>G1518-E1518</f>
      </c>
    </row>
    <row r="1519">
      <c r="A1519" t="s">
        <v>244</v>
      </c>
      <c r="B1519" t="s">
        <v>246</v>
      </c>
      <c r="C1519" s="72" t="n">
        <v>2033</v>
      </c>
      <c r="D1519" t="s">
        <v>193</v>
      </c>
      <c r="E1519" s="73" t="n">
        <v>503823.6455795</v>
      </c>
      <c r="F1519" s="74" t="n">
        <v>269897.057022628</v>
      </c>
      <c r="G1519" s="75" t="n">
        <v>503751.109420694</v>
      </c>
      <c r="H1519" s="76" t="n">
        <v>269883.407599987</v>
      </c>
      <c r="I1519" s="77" t="str">
        <f>H1519-F1519</f>
      </c>
      <c r="J1519" s="78" t="str">
        <f>G1519-E1519</f>
      </c>
    </row>
    <row r="1520">
      <c r="A1520" t="s">
        <v>244</v>
      </c>
      <c r="B1520" t="s">
        <v>246</v>
      </c>
      <c r="C1520" s="72" t="n">
        <v>2033</v>
      </c>
      <c r="D1520" t="s">
        <v>424</v>
      </c>
      <c r="E1520" s="73" t="n">
        <v>44484.1289738968</v>
      </c>
      <c r="F1520" s="74" t="n">
        <v>7348.08050494577</v>
      </c>
      <c r="G1520" s="75" t="n">
        <v>44483.6835898413</v>
      </c>
      <c r="H1520" s="76" t="n">
        <v>7348.07414732206</v>
      </c>
      <c r="I1520" s="77" t="str">
        <f>H1520-F1520</f>
      </c>
      <c r="J1520" s="78" t="str">
        <f>G1520-E1520</f>
      </c>
    </row>
    <row r="1521">
      <c r="A1521" t="s">
        <v>244</v>
      </c>
      <c r="B1521" t="s">
        <v>246</v>
      </c>
      <c r="C1521" s="72" t="n">
        <v>2034</v>
      </c>
      <c r="D1521" t="s">
        <v>176</v>
      </c>
      <c r="E1521" s="73" t="n">
        <v>16440.8000857594</v>
      </c>
      <c r="F1521" s="74" t="n">
        <v>11897.3349561106</v>
      </c>
      <c r="G1521" s="75" t="n">
        <v>16436.9312806497</v>
      </c>
      <c r="H1521" s="76" t="n">
        <v>11896.3823187386</v>
      </c>
      <c r="I1521" s="77" t="str">
        <f>H1521-F1521</f>
      </c>
      <c r="J1521" s="78" t="str">
        <f>G1521-E1521</f>
      </c>
    </row>
    <row r="1522">
      <c r="A1522" t="s">
        <v>244</v>
      </c>
      <c r="B1522" t="s">
        <v>246</v>
      </c>
      <c r="C1522" s="72" t="n">
        <v>2034</v>
      </c>
      <c r="D1522" t="s">
        <v>238</v>
      </c>
      <c r="E1522" s="73" t="n">
        <v>1139456.53841798</v>
      </c>
      <c r="F1522" s="74" t="n">
        <v>202150.203483743</v>
      </c>
      <c r="G1522" s="75" t="n">
        <v>1139357.01951607</v>
      </c>
      <c r="H1522" s="76" t="n">
        <v>202147.27044605</v>
      </c>
      <c r="I1522" s="77" t="str">
        <f>H1522-F1522</f>
      </c>
      <c r="J1522" s="78" t="str">
        <f>G1522-E1522</f>
      </c>
    </row>
    <row r="1523">
      <c r="A1523" t="s">
        <v>244</v>
      </c>
      <c r="B1523" t="s">
        <v>246</v>
      </c>
      <c r="C1523" s="72" t="n">
        <v>2034</v>
      </c>
      <c r="D1523" t="s">
        <v>184</v>
      </c>
      <c r="E1523" s="73" t="n">
        <v>121130.279362682</v>
      </c>
      <c r="F1523" s="74" t="n">
        <v>81599.6399792032</v>
      </c>
      <c r="G1523" s="75" t="n">
        <v>121105.471839437</v>
      </c>
      <c r="H1523" s="76" t="n">
        <v>81594.9482339212</v>
      </c>
      <c r="I1523" s="77" t="str">
        <f>H1523-F1523</f>
      </c>
      <c r="J1523" s="78" t="str">
        <f>G1523-E1523</f>
      </c>
    </row>
    <row r="1524">
      <c r="A1524" t="s">
        <v>244</v>
      </c>
      <c r="B1524" t="s">
        <v>246</v>
      </c>
      <c r="C1524" s="72" t="n">
        <v>2034</v>
      </c>
      <c r="D1524" t="s">
        <v>187</v>
      </c>
      <c r="E1524" s="73" t="n">
        <v>406617.507909718</v>
      </c>
      <c r="F1524" s="74" t="n">
        <v>376057.24241141</v>
      </c>
      <c r="G1524" s="75" t="n">
        <v>406559.867353788</v>
      </c>
      <c r="H1524" s="76" t="n">
        <v>376028.132278335</v>
      </c>
      <c r="I1524" s="77" t="str">
        <f>H1524-F1524</f>
      </c>
      <c r="J1524" s="78" t="str">
        <f>G1524-E1524</f>
      </c>
    </row>
    <row r="1525">
      <c r="A1525" t="s">
        <v>244</v>
      </c>
      <c r="B1525" t="s">
        <v>246</v>
      </c>
      <c r="C1525" s="72" t="n">
        <v>2034</v>
      </c>
      <c r="D1525" t="s">
        <v>190</v>
      </c>
      <c r="E1525" s="73" t="n">
        <v>686436.54376325</v>
      </c>
      <c r="F1525" s="74" t="n">
        <v>418682.574772559</v>
      </c>
      <c r="G1525" s="75" t="n">
        <v>701691.677358768</v>
      </c>
      <c r="H1525" s="76" t="n">
        <v>423259.100590806</v>
      </c>
      <c r="I1525" s="77" t="str">
        <f>H1525-F1525</f>
      </c>
      <c r="J1525" s="78" t="str">
        <f>G1525-E1525</f>
      </c>
    </row>
    <row r="1526">
      <c r="A1526" t="s">
        <v>244</v>
      </c>
      <c r="B1526" t="s">
        <v>246</v>
      </c>
      <c r="C1526" s="72" t="n">
        <v>2034</v>
      </c>
      <c r="D1526" t="s">
        <v>193</v>
      </c>
      <c r="E1526" s="73" t="n">
        <v>516510.333806734</v>
      </c>
      <c r="F1526" s="74" t="n">
        <v>279507.421369518</v>
      </c>
      <c r="G1526" s="75" t="n">
        <v>516406.53850878</v>
      </c>
      <c r="H1526" s="76" t="n">
        <v>279484.980285229</v>
      </c>
      <c r="I1526" s="77" t="str">
        <f>H1526-F1526</f>
      </c>
      <c r="J1526" s="78" t="str">
        <f>G1526-E1526</f>
      </c>
    </row>
    <row r="1527">
      <c r="A1527" t="s">
        <v>244</v>
      </c>
      <c r="B1527" t="s">
        <v>246</v>
      </c>
      <c r="C1527" s="72" t="n">
        <v>2034</v>
      </c>
      <c r="D1527" t="s">
        <v>424</v>
      </c>
      <c r="E1527" s="73" t="n">
        <v>44355.8088587748</v>
      </c>
      <c r="F1527" s="74" t="n">
        <v>7385.05168160398</v>
      </c>
      <c r="G1527" s="75" t="n">
        <v>44355.184450179</v>
      </c>
      <c r="H1527" s="76" t="n">
        <v>7385.04094675217</v>
      </c>
      <c r="I1527" s="77" t="str">
        <f>H1527-F1527</f>
      </c>
      <c r="J1527" s="78" t="str">
        <f>G1527-E1527</f>
      </c>
    </row>
    <row r="1528">
      <c r="A1528" t="s">
        <v>244</v>
      </c>
      <c r="B1528" t="s">
        <v>246</v>
      </c>
      <c r="C1528" s="72" t="n">
        <v>2035</v>
      </c>
      <c r="D1528" t="s">
        <v>176</v>
      </c>
      <c r="E1528" s="73" t="n">
        <v>16897.4289169244</v>
      </c>
      <c r="F1528" s="74" t="n">
        <v>12204.496269981</v>
      </c>
      <c r="G1528" s="75" t="n">
        <v>16892.2141390053</v>
      </c>
      <c r="H1528" s="76" t="n">
        <v>12203.0577178634</v>
      </c>
      <c r="I1528" s="77" t="str">
        <f>H1528-F1528</f>
      </c>
      <c r="J1528" s="78" t="str">
        <f>G1528-E1528</f>
      </c>
    </row>
    <row r="1529">
      <c r="A1529" t="s">
        <v>244</v>
      </c>
      <c r="B1529" t="s">
        <v>246</v>
      </c>
      <c r="C1529" s="72" t="n">
        <v>2035</v>
      </c>
      <c r="D1529" t="s">
        <v>238</v>
      </c>
      <c r="E1529" s="73" t="n">
        <v>1149104.76910563</v>
      </c>
      <c r="F1529" s="74" t="n">
        <v>210295.632066937</v>
      </c>
      <c r="G1529" s="75" t="n">
        <v>1148972.16574985</v>
      </c>
      <c r="H1529" s="76" t="n">
        <v>210290.980527925</v>
      </c>
      <c r="I1529" s="77" t="str">
        <f>H1529-F1529</f>
      </c>
      <c r="J1529" s="78" t="str">
        <f>G1529-E1529</f>
      </c>
    </row>
    <row r="1530">
      <c r="A1530" t="s">
        <v>244</v>
      </c>
      <c r="B1530" t="s">
        <v>246</v>
      </c>
      <c r="C1530" s="72" t="n">
        <v>2035</v>
      </c>
      <c r="D1530" t="s">
        <v>184</v>
      </c>
      <c r="E1530" s="73" t="n">
        <v>124181.578046383</v>
      </c>
      <c r="F1530" s="74" t="n">
        <v>83702.3385790763</v>
      </c>
      <c r="G1530" s="75" t="n">
        <v>124148.207195844</v>
      </c>
      <c r="H1530" s="76" t="n">
        <v>83695.1178728798</v>
      </c>
      <c r="I1530" s="77" t="str">
        <f>H1530-F1530</f>
      </c>
      <c r="J1530" s="78" t="str">
        <f>G1530-E1530</f>
      </c>
    </row>
    <row r="1531">
      <c r="A1531" t="s">
        <v>244</v>
      </c>
      <c r="B1531" t="s">
        <v>246</v>
      </c>
      <c r="C1531" s="72" t="n">
        <v>2035</v>
      </c>
      <c r="D1531" t="s">
        <v>187</v>
      </c>
      <c r="E1531" s="73" t="n">
        <v>414610.839238061</v>
      </c>
      <c r="F1531" s="74" t="n">
        <v>383831.740609472</v>
      </c>
      <c r="G1531" s="75" t="n">
        <v>414533.160603145</v>
      </c>
      <c r="H1531" s="76" t="n">
        <v>383788.762526672</v>
      </c>
      <c r="I1531" s="77" t="str">
        <f>H1531-F1531</f>
      </c>
      <c r="J1531" s="78" t="str">
        <f>G1531-E1531</f>
      </c>
    </row>
    <row r="1532">
      <c r="A1532" t="s">
        <v>244</v>
      </c>
      <c r="B1532" t="s">
        <v>246</v>
      </c>
      <c r="C1532" s="72" t="n">
        <v>2035</v>
      </c>
      <c r="D1532" t="s">
        <v>190</v>
      </c>
      <c r="E1532" s="73" t="n">
        <v>699873.274986715</v>
      </c>
      <c r="F1532" s="74" t="n">
        <v>428884.805556462</v>
      </c>
      <c r="G1532" s="75" t="n">
        <v>715331.788822102</v>
      </c>
      <c r="H1532" s="76" t="n">
        <v>434082.031551195</v>
      </c>
      <c r="I1532" s="77" t="str">
        <f>H1532-F1532</f>
      </c>
      <c r="J1532" s="78" t="str">
        <f>G1532-E1532</f>
      </c>
    </row>
    <row r="1533">
      <c r="A1533" t="s">
        <v>244</v>
      </c>
      <c r="B1533" t="s">
        <v>246</v>
      </c>
      <c r="C1533" s="72" t="n">
        <v>2035</v>
      </c>
      <c r="D1533" t="s">
        <v>193</v>
      </c>
      <c r="E1533" s="73" t="n">
        <v>528958.164793185</v>
      </c>
      <c r="F1533" s="74" t="n">
        <v>289184.498090913</v>
      </c>
      <c r="G1533" s="75" t="n">
        <v>528818.371883953</v>
      </c>
      <c r="H1533" s="76" t="n">
        <v>289150.802435983</v>
      </c>
      <c r="I1533" s="77" t="str">
        <f>H1533-F1533</f>
      </c>
      <c r="J1533" s="78" t="str">
        <f>G1533-E1533</f>
      </c>
    </row>
    <row r="1534">
      <c r="A1534" t="s">
        <v>244</v>
      </c>
      <c r="B1534" t="s">
        <v>246</v>
      </c>
      <c r="C1534" s="72" t="n">
        <v>2035</v>
      </c>
      <c r="D1534" t="s">
        <v>424</v>
      </c>
      <c r="E1534" s="73" t="n">
        <v>44207.5322983458</v>
      </c>
      <c r="F1534" s="74" t="n">
        <v>7419.99540148516</v>
      </c>
      <c r="G1534" s="75" t="n">
        <v>44206.7073067121</v>
      </c>
      <c r="H1534" s="76" t="n">
        <v>7419.97885519321</v>
      </c>
      <c r="I1534" s="77" t="str">
        <f>H1534-F1534</f>
      </c>
      <c r="J1534" s="78" t="str">
        <f>G1534-E1534</f>
      </c>
    </row>
    <row r="1535">
      <c r="A1535" t="s">
        <v>244</v>
      </c>
      <c r="B1535" t="s">
        <v>246</v>
      </c>
      <c r="C1535" s="72" t="n">
        <v>2036</v>
      </c>
      <c r="D1535" t="s">
        <v>176</v>
      </c>
      <c r="E1535" s="73" t="n">
        <v>17357.3838789374</v>
      </c>
      <c r="F1535" s="74" t="n">
        <v>12508.9330541694</v>
      </c>
      <c r="G1535" s="75" t="n">
        <v>17350.6546269342</v>
      </c>
      <c r="H1535" s="76" t="n">
        <v>12506.9021026876</v>
      </c>
      <c r="I1535" s="77" t="str">
        <f>H1535-F1535</f>
      </c>
      <c r="J1535" s="78" t="str">
        <f>G1535-E1535</f>
      </c>
    </row>
    <row r="1536">
      <c r="A1536" t="s">
        <v>244</v>
      </c>
      <c r="B1536" t="s">
        <v>246</v>
      </c>
      <c r="C1536" s="72" t="n">
        <v>2036</v>
      </c>
      <c r="D1536" t="s">
        <v>238</v>
      </c>
      <c r="E1536" s="73" t="n">
        <v>1158434.93544259</v>
      </c>
      <c r="F1536" s="74" t="n">
        <v>218377.571747491</v>
      </c>
      <c r="G1536" s="75" t="n">
        <v>1158266.13775829</v>
      </c>
      <c r="H1536" s="76" t="n">
        <v>218370.687575925</v>
      </c>
      <c r="I1536" s="77" t="str">
        <f>H1536-F1536</f>
      </c>
      <c r="J1536" s="78" t="str">
        <f>G1536-E1536</f>
      </c>
    </row>
    <row r="1537">
      <c r="A1537" t="s">
        <v>244</v>
      </c>
      <c r="B1537" t="s">
        <v>246</v>
      </c>
      <c r="C1537" s="72" t="n">
        <v>2036</v>
      </c>
      <c r="D1537" t="s">
        <v>184</v>
      </c>
      <c r="E1537" s="73" t="n">
        <v>127181.404597708</v>
      </c>
      <c r="F1537" s="74" t="n">
        <v>85775.9485135008</v>
      </c>
      <c r="G1537" s="75" t="n">
        <v>127138.451085333</v>
      </c>
      <c r="H1537" s="76" t="n">
        <v>85765.5647353171</v>
      </c>
      <c r="I1537" s="77" t="str">
        <f>H1537-F1537</f>
      </c>
      <c r="J1537" s="78" t="str">
        <f>G1537-E1537</f>
      </c>
    </row>
    <row r="1538">
      <c r="A1538" t="s">
        <v>244</v>
      </c>
      <c r="B1538" t="s">
        <v>246</v>
      </c>
      <c r="C1538" s="72" t="n">
        <v>2036</v>
      </c>
      <c r="D1538" t="s">
        <v>187</v>
      </c>
      <c r="E1538" s="73" t="n">
        <v>422332.630930269</v>
      </c>
      <c r="F1538" s="74" t="n">
        <v>391345.41041997</v>
      </c>
      <c r="G1538" s="75" t="n">
        <v>422232.659922133</v>
      </c>
      <c r="H1538" s="76" t="n">
        <v>391285.955739587</v>
      </c>
      <c r="I1538" s="77" t="str">
        <f>H1538-F1538</f>
      </c>
      <c r="J1538" s="78" t="str">
        <f>G1538-E1538</f>
      </c>
    </row>
    <row r="1539">
      <c r="A1539" t="s">
        <v>244</v>
      </c>
      <c r="B1539" t="s">
        <v>246</v>
      </c>
      <c r="C1539" s="72" t="n">
        <v>2036</v>
      </c>
      <c r="D1539" t="s">
        <v>190</v>
      </c>
      <c r="E1539" s="73" t="n">
        <v>712880.758215914</v>
      </c>
      <c r="F1539" s="74" t="n">
        <v>438964.809279079</v>
      </c>
      <c r="G1539" s="75" t="n">
        <v>728531.610160843</v>
      </c>
      <c r="H1539" s="76" t="n">
        <v>444747.907566169</v>
      </c>
      <c r="I1539" s="77" t="str">
        <f>H1539-F1539</f>
      </c>
      <c r="J1539" s="78" t="str">
        <f>G1539-E1539</f>
      </c>
    </row>
    <row r="1540">
      <c r="A1540" t="s">
        <v>244</v>
      </c>
      <c r="B1540" t="s">
        <v>246</v>
      </c>
      <c r="C1540" s="72" t="n">
        <v>2036</v>
      </c>
      <c r="D1540" t="s">
        <v>193</v>
      </c>
      <c r="E1540" s="73" t="n">
        <v>541232.277831567</v>
      </c>
      <c r="F1540" s="74" t="n">
        <v>298926.9054729</v>
      </c>
      <c r="G1540" s="75" t="n">
        <v>541052.28077363</v>
      </c>
      <c r="H1540" s="76" t="n">
        <v>298879.611309733</v>
      </c>
      <c r="I1540" s="77" t="str">
        <f>H1540-F1540</f>
      </c>
      <c r="J1540" s="78" t="str">
        <f>G1540-E1540</f>
      </c>
    </row>
    <row r="1541">
      <c r="A1541" t="s">
        <v>244</v>
      </c>
      <c r="B1541" t="s">
        <v>246</v>
      </c>
      <c r="C1541" s="72" t="n">
        <v>2036</v>
      </c>
      <c r="D1541" t="s">
        <v>424</v>
      </c>
      <c r="E1541" s="73" t="n">
        <v>44051.0416522369</v>
      </c>
      <c r="F1541" s="74" t="n">
        <v>7453.35892272311</v>
      </c>
      <c r="G1541" s="75" t="n">
        <v>44049.9983782722</v>
      </c>
      <c r="H1541" s="76" t="n">
        <v>7453.3351271514</v>
      </c>
      <c r="I1541" s="77" t="str">
        <f>H1541-F1541</f>
      </c>
      <c r="J1541" s="78" t="str">
        <f>G1541-E1541</f>
      </c>
    </row>
    <row r="1542">
      <c r="A1542" t="s">
        <v>244</v>
      </c>
      <c r="B1542" t="s">
        <v>246</v>
      </c>
      <c r="C1542" s="72" t="n">
        <v>2037</v>
      </c>
      <c r="D1542" t="s">
        <v>176</v>
      </c>
      <c r="E1542" s="73" t="n">
        <v>17820.9070238046</v>
      </c>
      <c r="F1542" s="74" t="n">
        <v>12810.2265889455</v>
      </c>
      <c r="G1542" s="75" t="n">
        <v>17812.5035281772</v>
      </c>
      <c r="H1542" s="76" t="n">
        <v>12807.5012683992</v>
      </c>
      <c r="I1542" s="77" t="str">
        <f>H1542-F1542</f>
      </c>
      <c r="J1542" s="78" t="str">
        <f>G1542-E1542</f>
      </c>
    </row>
    <row r="1543">
      <c r="A1543" t="s">
        <v>244</v>
      </c>
      <c r="B1543" t="s">
        <v>246</v>
      </c>
      <c r="C1543" s="72" t="n">
        <v>2037</v>
      </c>
      <c r="D1543" t="s">
        <v>238</v>
      </c>
      <c r="E1543" s="73" t="n">
        <v>1167572.3477799</v>
      </c>
      <c r="F1543" s="74" t="n">
        <v>226383.021506497</v>
      </c>
      <c r="G1543" s="75" t="n">
        <v>1167364.66541375</v>
      </c>
      <c r="H1543" s="76" t="n">
        <v>226373.365626062</v>
      </c>
      <c r="I1543" s="77" t="str">
        <f>H1543-F1543</f>
      </c>
      <c r="J1543" s="78" t="str">
        <f>G1543-E1543</f>
      </c>
    </row>
    <row r="1544">
      <c r="A1544" t="s">
        <v>244</v>
      </c>
      <c r="B1544" t="s">
        <v>246</v>
      </c>
      <c r="C1544" s="72" t="n">
        <v>2037</v>
      </c>
      <c r="D1544" t="s">
        <v>184</v>
      </c>
      <c r="E1544" s="73" t="n">
        <v>130145.578296617</v>
      </c>
      <c r="F1544" s="74" t="n">
        <v>87800.0314519038</v>
      </c>
      <c r="G1544" s="75" t="n">
        <v>130092.112965313</v>
      </c>
      <c r="H1544" s="76" t="n">
        <v>87785.8739142287</v>
      </c>
      <c r="I1544" s="77" t="str">
        <f>H1544-F1544</f>
      </c>
      <c r="J1544" s="78" t="str">
        <f>G1544-E1544</f>
      </c>
    </row>
    <row r="1545">
      <c r="A1545" t="s">
        <v>244</v>
      </c>
      <c r="B1545" t="s">
        <v>246</v>
      </c>
      <c r="C1545" s="72" t="n">
        <v>2037</v>
      </c>
      <c r="D1545" t="s">
        <v>187</v>
      </c>
      <c r="E1545" s="73" t="n">
        <v>429798.987410683</v>
      </c>
      <c r="F1545" s="74" t="n">
        <v>398551.996003416</v>
      </c>
      <c r="G1545" s="75" t="n">
        <v>429674.679324948</v>
      </c>
      <c r="H1545" s="76" t="n">
        <v>398473.813386608</v>
      </c>
      <c r="I1545" s="77" t="str">
        <f>H1545-F1545</f>
      </c>
      <c r="J1545" s="78" t="str">
        <f>G1545-E1545</f>
      </c>
    </row>
    <row r="1546">
      <c r="A1546" t="s">
        <v>244</v>
      </c>
      <c r="B1546" t="s">
        <v>246</v>
      </c>
      <c r="C1546" s="72" t="n">
        <v>2037</v>
      </c>
      <c r="D1546" t="s">
        <v>190</v>
      </c>
      <c r="E1546" s="73" t="n">
        <v>725429.410985077</v>
      </c>
      <c r="F1546" s="74" t="n">
        <v>448833.920430216</v>
      </c>
      <c r="G1546" s="75" t="n">
        <v>741261.427234993</v>
      </c>
      <c r="H1546" s="76" t="n">
        <v>455168.184528758</v>
      </c>
      <c r="I1546" s="77" t="str">
        <f>H1546-F1546</f>
      </c>
      <c r="J1546" s="78" t="str">
        <f>G1546-E1546</f>
      </c>
    </row>
    <row r="1547">
      <c r="A1547" t="s">
        <v>244</v>
      </c>
      <c r="B1547" t="s">
        <v>246</v>
      </c>
      <c r="C1547" s="72" t="n">
        <v>2037</v>
      </c>
      <c r="D1547" t="s">
        <v>193</v>
      </c>
      <c r="E1547" s="73" t="n">
        <v>553482.659589775</v>
      </c>
      <c r="F1547" s="74" t="n">
        <v>308729.250449809</v>
      </c>
      <c r="G1547" s="75" t="n">
        <v>553258.517761357</v>
      </c>
      <c r="H1547" s="76" t="n">
        <v>308666.043562302</v>
      </c>
      <c r="I1547" s="77" t="str">
        <f>H1547-F1547</f>
      </c>
      <c r="J1547" s="78" t="str">
        <f>G1547-E1547</f>
      </c>
    </row>
    <row r="1548">
      <c r="A1548" t="s">
        <v>244</v>
      </c>
      <c r="B1548" t="s">
        <v>246</v>
      </c>
      <c r="C1548" s="72" t="n">
        <v>2037</v>
      </c>
      <c r="D1548" t="s">
        <v>424</v>
      </c>
      <c r="E1548" s="73" t="n">
        <v>43887.7726584932</v>
      </c>
      <c r="F1548" s="74" t="n">
        <v>7485.6719083143</v>
      </c>
      <c r="G1548" s="75" t="n">
        <v>43886.4966397613</v>
      </c>
      <c r="H1548" s="76" t="n">
        <v>7485.63945861012</v>
      </c>
      <c r="I1548" s="77" t="str">
        <f>H1548-F1548</f>
      </c>
      <c r="J1548" s="78" t="str">
        <f>G1548-E1548</f>
      </c>
    </row>
    <row r="1549">
      <c r="A1549" t="s">
        <v>244</v>
      </c>
      <c r="B1549" t="s">
        <v>246</v>
      </c>
      <c r="C1549" s="72" t="n">
        <v>2038</v>
      </c>
      <c r="D1549" t="s">
        <v>176</v>
      </c>
      <c r="E1549" s="73" t="n">
        <v>18288.8535394108</v>
      </c>
      <c r="F1549" s="74" t="n">
        <v>13111.7759528056</v>
      </c>
      <c r="G1549" s="75" t="n">
        <v>18278.6195315823</v>
      </c>
      <c r="H1549" s="76" t="n">
        <v>13108.2586821674</v>
      </c>
      <c r="I1549" s="77" t="str">
        <f>H1549-F1549</f>
      </c>
      <c r="J1549" s="78" t="str">
        <f>G1549-E1549</f>
      </c>
    </row>
    <row r="1550">
      <c r="A1550" t="s">
        <v>244</v>
      </c>
      <c r="B1550" t="s">
        <v>246</v>
      </c>
      <c r="C1550" s="72" t="n">
        <v>2038</v>
      </c>
      <c r="D1550" t="s">
        <v>238</v>
      </c>
      <c r="E1550" s="73" t="n">
        <v>1176535.11939858</v>
      </c>
      <c r="F1550" s="74" t="n">
        <v>234299.286355203</v>
      </c>
      <c r="G1550" s="75" t="n">
        <v>1176286.23006217</v>
      </c>
      <c r="H1550" s="76" t="n">
        <v>234286.302403295</v>
      </c>
      <c r="I1550" s="77" t="str">
        <f>H1550-F1550</f>
      </c>
      <c r="J1550" s="78" t="str">
        <f>G1550-E1550</f>
      </c>
    </row>
    <row r="1551">
      <c r="A1551" t="s">
        <v>244</v>
      </c>
      <c r="B1551" t="s">
        <v>246</v>
      </c>
      <c r="C1551" s="72" t="n">
        <v>2038</v>
      </c>
      <c r="D1551" t="s">
        <v>184</v>
      </c>
      <c r="E1551" s="73" t="n">
        <v>133069.591891739</v>
      </c>
      <c r="F1551" s="74" t="n">
        <v>89781.4215156189</v>
      </c>
      <c r="G1551" s="75" t="n">
        <v>133004.77137127</v>
      </c>
      <c r="H1551" s="76" t="n">
        <v>89762.9085046272</v>
      </c>
      <c r="I1551" s="77" t="str">
        <f>H1551-F1551</f>
      </c>
      <c r="J1551" s="78" t="str">
        <f>G1551-E1551</f>
      </c>
    </row>
    <row r="1552">
      <c r="A1552" t="s">
        <v>244</v>
      </c>
      <c r="B1552" t="s">
        <v>246</v>
      </c>
      <c r="C1552" s="72" t="n">
        <v>2038</v>
      </c>
      <c r="D1552" t="s">
        <v>187</v>
      </c>
      <c r="E1552" s="73" t="n">
        <v>437028.891025218</v>
      </c>
      <c r="F1552" s="74" t="n">
        <v>405483.879351333</v>
      </c>
      <c r="G1552" s="75" t="n">
        <v>436878.359538317</v>
      </c>
      <c r="H1552" s="76" t="n">
        <v>405384.957772321</v>
      </c>
      <c r="I1552" s="77" t="str">
        <f>H1552-F1552</f>
      </c>
      <c r="J1552" s="78" t="str">
        <f>G1552-E1552</f>
      </c>
    </row>
    <row r="1553">
      <c r="A1553" t="s">
        <v>244</v>
      </c>
      <c r="B1553" t="s">
        <v>246</v>
      </c>
      <c r="C1553" s="72" t="n">
        <v>2038</v>
      </c>
      <c r="D1553" t="s">
        <v>190</v>
      </c>
      <c r="E1553" s="73" t="n">
        <v>737557.475421417</v>
      </c>
      <c r="F1553" s="74" t="n">
        <v>458491.494910908</v>
      </c>
      <c r="G1553" s="75" t="n">
        <v>753560.822146793</v>
      </c>
      <c r="H1553" s="76" t="n">
        <v>465342.91786371</v>
      </c>
      <c r="I1553" s="77" t="str">
        <f>H1553-F1553</f>
      </c>
      <c r="J1553" s="78" t="str">
        <f>G1553-E1553</f>
      </c>
    </row>
    <row r="1554">
      <c r="A1554" t="s">
        <v>244</v>
      </c>
      <c r="B1554" t="s">
        <v>246</v>
      </c>
      <c r="C1554" s="72" t="n">
        <v>2038</v>
      </c>
      <c r="D1554" t="s">
        <v>193</v>
      </c>
      <c r="E1554" s="73" t="n">
        <v>565675.749969895</v>
      </c>
      <c r="F1554" s="74" t="n">
        <v>318542.464510324</v>
      </c>
      <c r="G1554" s="75" t="n">
        <v>565403.758799385</v>
      </c>
      <c r="H1554" s="76" t="n">
        <v>318461.022248122</v>
      </c>
      <c r="I1554" s="77" t="str">
        <f>H1554-F1554</f>
      </c>
      <c r="J1554" s="78" t="str">
        <f>G1554-E1554</f>
      </c>
    </row>
    <row r="1555">
      <c r="A1555" t="s">
        <v>244</v>
      </c>
      <c r="B1555" t="s">
        <v>246</v>
      </c>
      <c r="C1555" s="72" t="n">
        <v>2038</v>
      </c>
      <c r="D1555" t="s">
        <v>424</v>
      </c>
      <c r="E1555" s="73" t="n">
        <v>43732.2657924837</v>
      </c>
      <c r="F1555" s="74" t="n">
        <v>7517.81280813912</v>
      </c>
      <c r="G1555" s="75" t="n">
        <v>43730.7448506382</v>
      </c>
      <c r="H1555" s="76" t="n">
        <v>7517.77035327065</v>
      </c>
      <c r="I1555" s="77" t="str">
        <f>H1555-F1555</f>
      </c>
      <c r="J1555" s="78" t="str">
        <f>G1555-E1555</f>
      </c>
    </row>
    <row r="1556">
      <c r="A1556" t="s">
        <v>244</v>
      </c>
      <c r="B1556" t="s">
        <v>246</v>
      </c>
      <c r="C1556" s="72" t="n">
        <v>2039</v>
      </c>
      <c r="D1556" t="s">
        <v>176</v>
      </c>
      <c r="E1556" s="73" t="n">
        <v>18764.3157319484</v>
      </c>
      <c r="F1556" s="74" t="n">
        <v>13409.0722116097</v>
      </c>
      <c r="G1556" s="75" t="n">
        <v>18752.090499403</v>
      </c>
      <c r="H1556" s="76" t="n">
        <v>13404.6696202756</v>
      </c>
      <c r="I1556" s="77" t="str">
        <f>H1556-F1556</f>
      </c>
      <c r="J1556" s="78" t="str">
        <f>G1556-E1556</f>
      </c>
    </row>
    <row r="1557">
      <c r="A1557" t="s">
        <v>244</v>
      </c>
      <c r="B1557" t="s">
        <v>246</v>
      </c>
      <c r="C1557" s="72" t="n">
        <v>2039</v>
      </c>
      <c r="D1557" t="s">
        <v>238</v>
      </c>
      <c r="E1557" s="73" t="n">
        <v>1185030.50209844</v>
      </c>
      <c r="F1557" s="74" t="n">
        <v>242149.067690401</v>
      </c>
      <c r="G1557" s="75" t="n">
        <v>1184738.39184491</v>
      </c>
      <c r="H1557" s="76" t="n">
        <v>242132.191153164</v>
      </c>
      <c r="I1557" s="77" t="str">
        <f>H1557-F1557</f>
      </c>
      <c r="J1557" s="78" t="str">
        <f>G1557-E1557</f>
      </c>
    </row>
    <row r="1558">
      <c r="A1558" t="s">
        <v>244</v>
      </c>
      <c r="B1558" t="s">
        <v>246</v>
      </c>
      <c r="C1558" s="72" t="n">
        <v>2039</v>
      </c>
      <c r="D1558" t="s">
        <v>184</v>
      </c>
      <c r="E1558" s="73" t="n">
        <v>135949.073175524</v>
      </c>
      <c r="F1558" s="74" t="n">
        <v>91739.7902344077</v>
      </c>
      <c r="G1558" s="75" t="n">
        <v>135872.13136763</v>
      </c>
      <c r="H1558" s="76" t="n">
        <v>91716.3663536023</v>
      </c>
      <c r="I1558" s="77" t="str">
        <f>H1558-F1558</f>
      </c>
      <c r="J1558" s="78" t="str">
        <f>G1558-E1558</f>
      </c>
    </row>
    <row r="1559">
      <c r="A1559" t="s">
        <v>244</v>
      </c>
      <c r="B1559" t="s">
        <v>246</v>
      </c>
      <c r="C1559" s="72" t="n">
        <v>2039</v>
      </c>
      <c r="D1559" t="s">
        <v>187</v>
      </c>
      <c r="E1559" s="73" t="n">
        <v>444084.524277137</v>
      </c>
      <c r="F1559" s="74" t="n">
        <v>412241.688035488</v>
      </c>
      <c r="G1559" s="75" t="n">
        <v>443905.980748337</v>
      </c>
      <c r="H1559" s="76" t="n">
        <v>412120.21350488</v>
      </c>
      <c r="I1559" s="77" t="str">
        <f>H1559-F1559</f>
      </c>
      <c r="J1559" s="78" t="str">
        <f>G1559-E1559</f>
      </c>
    </row>
    <row r="1560">
      <c r="A1560" t="s">
        <v>244</v>
      </c>
      <c r="B1560" t="s">
        <v>246</v>
      </c>
      <c r="C1560" s="72" t="n">
        <v>2039</v>
      </c>
      <c r="D1560" t="s">
        <v>190</v>
      </c>
      <c r="E1560" s="73" t="n">
        <v>749360.896144055</v>
      </c>
      <c r="F1560" s="74" t="n">
        <v>467934.916909428</v>
      </c>
      <c r="G1560" s="75" t="n">
        <v>765528.467838857</v>
      </c>
      <c r="H1560" s="76" t="n">
        <v>475269.787528918</v>
      </c>
      <c r="I1560" s="77" t="str">
        <f>H1560-F1560</f>
      </c>
      <c r="J1560" s="78" t="str">
        <f>G1560-E1560</f>
      </c>
    </row>
    <row r="1561">
      <c r="A1561" t="s">
        <v>244</v>
      </c>
      <c r="B1561" t="s">
        <v>246</v>
      </c>
      <c r="C1561" s="72" t="n">
        <v>2039</v>
      </c>
      <c r="D1561" t="s">
        <v>193</v>
      </c>
      <c r="E1561" s="73" t="n">
        <v>577737.856590727</v>
      </c>
      <c r="F1561" s="74" t="n">
        <v>328348.441805622</v>
      </c>
      <c r="G1561" s="75" t="n">
        <v>577414.514396235</v>
      </c>
      <c r="H1561" s="76" t="n">
        <v>328246.401276368</v>
      </c>
      <c r="I1561" s="77" t="str">
        <f>H1561-F1561</f>
      </c>
      <c r="J1561" s="78" t="str">
        <f>G1561-E1561</f>
      </c>
    </row>
    <row r="1562">
      <c r="A1562" t="s">
        <v>244</v>
      </c>
      <c r="B1562" t="s">
        <v>246</v>
      </c>
      <c r="C1562" s="72" t="n">
        <v>2039</v>
      </c>
      <c r="D1562" t="s">
        <v>424</v>
      </c>
      <c r="E1562" s="73" t="n">
        <v>43590.6221619064</v>
      </c>
      <c r="F1562" s="74" t="n">
        <v>7547.61361094446</v>
      </c>
      <c r="G1562" s="75" t="n">
        <v>43588.845456637</v>
      </c>
      <c r="H1562" s="76" t="n">
        <v>7547.5598608641</v>
      </c>
      <c r="I1562" s="77" t="str">
        <f>H1562-F1562</f>
      </c>
      <c r="J1562" s="78" t="str">
        <f>G1562-E1562</f>
      </c>
    </row>
    <row r="1563">
      <c r="A1563" t="s">
        <v>244</v>
      </c>
      <c r="B1563" t="s">
        <v>246</v>
      </c>
      <c r="C1563" s="72" t="n">
        <v>2040</v>
      </c>
      <c r="D1563" t="s">
        <v>176</v>
      </c>
      <c r="E1563" s="73" t="n">
        <v>19250.1220234563</v>
      </c>
      <c r="F1563" s="74" t="n">
        <v>13704.3531525195</v>
      </c>
      <c r="G1563" s="75" t="n">
        <v>19235.7365429273</v>
      </c>
      <c r="H1563" s="76" t="n">
        <v>13698.9721681132</v>
      </c>
      <c r="I1563" s="77" t="str">
        <f>H1563-F1563</f>
      </c>
      <c r="J1563" s="78" t="str">
        <f>G1563-E1563</f>
      </c>
    </row>
    <row r="1564">
      <c r="A1564" t="s">
        <v>244</v>
      </c>
      <c r="B1564" t="s">
        <v>246</v>
      </c>
      <c r="C1564" s="72" t="n">
        <v>2040</v>
      </c>
      <c r="D1564" t="s">
        <v>238</v>
      </c>
      <c r="E1564" s="73" t="n">
        <v>1192971.54206721</v>
      </c>
      <c r="F1564" s="74" t="n">
        <v>249915.815633944</v>
      </c>
      <c r="G1564" s="75" t="n">
        <v>1192634.43006365</v>
      </c>
      <c r="H1564" s="76" t="n">
        <v>249894.478827588</v>
      </c>
      <c r="I1564" s="77" t="str">
        <f>H1564-F1564</f>
      </c>
      <c r="J1564" s="78" t="str">
        <f>G1564-E1564</f>
      </c>
    </row>
    <row r="1565">
      <c r="A1565" t="s">
        <v>244</v>
      </c>
      <c r="B1565" t="s">
        <v>246</v>
      </c>
      <c r="C1565" s="72" t="n">
        <v>2040</v>
      </c>
      <c r="D1565" t="s">
        <v>184</v>
      </c>
      <c r="E1565" s="73" t="n">
        <v>138779.555016899</v>
      </c>
      <c r="F1565" s="74" t="n">
        <v>93665.7520725591</v>
      </c>
      <c r="G1565" s="75" t="n">
        <v>138689.796610277</v>
      </c>
      <c r="H1565" s="76" t="n">
        <v>93636.8967600593</v>
      </c>
      <c r="I1565" s="77" t="str">
        <f>H1565-F1565</f>
      </c>
      <c r="J1565" s="78" t="str">
        <f>G1565-E1565</f>
      </c>
    </row>
    <row r="1566">
      <c r="A1566" t="s">
        <v>244</v>
      </c>
      <c r="B1566" t="s">
        <v>246</v>
      </c>
      <c r="C1566" s="72" t="n">
        <v>2040</v>
      </c>
      <c r="D1566" t="s">
        <v>187</v>
      </c>
      <c r="E1566" s="73" t="n">
        <v>451050.067382705</v>
      </c>
      <c r="F1566" s="74" t="n">
        <v>418766.58299244</v>
      </c>
      <c r="G1566" s="75" t="n">
        <v>450841.764596063</v>
      </c>
      <c r="H1566" s="76" t="n">
        <v>418620.908948174</v>
      </c>
      <c r="I1566" s="77" t="str">
        <f>H1566-F1566</f>
      </c>
      <c r="J1566" s="78" t="str">
        <f>G1566-E1566</f>
      </c>
    </row>
    <row r="1567">
      <c r="A1567" t="s">
        <v>244</v>
      </c>
      <c r="B1567" t="s">
        <v>246</v>
      </c>
      <c r="C1567" s="72" t="n">
        <v>2040</v>
      </c>
      <c r="D1567" t="s">
        <v>190</v>
      </c>
      <c r="E1567" s="73" t="n">
        <v>760764.849173364</v>
      </c>
      <c r="F1567" s="74" t="n">
        <v>477161.229174118</v>
      </c>
      <c r="G1567" s="75" t="n">
        <v>777088.496702091</v>
      </c>
      <c r="H1567" s="76" t="n">
        <v>484947.105425179</v>
      </c>
      <c r="I1567" s="77" t="str">
        <f>H1567-F1567</f>
      </c>
      <c r="J1567" s="78" t="str">
        <f>G1567-E1567</f>
      </c>
    </row>
    <row r="1568">
      <c r="A1568" t="s">
        <v>244</v>
      </c>
      <c r="B1568" t="s">
        <v>246</v>
      </c>
      <c r="C1568" s="72" t="n">
        <v>2040</v>
      </c>
      <c r="D1568" t="s">
        <v>193</v>
      </c>
      <c r="E1568" s="73" t="n">
        <v>589737.840771178</v>
      </c>
      <c r="F1568" s="74" t="n">
        <v>338164.083059808</v>
      </c>
      <c r="G1568" s="75" t="n">
        <v>589359.733832842</v>
      </c>
      <c r="H1568" s="76" t="n">
        <v>338039.010430446</v>
      </c>
      <c r="I1568" s="77" t="str">
        <f>H1568-F1568</f>
      </c>
      <c r="J1568" s="78" t="str">
        <f>G1568-E1568</f>
      </c>
    </row>
    <row r="1569">
      <c r="A1569" t="s">
        <v>244</v>
      </c>
      <c r="B1569" t="s">
        <v>246</v>
      </c>
      <c r="C1569" s="72" t="n">
        <v>2040</v>
      </c>
      <c r="D1569" t="s">
        <v>424</v>
      </c>
      <c r="E1569" s="73" t="n">
        <v>43466.9020039468</v>
      </c>
      <c r="F1569" s="74" t="n">
        <v>7573.79183507158</v>
      </c>
      <c r="G1569" s="75" t="n">
        <v>43464.8596818836</v>
      </c>
      <c r="H1569" s="76" t="n">
        <v>7573.72556082699</v>
      </c>
      <c r="I1569" s="77" t="str">
        <f>H1569-F1569</f>
      </c>
      <c r="J1569" s="78" t="str">
        <f>G1569-E1569</f>
      </c>
    </row>
    <row r="1570">
      <c r="A1570" t="s">
        <v>244</v>
      </c>
      <c r="B1570" t="s">
        <v>246</v>
      </c>
      <c r="C1570" s="72" t="n">
        <v>2041</v>
      </c>
      <c r="D1570" t="s">
        <v>176</v>
      </c>
      <c r="E1570" s="73" t="n">
        <v>19744.0048576673</v>
      </c>
      <c r="F1570" s="74" t="n">
        <v>13998.0605281315</v>
      </c>
      <c r="G1570" s="75" t="n">
        <v>19727.283486384</v>
      </c>
      <c r="H1570" s="76" t="n">
        <v>13991.6066902828</v>
      </c>
      <c r="I1570" s="77" t="str">
        <f>H1570-F1570</f>
      </c>
      <c r="J1570" s="78" t="str">
        <f>G1570-E1570</f>
      </c>
    </row>
    <row r="1571">
      <c r="A1571" t="s">
        <v>244</v>
      </c>
      <c r="B1571" t="s">
        <v>246</v>
      </c>
      <c r="C1571" s="72" t="n">
        <v>2041</v>
      </c>
      <c r="D1571" t="s">
        <v>238</v>
      </c>
      <c r="E1571" s="73" t="n">
        <v>1200371.88338124</v>
      </c>
      <c r="F1571" s="74" t="n">
        <v>257625.410433898</v>
      </c>
      <c r="G1571" s="75" t="n">
        <v>1199988.17586749</v>
      </c>
      <c r="H1571" s="76" t="n">
        <v>257599.044002988</v>
      </c>
      <c r="I1571" s="77" t="str">
        <f>H1571-F1571</f>
      </c>
      <c r="J1571" s="78" t="str">
        <f>G1571-E1571</f>
      </c>
    </row>
    <row r="1572">
      <c r="A1572" t="s">
        <v>244</v>
      </c>
      <c r="B1572" t="s">
        <v>246</v>
      </c>
      <c r="C1572" s="72" t="n">
        <v>2041</v>
      </c>
      <c r="D1572" t="s">
        <v>184</v>
      </c>
      <c r="E1572" s="73" t="n">
        <v>141578.794320385</v>
      </c>
      <c r="F1572" s="74" t="n">
        <v>95561.7781571229</v>
      </c>
      <c r="G1572" s="75" t="n">
        <v>141475.570851386</v>
      </c>
      <c r="H1572" s="76" t="n">
        <v>95527.0063786807</v>
      </c>
      <c r="I1572" s="77" t="str">
        <f>H1572-F1572</f>
      </c>
      <c r="J1572" s="78" t="str">
        <f>G1572-E1572</f>
      </c>
    </row>
    <row r="1573">
      <c r="A1573" t="s">
        <v>244</v>
      </c>
      <c r="B1573" t="s">
        <v>246</v>
      </c>
      <c r="C1573" s="72" t="n">
        <v>2041</v>
      </c>
      <c r="D1573" t="s">
        <v>187</v>
      </c>
      <c r="E1573" s="73" t="n">
        <v>457937.93108523</v>
      </c>
      <c r="F1573" s="74" t="n">
        <v>425177.245008888</v>
      </c>
      <c r="G1573" s="75" t="n">
        <v>457698.128134802</v>
      </c>
      <c r="H1573" s="76" t="n">
        <v>425005.77720965</v>
      </c>
      <c r="I1573" s="77" t="str">
        <f>H1573-F1573</f>
      </c>
      <c r="J1573" s="78" t="str">
        <f>G1573-E1573</f>
      </c>
    </row>
    <row r="1574">
      <c r="A1574" t="s">
        <v>244</v>
      </c>
      <c r="B1574" t="s">
        <v>246</v>
      </c>
      <c r="C1574" s="72" t="n">
        <v>2041</v>
      </c>
      <c r="D1574" t="s">
        <v>190</v>
      </c>
      <c r="E1574" s="73" t="n">
        <v>771820.282876455</v>
      </c>
      <c r="F1574" s="74" t="n">
        <v>486184.753473864</v>
      </c>
      <c r="G1574" s="75" t="n">
        <v>788293.242756689</v>
      </c>
      <c r="H1574" s="76" t="n">
        <v>494390.873248259</v>
      </c>
      <c r="I1574" s="77" t="str">
        <f>H1574-F1574</f>
      </c>
      <c r="J1574" s="78" t="str">
        <f>G1574-E1574</f>
      </c>
    </row>
    <row r="1575">
      <c r="A1575" t="s">
        <v>244</v>
      </c>
      <c r="B1575" t="s">
        <v>246</v>
      </c>
      <c r="C1575" s="72" t="n">
        <v>2041</v>
      </c>
      <c r="D1575" t="s">
        <v>193</v>
      </c>
      <c r="E1575" s="73" t="n">
        <v>601591.475564022</v>
      </c>
      <c r="F1575" s="74" t="n">
        <v>348075.448358896</v>
      </c>
      <c r="G1575" s="75" t="n">
        <v>601155.340946961</v>
      </c>
      <c r="H1575" s="76" t="n">
        <v>347924.766327078</v>
      </c>
      <c r="I1575" s="77" t="str">
        <f>H1575-F1575</f>
      </c>
      <c r="J1575" s="78" t="str">
        <f>G1575-E1575</f>
      </c>
    </row>
    <row r="1576">
      <c r="A1576" t="s">
        <v>244</v>
      </c>
      <c r="B1576" t="s">
        <v>246</v>
      </c>
      <c r="C1576" s="72" t="n">
        <v>2041</v>
      </c>
      <c r="D1576" t="s">
        <v>424</v>
      </c>
      <c r="E1576" s="73" t="n">
        <v>43363.2528098001</v>
      </c>
      <c r="F1576" s="74" t="n">
        <v>7596.07533856484</v>
      </c>
      <c r="G1576" s="75" t="n">
        <v>43360.9356755525</v>
      </c>
      <c r="H1576" s="76" t="n">
        <v>7595.99533386821</v>
      </c>
      <c r="I1576" s="77" t="str">
        <f>H1576-F1576</f>
      </c>
      <c r="J1576" s="78" t="str">
        <f>G1576-E1576</f>
      </c>
    </row>
    <row r="1577">
      <c r="A1577" t="s">
        <v>244</v>
      </c>
      <c r="B1577" t="s">
        <v>246</v>
      </c>
      <c r="C1577" s="72" t="n">
        <v>2042</v>
      </c>
      <c r="D1577" t="s">
        <v>176</v>
      </c>
      <c r="E1577" s="73" t="n">
        <v>20241.4978665475</v>
      </c>
      <c r="F1577" s="74" t="n">
        <v>14292.2451741017</v>
      </c>
      <c r="G1577" s="75" t="n">
        <v>20222.2683991647</v>
      </c>
      <c r="H1577" s="76" t="n">
        <v>14284.6169088399</v>
      </c>
      <c r="I1577" s="77" t="str">
        <f>H1577-F1577</f>
      </c>
      <c r="J1577" s="78" t="str">
        <f>G1577-E1577</f>
      </c>
    </row>
    <row r="1578">
      <c r="A1578" t="s">
        <v>244</v>
      </c>
      <c r="B1578" t="s">
        <v>246</v>
      </c>
      <c r="C1578" s="72" t="n">
        <v>2042</v>
      </c>
      <c r="D1578" t="s">
        <v>238</v>
      </c>
      <c r="E1578" s="73" t="n">
        <v>1207231.11575821</v>
      </c>
      <c r="F1578" s="74" t="n">
        <v>265321.399030152</v>
      </c>
      <c r="G1578" s="75" t="n">
        <v>1206799.58929471</v>
      </c>
      <c r="H1578" s="76" t="n">
        <v>265289.409116733</v>
      </c>
      <c r="I1578" s="77" t="str">
        <f>H1578-F1578</f>
      </c>
      <c r="J1578" s="78" t="str">
        <f>G1578-E1578</f>
      </c>
    </row>
    <row r="1579">
      <c r="A1579" t="s">
        <v>244</v>
      </c>
      <c r="B1579" t="s">
        <v>246</v>
      </c>
      <c r="C1579" s="72" t="n">
        <v>2042</v>
      </c>
      <c r="D1579" t="s">
        <v>184</v>
      </c>
      <c r="E1579" s="73" t="n">
        <v>144365.400955796</v>
      </c>
      <c r="F1579" s="74" t="n">
        <v>97447.3216963241</v>
      </c>
      <c r="G1579" s="75" t="n">
        <v>144248.066926011</v>
      </c>
      <c r="H1579" s="76" t="n">
        <v>97406.1569770963</v>
      </c>
      <c r="I1579" s="77" t="str">
        <f>H1579-F1579</f>
      </c>
      <c r="J1579" s="78" t="str">
        <f>G1579-E1579</f>
      </c>
    </row>
    <row r="1580">
      <c r="A1580" t="s">
        <v>244</v>
      </c>
      <c r="B1580" t="s">
        <v>246</v>
      </c>
      <c r="C1580" s="72" t="n">
        <v>2042</v>
      </c>
      <c r="D1580" t="s">
        <v>187</v>
      </c>
      <c r="E1580" s="73" t="n">
        <v>464759.927798658</v>
      </c>
      <c r="F1580" s="74" t="n">
        <v>431595.947143425</v>
      </c>
      <c r="G1580" s="75" t="n">
        <v>464487.038990191</v>
      </c>
      <c r="H1580" s="76" t="n">
        <v>431397.042999706</v>
      </c>
      <c r="I1580" s="77" t="str">
        <f>H1580-F1580</f>
      </c>
      <c r="J1580" s="78" t="str">
        <f>G1580-E1580</f>
      </c>
    </row>
    <row r="1581">
      <c r="A1581" t="s">
        <v>244</v>
      </c>
      <c r="B1581" t="s">
        <v>246</v>
      </c>
      <c r="C1581" s="72" t="n">
        <v>2042</v>
      </c>
      <c r="D1581" t="s">
        <v>190</v>
      </c>
      <c r="E1581" s="73" t="n">
        <v>782608.964432373</v>
      </c>
      <c r="F1581" s="74" t="n">
        <v>495005.856661199</v>
      </c>
      <c r="G1581" s="75" t="n">
        <v>799225.499121645</v>
      </c>
      <c r="H1581" s="76" t="n">
        <v>503603.803809569</v>
      </c>
      <c r="I1581" s="77" t="str">
        <f>H1581-F1581</f>
      </c>
      <c r="J1581" s="78" t="str">
        <f>G1581-E1581</f>
      </c>
    </row>
    <row r="1582">
      <c r="A1582" t="s">
        <v>244</v>
      </c>
      <c r="B1582" t="s">
        <v>246</v>
      </c>
      <c r="C1582" s="72" t="n">
        <v>2042</v>
      </c>
      <c r="D1582" t="s">
        <v>193</v>
      </c>
      <c r="E1582" s="73" t="n">
        <v>613161.363108795</v>
      </c>
      <c r="F1582" s="74" t="n">
        <v>358109.865410024</v>
      </c>
      <c r="G1582" s="75" t="n">
        <v>612664.177038008</v>
      </c>
      <c r="H1582" s="76" t="n">
        <v>357930.939504437</v>
      </c>
      <c r="I1582" s="77" t="str">
        <f>H1582-F1582</f>
      </c>
      <c r="J1582" s="78" t="str">
        <f>G1582-E1582</f>
      </c>
    </row>
    <row r="1583">
      <c r="A1583" t="s">
        <v>244</v>
      </c>
      <c r="B1583" t="s">
        <v>246</v>
      </c>
      <c r="C1583" s="72" t="n">
        <v>2042</v>
      </c>
      <c r="D1583" t="s">
        <v>424</v>
      </c>
      <c r="E1583" s="73" t="n">
        <v>43281.3287782026</v>
      </c>
      <c r="F1583" s="74" t="n">
        <v>7616.68776502852</v>
      </c>
      <c r="G1583" s="75" t="n">
        <v>43278.7284816073</v>
      </c>
      <c r="H1583" s="76" t="n">
        <v>7616.59280355029</v>
      </c>
      <c r="I1583" s="77" t="str">
        <f>H1583-F1583</f>
      </c>
      <c r="J1583" s="78" t="str">
        <f>G1583-E1583</f>
      </c>
    </row>
    <row r="1584">
      <c r="A1584" t="s">
        <v>244</v>
      </c>
      <c r="B1584" t="s">
        <v>246</v>
      </c>
      <c r="C1584" s="72" t="n">
        <v>2043</v>
      </c>
      <c r="D1584" t="s">
        <v>176</v>
      </c>
      <c r="E1584" s="73" t="n">
        <v>20742.458319869</v>
      </c>
      <c r="F1584" s="74" t="n">
        <v>14581.7901380407</v>
      </c>
      <c r="G1584" s="75" t="n">
        <v>20720.5482054553</v>
      </c>
      <c r="H1584" s="76" t="n">
        <v>14572.8831532714</v>
      </c>
      <c r="I1584" s="77" t="str">
        <f>H1584-F1584</f>
      </c>
      <c r="J1584" s="78" t="str">
        <f>G1584-E1584</f>
      </c>
    </row>
    <row r="1585">
      <c r="A1585" t="s">
        <v>244</v>
      </c>
      <c r="B1585" t="s">
        <v>246</v>
      </c>
      <c r="C1585" s="72" t="n">
        <v>2043</v>
      </c>
      <c r="D1585" t="s">
        <v>238</v>
      </c>
      <c r="E1585" s="73" t="n">
        <v>1213529.51158853</v>
      </c>
      <c r="F1585" s="74" t="n">
        <v>272988.660319049</v>
      </c>
      <c r="G1585" s="75" t="n">
        <v>1213049.26096591</v>
      </c>
      <c r="H1585" s="76" t="n">
        <v>272950.435419178</v>
      </c>
      <c r="I1585" s="77" t="str">
        <f>H1585-F1585</f>
      </c>
      <c r="J1585" s="78" t="str">
        <f>G1585-E1585</f>
      </c>
    </row>
    <row r="1586">
      <c r="A1586" t="s">
        <v>244</v>
      </c>
      <c r="B1586" t="s">
        <v>246</v>
      </c>
      <c r="C1586" s="72" t="n">
        <v>2043</v>
      </c>
      <c r="D1586" t="s">
        <v>184</v>
      </c>
      <c r="E1586" s="73" t="n">
        <v>147125.887020957</v>
      </c>
      <c r="F1586" s="74" t="n">
        <v>99319.4110718274</v>
      </c>
      <c r="G1586" s="75" t="n">
        <v>146993.814208207</v>
      </c>
      <c r="H1586" s="76" t="n">
        <v>99271.3911680729</v>
      </c>
      <c r="I1586" s="77" t="str">
        <f>H1586-F1586</f>
      </c>
      <c r="J1586" s="78" t="str">
        <f>G1586-E1586</f>
      </c>
    </row>
    <row r="1587">
      <c r="A1587" t="s">
        <v>244</v>
      </c>
      <c r="B1587" t="s">
        <v>246</v>
      </c>
      <c r="C1587" s="72" t="n">
        <v>2043</v>
      </c>
      <c r="D1587" t="s">
        <v>187</v>
      </c>
      <c r="E1587" s="73" t="n">
        <v>471462.219234166</v>
      </c>
      <c r="F1587" s="74" t="n">
        <v>437907.772395862</v>
      </c>
      <c r="G1587" s="75" t="n">
        <v>471154.839580669</v>
      </c>
      <c r="H1587" s="76" t="n">
        <v>437679.988471842</v>
      </c>
      <c r="I1587" s="77" t="str">
        <f>H1587-F1587</f>
      </c>
      <c r="J1587" s="78" t="str">
        <f>G1587-E1587</f>
      </c>
    </row>
    <row r="1588">
      <c r="A1588" t="s">
        <v>244</v>
      </c>
      <c r="B1588" t="s">
        <v>246</v>
      </c>
      <c r="C1588" s="72" t="n">
        <v>2043</v>
      </c>
      <c r="D1588" t="s">
        <v>190</v>
      </c>
      <c r="E1588" s="73" t="n">
        <v>793257.993630927</v>
      </c>
      <c r="F1588" s="74" t="n">
        <v>503646.598040161</v>
      </c>
      <c r="G1588" s="75" t="n">
        <v>810014.772834319</v>
      </c>
      <c r="H1588" s="76" t="n">
        <v>512610.449179313</v>
      </c>
      <c r="I1588" s="77" t="str">
        <f>H1588-F1588</f>
      </c>
      <c r="J1588" s="78" t="str">
        <f>G1588-E1588</f>
      </c>
    </row>
    <row r="1589">
      <c r="A1589" t="s">
        <v>244</v>
      </c>
      <c r="B1589" t="s">
        <v>246</v>
      </c>
      <c r="C1589" s="72" t="n">
        <v>2043</v>
      </c>
      <c r="D1589" t="s">
        <v>193</v>
      </c>
      <c r="E1589" s="73" t="n">
        <v>624514.476562734</v>
      </c>
      <c r="F1589" s="74" t="n">
        <v>368168.905831817</v>
      </c>
      <c r="G1589" s="75" t="n">
        <v>623953.356494139</v>
      </c>
      <c r="H1589" s="76" t="n">
        <v>367959.059248153</v>
      </c>
      <c r="I1589" s="77" t="str">
        <f>H1589-F1589</f>
      </c>
      <c r="J1589" s="78" t="str">
        <f>G1589-E1589</f>
      </c>
    </row>
    <row r="1590">
      <c r="A1590" t="s">
        <v>244</v>
      </c>
      <c r="B1590" t="s">
        <v>246</v>
      </c>
      <c r="C1590" s="72" t="n">
        <v>2043</v>
      </c>
      <c r="D1590" t="s">
        <v>424</v>
      </c>
      <c r="E1590" s="73" t="n">
        <v>43235.029660649</v>
      </c>
      <c r="F1590" s="74" t="n">
        <v>7634.74926744138</v>
      </c>
      <c r="G1590" s="75" t="n">
        <v>43232.1385441846</v>
      </c>
      <c r="H1590" s="76" t="n">
        <v>7634.63809790975</v>
      </c>
      <c r="I1590" s="77" t="str">
        <f>H1590-F1590</f>
      </c>
      <c r="J1590" s="78" t="str">
        <f>G1590-E1590</f>
      </c>
    </row>
    <row r="1591">
      <c r="A1591" t="s">
        <v>244</v>
      </c>
      <c r="B1591" t="s">
        <v>246</v>
      </c>
      <c r="C1591" s="72" t="n">
        <v>2044</v>
      </c>
      <c r="D1591" t="s">
        <v>176</v>
      </c>
      <c r="E1591" s="73" t="n">
        <v>21245.0072656498</v>
      </c>
      <c r="F1591" s="74" t="n">
        <v>14871.7207391487</v>
      </c>
      <c r="G1591" s="75" t="n">
        <v>21220.2473713984</v>
      </c>
      <c r="H1591" s="76" t="n">
        <v>14861.4315691186</v>
      </c>
      <c r="I1591" s="77" t="str">
        <f>H1591-F1591</f>
      </c>
      <c r="J1591" s="78" t="str">
        <f>G1591-E1591</f>
      </c>
    </row>
    <row r="1592">
      <c r="A1592" t="s">
        <v>244</v>
      </c>
      <c r="B1592" t="s">
        <v>246</v>
      </c>
      <c r="C1592" s="72" t="n">
        <v>2044</v>
      </c>
      <c r="D1592" t="s">
        <v>238</v>
      </c>
      <c r="E1592" s="73" t="n">
        <v>1219518.0682229</v>
      </c>
      <c r="F1592" s="74" t="n">
        <v>280551.526188462</v>
      </c>
      <c r="G1592" s="75" t="n">
        <v>1218988.4670045</v>
      </c>
      <c r="H1592" s="76" t="n">
        <v>280506.441535508</v>
      </c>
      <c r="I1592" s="77" t="str">
        <f>H1592-F1592</f>
      </c>
      <c r="J1592" s="78" t="str">
        <f>G1592-E1592</f>
      </c>
    </row>
    <row r="1593">
      <c r="A1593" t="s">
        <v>244</v>
      </c>
      <c r="B1593" t="s">
        <v>246</v>
      </c>
      <c r="C1593" s="72" t="n">
        <v>2044</v>
      </c>
      <c r="D1593" t="s">
        <v>184</v>
      </c>
      <c r="E1593" s="73" t="n">
        <v>149843.635832214</v>
      </c>
      <c r="F1593" s="74" t="n">
        <v>101167.605862445</v>
      </c>
      <c r="G1593" s="75" t="n">
        <v>149696.213967301</v>
      </c>
      <c r="H1593" s="76" t="n">
        <v>101112.290089553</v>
      </c>
      <c r="I1593" s="77" t="str">
        <f>H1593-F1593</f>
      </c>
      <c r="J1593" s="78" t="str">
        <f>G1593-E1593</f>
      </c>
    </row>
    <row r="1594">
      <c r="A1594" t="s">
        <v>244</v>
      </c>
      <c r="B1594" t="s">
        <v>246</v>
      </c>
      <c r="C1594" s="72" t="n">
        <v>2044</v>
      </c>
      <c r="D1594" t="s">
        <v>187</v>
      </c>
      <c r="E1594" s="73" t="n">
        <v>477924.33456057</v>
      </c>
      <c r="F1594" s="74" t="n">
        <v>444058.543987432</v>
      </c>
      <c r="G1594" s="75" t="n">
        <v>477581.314836645</v>
      </c>
      <c r="H1594" s="76" t="n">
        <v>443800.637197395</v>
      </c>
      <c r="I1594" s="77" t="str">
        <f>H1594-F1594</f>
      </c>
      <c r="J1594" s="78" t="str">
        <f>G1594-E1594</f>
      </c>
    </row>
    <row r="1595">
      <c r="A1595" t="s">
        <v>244</v>
      </c>
      <c r="B1595" t="s">
        <v>246</v>
      </c>
      <c r="C1595" s="72" t="n">
        <v>2044</v>
      </c>
      <c r="D1595" t="s">
        <v>190</v>
      </c>
      <c r="E1595" s="73" t="n">
        <v>803847.342546256</v>
      </c>
      <c r="F1595" s="74" t="n">
        <v>512113.697391556</v>
      </c>
      <c r="G1595" s="75" t="n">
        <v>820742.370121934</v>
      </c>
      <c r="H1595" s="76" t="n">
        <v>521420.170330997</v>
      </c>
      <c r="I1595" s="77" t="str">
        <f>H1595-F1595</f>
      </c>
      <c r="J1595" s="78" t="str">
        <f>G1595-E1595</f>
      </c>
    </row>
    <row r="1596">
      <c r="A1596" t="s">
        <v>244</v>
      </c>
      <c r="B1596" t="s">
        <v>246</v>
      </c>
      <c r="C1596" s="72" t="n">
        <v>2044</v>
      </c>
      <c r="D1596" t="s">
        <v>193</v>
      </c>
      <c r="E1596" s="73" t="n">
        <v>635652.250402755</v>
      </c>
      <c r="F1596" s="74" t="n">
        <v>378162.065719171</v>
      </c>
      <c r="G1596" s="75" t="n">
        <v>635024.546467649</v>
      </c>
      <c r="H1596" s="76" t="n">
        <v>377918.589898958</v>
      </c>
      <c r="I1596" s="77" t="str">
        <f>H1596-F1596</f>
      </c>
      <c r="J1596" s="78" t="str">
        <f>G1596-E1596</f>
      </c>
    </row>
    <row r="1597">
      <c r="A1597" t="s">
        <v>244</v>
      </c>
      <c r="B1597" t="s">
        <v>246</v>
      </c>
      <c r="C1597" s="72" t="n">
        <v>2044</v>
      </c>
      <c r="D1597" t="s">
        <v>424</v>
      </c>
      <c r="E1597" s="73" t="n">
        <v>43205.8182875124</v>
      </c>
      <c r="F1597" s="74" t="n">
        <v>7652.85049582739</v>
      </c>
      <c r="G1597" s="75" t="n">
        <v>43202.6300388595</v>
      </c>
      <c r="H1597" s="76" t="n">
        <v>7652.72182573668</v>
      </c>
      <c r="I1597" s="77" t="str">
        <f>H1597-F1597</f>
      </c>
      <c r="J1597" s="78" t="str">
        <f>G1597-E1597</f>
      </c>
    </row>
    <row r="1598">
      <c r="A1598" t="s">
        <v>244</v>
      </c>
      <c r="B1598" t="s">
        <v>246</v>
      </c>
      <c r="C1598" s="72" t="n">
        <v>2045</v>
      </c>
      <c r="D1598" t="s">
        <v>176</v>
      </c>
      <c r="E1598" s="73" t="n">
        <v>21745.3842058404</v>
      </c>
      <c r="F1598" s="74" t="n">
        <v>15160.0712405082</v>
      </c>
      <c r="G1598" s="75" t="n">
        <v>21717.6165215297</v>
      </c>
      <c r="H1598" s="76" t="n">
        <v>15148.2979562423</v>
      </c>
      <c r="I1598" s="77" t="str">
        <f>H1598-F1598</f>
      </c>
      <c r="J1598" s="78" t="str">
        <f>G1598-E1598</f>
      </c>
    </row>
    <row r="1599">
      <c r="A1599" t="s">
        <v>244</v>
      </c>
      <c r="B1599" t="s">
        <v>246</v>
      </c>
      <c r="C1599" s="72" t="n">
        <v>2045</v>
      </c>
      <c r="D1599" t="s">
        <v>238</v>
      </c>
      <c r="E1599" s="73" t="n">
        <v>1225248.226136</v>
      </c>
      <c r="F1599" s="74" t="n">
        <v>287977.628437675</v>
      </c>
      <c r="G1599" s="75" t="n">
        <v>1224668.96644768</v>
      </c>
      <c r="H1599" s="76" t="n">
        <v>287925.043222784</v>
      </c>
      <c r="I1599" s="77" t="str">
        <f>H1599-F1599</f>
      </c>
      <c r="J1599" s="78" t="str">
        <f>G1599-E1599</f>
      </c>
    </row>
    <row r="1600">
      <c r="A1600" t="s">
        <v>244</v>
      </c>
      <c r="B1600" t="s">
        <v>246</v>
      </c>
      <c r="C1600" s="72" t="n">
        <v>2045</v>
      </c>
      <c r="D1600" t="s">
        <v>184</v>
      </c>
      <c r="E1600" s="73" t="n">
        <v>152501.401728109</v>
      </c>
      <c r="F1600" s="74" t="n">
        <v>102998.350951927</v>
      </c>
      <c r="G1600" s="75" t="n">
        <v>152338.052815886</v>
      </c>
      <c r="H1600" s="76" t="n">
        <v>102935.314985138</v>
      </c>
      <c r="I1600" s="77" t="str">
        <f>H1600-F1600</f>
      </c>
      <c r="J1600" s="78" t="str">
        <f>G1600-E1600</f>
      </c>
    </row>
    <row r="1601">
      <c r="A1601" t="s">
        <v>244</v>
      </c>
      <c r="B1601" t="s">
        <v>246</v>
      </c>
      <c r="C1601" s="72" t="n">
        <v>2045</v>
      </c>
      <c r="D1601" t="s">
        <v>187</v>
      </c>
      <c r="E1601" s="73" t="n">
        <v>484103.05583912</v>
      </c>
      <c r="F1601" s="74" t="n">
        <v>450006.603484139</v>
      </c>
      <c r="G1601" s="75" t="n">
        <v>483723.516122198</v>
      </c>
      <c r="H1601" s="76" t="n">
        <v>449717.558047709</v>
      </c>
      <c r="I1601" s="77" t="str">
        <f>H1601-F1601</f>
      </c>
      <c r="J1601" s="78" t="str">
        <f>G1601-E1601</f>
      </c>
    </row>
    <row r="1602">
      <c r="A1602" t="s">
        <v>244</v>
      </c>
      <c r="B1602" t="s">
        <v>246</v>
      </c>
      <c r="C1602" s="72" t="n">
        <v>2045</v>
      </c>
      <c r="D1602" t="s">
        <v>190</v>
      </c>
      <c r="E1602" s="73" t="n">
        <v>814438.189186518</v>
      </c>
      <c r="F1602" s="74" t="n">
        <v>520367.607447375</v>
      </c>
      <c r="G1602" s="75" t="n">
        <v>831470.210098177</v>
      </c>
      <c r="H1602" s="76" t="n">
        <v>529994.226959208</v>
      </c>
      <c r="I1602" s="77" t="str">
        <f>H1602-F1602</f>
      </c>
      <c r="J1602" s="78" t="str">
        <f>G1602-E1602</f>
      </c>
    </row>
    <row r="1603">
      <c r="A1603" t="s">
        <v>244</v>
      </c>
      <c r="B1603" t="s">
        <v>246</v>
      </c>
      <c r="C1603" s="72" t="n">
        <v>2045</v>
      </c>
      <c r="D1603" t="s">
        <v>193</v>
      </c>
      <c r="E1603" s="73" t="n">
        <v>646427.067100086</v>
      </c>
      <c r="F1603" s="74" t="n">
        <v>388030.506710305</v>
      </c>
      <c r="G1603" s="75" t="n">
        <v>645730.44769896</v>
      </c>
      <c r="H1603" s="76" t="n">
        <v>387750.678781898</v>
      </c>
      <c r="I1603" s="77" t="str">
        <f>H1603-F1603</f>
      </c>
      <c r="J1603" s="78" t="str">
        <f>G1603-E1603</f>
      </c>
    </row>
    <row r="1604">
      <c r="A1604" t="s">
        <v>244</v>
      </c>
      <c r="B1604" t="s">
        <v>246</v>
      </c>
      <c r="C1604" s="72" t="n">
        <v>2045</v>
      </c>
      <c r="D1604" t="s">
        <v>424</v>
      </c>
      <c r="E1604" s="73" t="n">
        <v>43194.0947189475</v>
      </c>
      <c r="F1604" s="74" t="n">
        <v>7672.21573346017</v>
      </c>
      <c r="G1604" s="75" t="n">
        <v>43190.6037513161</v>
      </c>
      <c r="H1604" s="76" t="n">
        <v>7672.06822678464</v>
      </c>
      <c r="I1604" s="77" t="str">
        <f>H1604-F1604</f>
      </c>
      <c r="J1604" s="78" t="str">
        <f>G1604-E1604</f>
      </c>
    </row>
    <row r="1605">
      <c r="A1605" t="s">
        <v>244</v>
      </c>
      <c r="B1605" t="s">
        <v>246</v>
      </c>
      <c r="C1605" s="72" t="n">
        <v>2046</v>
      </c>
      <c r="D1605" t="s">
        <v>176</v>
      </c>
      <c r="E1605" s="73" t="n">
        <v>22241.8955848239</v>
      </c>
      <c r="F1605" s="74" t="n">
        <v>15450.2563872081</v>
      </c>
      <c r="G1605" s="75" t="n">
        <v>22210.9745219107</v>
      </c>
      <c r="H1605" s="76" t="n">
        <v>15436.8918612077</v>
      </c>
      <c r="I1605" s="77" t="str">
        <f>H1605-F1605</f>
      </c>
      <c r="J1605" s="78" t="str">
        <f>G1605-E1605</f>
      </c>
    </row>
    <row r="1606">
      <c r="A1606" t="s">
        <v>244</v>
      </c>
      <c r="B1606" t="s">
        <v>246</v>
      </c>
      <c r="C1606" s="72" t="n">
        <v>2046</v>
      </c>
      <c r="D1606" t="s">
        <v>238</v>
      </c>
      <c r="E1606" s="73" t="n">
        <v>1230754.00553979</v>
      </c>
      <c r="F1606" s="74" t="n">
        <v>295226.626263682</v>
      </c>
      <c r="G1606" s="75" t="n">
        <v>1230125.0687767</v>
      </c>
      <c r="H1606" s="76" t="n">
        <v>295165.877208802</v>
      </c>
      <c r="I1606" s="77" t="str">
        <f>H1606-F1606</f>
      </c>
      <c r="J1606" s="78" t="str">
        <f>G1606-E1606</f>
      </c>
    </row>
    <row r="1607">
      <c r="A1607" t="s">
        <v>244</v>
      </c>
      <c r="B1607" t="s">
        <v>246</v>
      </c>
      <c r="C1607" s="72" t="n">
        <v>2046</v>
      </c>
      <c r="D1607" t="s">
        <v>184</v>
      </c>
      <c r="E1607" s="73" t="n">
        <v>155099.024557677</v>
      </c>
      <c r="F1607" s="74" t="n">
        <v>104802.296427569</v>
      </c>
      <c r="G1607" s="75" t="n">
        <v>154919.185199882</v>
      </c>
      <c r="H1607" s="76" t="n">
        <v>104731.133984312</v>
      </c>
      <c r="I1607" s="77" t="str">
        <f>H1607-F1607</f>
      </c>
      <c r="J1607" s="78" t="str">
        <f>G1607-E1607</f>
      </c>
    </row>
    <row r="1608">
      <c r="A1608" t="s">
        <v>244</v>
      </c>
      <c r="B1608" t="s">
        <v>246</v>
      </c>
      <c r="C1608" s="72" t="n">
        <v>2046</v>
      </c>
      <c r="D1608" t="s">
        <v>187</v>
      </c>
      <c r="E1608" s="73" t="n">
        <v>489976.268185812</v>
      </c>
      <c r="F1608" s="74" t="n">
        <v>455630.982462133</v>
      </c>
      <c r="G1608" s="75" t="n">
        <v>489559.569488497</v>
      </c>
      <c r="H1608" s="76" t="n">
        <v>455310.080020589</v>
      </c>
      <c r="I1608" s="77" t="str">
        <f>H1608-F1608</f>
      </c>
      <c r="J1608" s="78" t="str">
        <f>G1608-E1608</f>
      </c>
    </row>
    <row r="1609">
      <c r="A1609" t="s">
        <v>244</v>
      </c>
      <c r="B1609" t="s">
        <v>246</v>
      </c>
      <c r="C1609" s="72" t="n">
        <v>2046</v>
      </c>
      <c r="D1609" t="s">
        <v>190</v>
      </c>
      <c r="E1609" s="73" t="n">
        <v>824858.356715481</v>
      </c>
      <c r="F1609" s="74" t="n">
        <v>528512.964943029</v>
      </c>
      <c r="G1609" s="75" t="n">
        <v>842022.211146035</v>
      </c>
      <c r="H1609" s="76" t="n">
        <v>538440.168228285</v>
      </c>
      <c r="I1609" s="77" t="str">
        <f>H1609-F1609</f>
      </c>
      <c r="J1609" s="78" t="str">
        <f>G1609-E1609</f>
      </c>
    </row>
    <row r="1610">
      <c r="A1610" t="s">
        <v>244</v>
      </c>
      <c r="B1610" t="s">
        <v>246</v>
      </c>
      <c r="C1610" s="72" t="n">
        <v>2046</v>
      </c>
      <c r="D1610" t="s">
        <v>193</v>
      </c>
      <c r="E1610" s="73" t="n">
        <v>656790.985491303</v>
      </c>
      <c r="F1610" s="74" t="n">
        <v>397750.894654856</v>
      </c>
      <c r="G1610" s="75" t="n">
        <v>656023.203848247</v>
      </c>
      <c r="H1610" s="76" t="n">
        <v>397431.950602612</v>
      </c>
      <c r="I1610" s="77" t="str">
        <f>H1610-F1610</f>
      </c>
      <c r="J1610" s="78" t="str">
        <f>G1610-E1610</f>
      </c>
    </row>
    <row r="1611">
      <c r="A1611" t="s">
        <v>244</v>
      </c>
      <c r="B1611" t="s">
        <v>246</v>
      </c>
      <c r="C1611" s="72" t="n">
        <v>2046</v>
      </c>
      <c r="D1611" t="s">
        <v>424</v>
      </c>
      <c r="E1611" s="73" t="n">
        <v>43200.1096089658</v>
      </c>
      <c r="F1611" s="74" t="n">
        <v>7693.72475023856</v>
      </c>
      <c r="G1611" s="75" t="n">
        <v>43196.3103231123</v>
      </c>
      <c r="H1611" s="76" t="n">
        <v>7693.55704865625</v>
      </c>
      <c r="I1611" s="77" t="str">
        <f>H1611-F1611</f>
      </c>
      <c r="J1611" s="78" t="str">
        <f>G1611-E1611</f>
      </c>
    </row>
    <row r="1612">
      <c r="A1612" t="s">
        <v>244</v>
      </c>
      <c r="B1612" t="s">
        <v>246</v>
      </c>
      <c r="C1612" s="72" t="n">
        <v>2047</v>
      </c>
      <c r="D1612" t="s">
        <v>176</v>
      </c>
      <c r="E1612" s="73" t="n">
        <v>22733.8872444074</v>
      </c>
      <c r="F1612" s="74" t="n">
        <v>15743.5487608006</v>
      </c>
      <c r="G1612" s="75" t="n">
        <v>22699.6629629007</v>
      </c>
      <c r="H1612" s="76" t="n">
        <v>15728.4854947303</v>
      </c>
      <c r="I1612" s="77" t="str">
        <f>H1612-F1612</f>
      </c>
      <c r="J1612" s="78" t="str">
        <f>G1612-E1612</f>
      </c>
    </row>
    <row r="1613">
      <c r="A1613" t="s">
        <v>244</v>
      </c>
      <c r="B1613" t="s">
        <v>246</v>
      </c>
      <c r="C1613" s="72" t="n">
        <v>2047</v>
      </c>
      <c r="D1613" t="s">
        <v>238</v>
      </c>
      <c r="E1613" s="73" t="n">
        <v>1235953.13674507</v>
      </c>
      <c r="F1613" s="74" t="n">
        <v>302250.129325708</v>
      </c>
      <c r="G1613" s="75" t="n">
        <v>1235274.66521773</v>
      </c>
      <c r="H1613" s="76" t="n">
        <v>302180.550312501</v>
      </c>
      <c r="I1613" s="77" t="str">
        <f>H1613-F1613</f>
      </c>
      <c r="J1613" s="78" t="str">
        <f>G1613-E1613</f>
      </c>
    </row>
    <row r="1614">
      <c r="A1614" t="s">
        <v>244</v>
      </c>
      <c r="B1614" t="s">
        <v>246</v>
      </c>
      <c r="C1614" s="72" t="n">
        <v>2047</v>
      </c>
      <c r="D1614" t="s">
        <v>184</v>
      </c>
      <c r="E1614" s="73" t="n">
        <v>157632.84542215</v>
      </c>
      <c r="F1614" s="74" t="n">
        <v>106567.351727924</v>
      </c>
      <c r="G1614" s="75" t="n">
        <v>157435.937342911</v>
      </c>
      <c r="H1614" s="76" t="n">
        <v>106487.677760342</v>
      </c>
      <c r="I1614" s="77" t="str">
        <f>H1614-F1614</f>
      </c>
      <c r="J1614" s="78" t="str">
        <f>G1614-E1614</f>
      </c>
    </row>
    <row r="1615">
      <c r="A1615" t="s">
        <v>244</v>
      </c>
      <c r="B1615" t="s">
        <v>246</v>
      </c>
      <c r="C1615" s="72" t="n">
        <v>2047</v>
      </c>
      <c r="D1615" t="s">
        <v>187</v>
      </c>
      <c r="E1615" s="73" t="n">
        <v>495501.795703535</v>
      </c>
      <c r="F1615" s="74" t="n">
        <v>460892.763941466</v>
      </c>
      <c r="G1615" s="75" t="n">
        <v>495047.331680699</v>
      </c>
      <c r="H1615" s="76" t="n">
        <v>460539.427749469</v>
      </c>
      <c r="I1615" s="77" t="str">
        <f>H1615-F1615</f>
      </c>
      <c r="J1615" s="78" t="str">
        <f>G1615-E1615</f>
      </c>
    </row>
    <row r="1616">
      <c r="A1616" t="s">
        <v>244</v>
      </c>
      <c r="B1616" t="s">
        <v>246</v>
      </c>
      <c r="C1616" s="72" t="n">
        <v>2047</v>
      </c>
      <c r="D1616" t="s">
        <v>190</v>
      </c>
      <c r="E1616" s="73" t="n">
        <v>835066.920201038</v>
      </c>
      <c r="F1616" s="74" t="n">
        <v>536681.422672561</v>
      </c>
      <c r="G1616" s="75" t="n">
        <v>852357.036896631</v>
      </c>
      <c r="H1616" s="76" t="n">
        <v>546892.884748123</v>
      </c>
      <c r="I1616" s="77" t="str">
        <f>H1616-F1616</f>
      </c>
      <c r="J1616" s="78" t="str">
        <f>G1616-E1616</f>
      </c>
    </row>
    <row r="1617">
      <c r="A1617" t="s">
        <v>244</v>
      </c>
      <c r="B1617" t="s">
        <v>246</v>
      </c>
      <c r="C1617" s="72" t="n">
        <v>2047</v>
      </c>
      <c r="D1617" t="s">
        <v>193</v>
      </c>
      <c r="E1617" s="73" t="n">
        <v>666801.645299906</v>
      </c>
      <c r="F1617" s="74" t="n">
        <v>407299.24716412</v>
      </c>
      <c r="G1617" s="75" t="n">
        <v>665960.530537607</v>
      </c>
      <c r="H1617" s="76" t="n">
        <v>406938.309858621</v>
      </c>
      <c r="I1617" s="77" t="str">
        <f>H1617-F1617</f>
      </c>
      <c r="J1617" s="78" t="str">
        <f>G1617-E1617</f>
      </c>
    </row>
    <row r="1618">
      <c r="A1618" t="s">
        <v>244</v>
      </c>
      <c r="B1618" t="s">
        <v>246</v>
      </c>
      <c r="C1618" s="72" t="n">
        <v>2047</v>
      </c>
      <c r="D1618" t="s">
        <v>424</v>
      </c>
      <c r="E1618" s="73" t="n">
        <v>43221.7482559907</v>
      </c>
      <c r="F1618" s="74" t="n">
        <v>7716.45383333941</v>
      </c>
      <c r="G1618" s="75" t="n">
        <v>43217.6341923504</v>
      </c>
      <c r="H1618" s="76" t="n">
        <v>7716.26452507886</v>
      </c>
      <c r="I1618" s="77" t="str">
        <f>H1618-F1618</f>
      </c>
      <c r="J1618" s="78" t="str">
        <f>G1618-E1618</f>
      </c>
    </row>
    <row r="1619">
      <c r="A1619" t="s">
        <v>244</v>
      </c>
      <c r="B1619" t="s">
        <v>246</v>
      </c>
      <c r="C1619" s="72" t="n">
        <v>2048</v>
      </c>
      <c r="D1619" t="s">
        <v>176</v>
      </c>
      <c r="E1619" s="73" t="n">
        <v>23217.457047007</v>
      </c>
      <c r="F1619" s="74" t="n">
        <v>16042.0792356365</v>
      </c>
      <c r="G1619" s="75" t="n">
        <v>23179.7775298232</v>
      </c>
      <c r="H1619" s="76" t="n">
        <v>16025.2187605858</v>
      </c>
      <c r="I1619" s="77" t="str">
        <f>H1619-F1619</f>
      </c>
      <c r="J1619" s="78" t="str">
        <f>G1619-E1619</f>
      </c>
    </row>
    <row r="1620">
      <c r="A1620" t="s">
        <v>244</v>
      </c>
      <c r="B1620" t="s">
        <v>246</v>
      </c>
      <c r="C1620" s="72" t="n">
        <v>2048</v>
      </c>
      <c r="D1620" t="s">
        <v>238</v>
      </c>
      <c r="E1620" s="73" t="n">
        <v>1240936.88915122</v>
      </c>
      <c r="F1620" s="74" t="n">
        <v>309043.368849132</v>
      </c>
      <c r="G1620" s="75" t="n">
        <v>1240209.10376068</v>
      </c>
      <c r="H1620" s="76" t="n">
        <v>308964.310377282</v>
      </c>
      <c r="I1620" s="77" t="str">
        <f>H1620-F1620</f>
      </c>
      <c r="J1620" s="78" t="str">
        <f>G1620-E1620</f>
      </c>
    </row>
    <row r="1621">
      <c r="A1621" t="s">
        <v>244</v>
      </c>
      <c r="B1621" t="s">
        <v>246</v>
      </c>
      <c r="C1621" s="72" t="n">
        <v>2048</v>
      </c>
      <c r="D1621" t="s">
        <v>184</v>
      </c>
      <c r="E1621" s="73" t="n">
        <v>160091.612681313</v>
      </c>
      <c r="F1621" s="74" t="n">
        <v>108293.870509786</v>
      </c>
      <c r="G1621" s="75" t="n">
        <v>159877.069557409</v>
      </c>
      <c r="H1621" s="76" t="n">
        <v>108205.309376064</v>
      </c>
      <c r="I1621" s="77" t="str">
        <f>H1621-F1621</f>
      </c>
      <c r="J1621" s="78" t="str">
        <f>G1621-E1621</f>
      </c>
    </row>
    <row r="1622">
      <c r="A1622" t="s">
        <v>244</v>
      </c>
      <c r="B1622" t="s">
        <v>246</v>
      </c>
      <c r="C1622" s="72" t="n">
        <v>2048</v>
      </c>
      <c r="D1622" t="s">
        <v>187</v>
      </c>
      <c r="E1622" s="73" t="n">
        <v>500744.797363601</v>
      </c>
      <c r="F1622" s="74" t="n">
        <v>465944.819283992</v>
      </c>
      <c r="G1622" s="75" t="n">
        <v>500251.963676638</v>
      </c>
      <c r="H1622" s="76" t="n">
        <v>465558.478994868</v>
      </c>
      <c r="I1622" s="77" t="str">
        <f>H1622-F1622</f>
      </c>
      <c r="J1622" s="78" t="str">
        <f>G1622-E1622</f>
      </c>
    </row>
    <row r="1623">
      <c r="A1623" t="s">
        <v>244</v>
      </c>
      <c r="B1623" t="s">
        <v>246</v>
      </c>
      <c r="C1623" s="72" t="n">
        <v>2048</v>
      </c>
      <c r="D1623" t="s">
        <v>190</v>
      </c>
      <c r="E1623" s="73" t="n">
        <v>845011.47213329</v>
      </c>
      <c r="F1623" s="74" t="n">
        <v>544741.268709624</v>
      </c>
      <c r="G1623" s="75" t="n">
        <v>862421.197666068</v>
      </c>
      <c r="H1623" s="76" t="n">
        <v>555219.254274076</v>
      </c>
      <c r="I1623" s="77" t="str">
        <f>H1623-F1623</f>
      </c>
      <c r="J1623" s="78" t="str">
        <f>G1623-E1623</f>
      </c>
    </row>
    <row r="1624">
      <c r="A1624" t="s">
        <v>244</v>
      </c>
      <c r="B1624" t="s">
        <v>246</v>
      </c>
      <c r="C1624" s="72" t="n">
        <v>2048</v>
      </c>
      <c r="D1624" t="s">
        <v>193</v>
      </c>
      <c r="E1624" s="73" t="n">
        <v>676454.345344818</v>
      </c>
      <c r="F1624" s="74" t="n">
        <v>416626.963612456</v>
      </c>
      <c r="G1624" s="75" t="n">
        <v>675538.067131439</v>
      </c>
      <c r="H1624" s="76" t="n">
        <v>416221.145643516</v>
      </c>
      <c r="I1624" s="77" t="str">
        <f>H1624-F1624</f>
      </c>
      <c r="J1624" s="78" t="str">
        <f>G1624-E1624</f>
      </c>
    </row>
    <row r="1625">
      <c r="A1625" t="s">
        <v>244</v>
      </c>
      <c r="B1625" t="s">
        <v>246</v>
      </c>
      <c r="C1625" s="72" t="n">
        <v>2048</v>
      </c>
      <c r="D1625" t="s">
        <v>424</v>
      </c>
      <c r="E1625" s="73" t="n">
        <v>43251.5516672163</v>
      </c>
      <c r="F1625" s="74" t="n">
        <v>7741.18067577085</v>
      </c>
      <c r="G1625" s="75" t="n">
        <v>43247.1165682685</v>
      </c>
      <c r="H1625" s="76" t="n">
        <v>7740.96823230914</v>
      </c>
      <c r="I1625" s="77" t="str">
        <f>H1625-F1625</f>
      </c>
      <c r="J1625" s="78" t="str">
        <f>G1625-E1625</f>
      </c>
    </row>
    <row r="1626">
      <c r="A1626" t="s">
        <v>244</v>
      </c>
      <c r="B1626" t="s">
        <v>246</v>
      </c>
      <c r="C1626" s="72" t="n">
        <v>2049</v>
      </c>
      <c r="D1626" t="s">
        <v>176</v>
      </c>
      <c r="E1626" s="73" t="n">
        <v>23691.6444219226</v>
      </c>
      <c r="F1626" s="74" t="n">
        <v>16341.3680788324</v>
      </c>
      <c r="G1626" s="75" t="n">
        <v>23650.3614840449</v>
      </c>
      <c r="H1626" s="76" t="n">
        <v>16322.61151708</v>
      </c>
      <c r="I1626" s="77" t="str">
        <f>H1626-F1626</f>
      </c>
      <c r="J1626" s="78" t="str">
        <f>G1626-E1626</f>
      </c>
    </row>
    <row r="1627">
      <c r="A1627" t="s">
        <v>244</v>
      </c>
      <c r="B1627" t="s">
        <v>246</v>
      </c>
      <c r="C1627" s="72" t="n">
        <v>2049</v>
      </c>
      <c r="D1627" t="s">
        <v>238</v>
      </c>
      <c r="E1627" s="73" t="n">
        <v>1245735.23120812</v>
      </c>
      <c r="F1627" s="74" t="n">
        <v>315617.821103352</v>
      </c>
      <c r="G1627" s="75" t="n">
        <v>1244958.37630862</v>
      </c>
      <c r="H1627" s="76" t="n">
        <v>315528.654574656</v>
      </c>
      <c r="I1627" s="77" t="str">
        <f>H1627-F1627</f>
      </c>
      <c r="J1627" s="78" t="str">
        <f>G1627-E1627</f>
      </c>
    </row>
    <row r="1628">
      <c r="A1628" t="s">
        <v>244</v>
      </c>
      <c r="B1628" t="s">
        <v>246</v>
      </c>
      <c r="C1628" s="72" t="n">
        <v>2049</v>
      </c>
      <c r="D1628" t="s">
        <v>184</v>
      </c>
      <c r="E1628" s="73" t="n">
        <v>162470.846243412</v>
      </c>
      <c r="F1628" s="74" t="n">
        <v>109980.185348065</v>
      </c>
      <c r="G1628" s="75" t="n">
        <v>162238.134685625</v>
      </c>
      <c r="H1628" s="76" t="n">
        <v>109882.371148655</v>
      </c>
      <c r="I1628" s="77" t="str">
        <f>H1628-F1628</f>
      </c>
      <c r="J1628" s="78" t="str">
        <f>G1628-E1628</f>
      </c>
    </row>
    <row r="1629">
      <c r="A1629" t="s">
        <v>244</v>
      </c>
      <c r="B1629" t="s">
        <v>246</v>
      </c>
      <c r="C1629" s="72" t="n">
        <v>2049</v>
      </c>
      <c r="D1629" t="s">
        <v>187</v>
      </c>
      <c r="E1629" s="73" t="n">
        <v>505747.689524023</v>
      </c>
      <c r="F1629" s="74" t="n">
        <v>470803.758972627</v>
      </c>
      <c r="G1629" s="75" t="n">
        <v>505215.900508139</v>
      </c>
      <c r="H1629" s="76" t="n">
        <v>470383.880162835</v>
      </c>
      <c r="I1629" s="77" t="str">
        <f>H1629-F1629</f>
      </c>
      <c r="J1629" s="78" t="str">
        <f>G1629-E1629</f>
      </c>
    </row>
    <row r="1630">
      <c r="A1630" t="s">
        <v>244</v>
      </c>
      <c r="B1630" t="s">
        <v>246</v>
      </c>
      <c r="C1630" s="72" t="n">
        <v>2049</v>
      </c>
      <c r="D1630" t="s">
        <v>190</v>
      </c>
      <c r="E1630" s="73" t="n">
        <v>854520.296360905</v>
      </c>
      <c r="F1630" s="74" t="n">
        <v>552612.047697743</v>
      </c>
      <c r="G1630" s="75" t="n">
        <v>872039.412561908</v>
      </c>
      <c r="H1630" s="76" t="n">
        <v>563337.765593671</v>
      </c>
      <c r="I1630" s="77" t="str">
        <f>H1630-F1630</f>
      </c>
      <c r="J1630" s="78" t="str">
        <f>G1630-E1630</f>
      </c>
    </row>
    <row r="1631">
      <c r="A1631" t="s">
        <v>244</v>
      </c>
      <c r="B1631" t="s">
        <v>246</v>
      </c>
      <c r="C1631" s="72" t="n">
        <v>2049</v>
      </c>
      <c r="D1631" t="s">
        <v>193</v>
      </c>
      <c r="E1631" s="73" t="n">
        <v>685792.480713448</v>
      </c>
      <c r="F1631" s="74" t="n">
        <v>425664.744887082</v>
      </c>
      <c r="G1631" s="75" t="n">
        <v>684799.519243418</v>
      </c>
      <c r="H1631" s="76" t="n">
        <v>425211.294806661</v>
      </c>
      <c r="I1631" s="77" t="str">
        <f>H1631-F1631</f>
      </c>
      <c r="J1631" s="78" t="str">
        <f>G1631-E1631</f>
      </c>
    </row>
    <row r="1632">
      <c r="A1632" t="s">
        <v>244</v>
      </c>
      <c r="B1632" t="s">
        <v>246</v>
      </c>
      <c r="C1632" s="72" t="n">
        <v>2049</v>
      </c>
      <c r="D1632" t="s">
        <v>424</v>
      </c>
      <c r="E1632" s="73" t="n">
        <v>43292.4560975165</v>
      </c>
      <c r="F1632" s="74" t="n">
        <v>7764.66226346014</v>
      </c>
      <c r="G1632" s="75" t="n">
        <v>43287.6941181752</v>
      </c>
      <c r="H1632" s="76" t="n">
        <v>7764.42505773382</v>
      </c>
      <c r="I1632" s="77" t="str">
        <f>H1632-F1632</f>
      </c>
      <c r="J1632" s="78" t="str">
        <f>G1632-E1632</f>
      </c>
    </row>
    <row r="1633">
      <c r="A1633" t="s">
        <v>244</v>
      </c>
      <c r="B1633" t="s">
        <v>246</v>
      </c>
      <c r="C1633" s="72" t="n">
        <v>2050</v>
      </c>
      <c r="D1633" t="s">
        <v>176</v>
      </c>
      <c r="E1633" s="73" t="n">
        <v>24155.4572154584</v>
      </c>
      <c r="F1633" s="74" t="n">
        <v>16639.6719468893</v>
      </c>
      <c r="G1633" s="75" t="n">
        <v>24110.4306261692</v>
      </c>
      <c r="H1633" s="76" t="n">
        <v>16618.9237091261</v>
      </c>
      <c r="I1633" s="77" t="str">
        <f>H1633-F1633</f>
      </c>
      <c r="J1633" s="78" t="str">
        <f>G1633-E1633</f>
      </c>
    </row>
    <row r="1634">
      <c r="A1634" t="s">
        <v>244</v>
      </c>
      <c r="B1634" t="s">
        <v>246</v>
      </c>
      <c r="C1634" s="72" t="n">
        <v>2050</v>
      </c>
      <c r="D1634" t="s">
        <v>238</v>
      </c>
      <c r="E1634" s="73" t="n">
        <v>1250400.59579974</v>
      </c>
      <c r="F1634" s="74" t="n">
        <v>321966.016555031</v>
      </c>
      <c r="G1634" s="75" t="n">
        <v>1249574.98129843</v>
      </c>
      <c r="H1634" s="76" t="n">
        <v>321866.145423905</v>
      </c>
      <c r="I1634" s="77" t="str">
        <f>H1634-F1634</f>
      </c>
      <c r="J1634" s="78" t="str">
        <f>G1634-E1634</f>
      </c>
    </row>
    <row r="1635">
      <c r="A1635" t="s">
        <v>244</v>
      </c>
      <c r="B1635" t="s">
        <v>246</v>
      </c>
      <c r="C1635" s="72" t="n">
        <v>2050</v>
      </c>
      <c r="D1635" t="s">
        <v>184</v>
      </c>
      <c r="E1635" s="73" t="n">
        <v>164778.333090507</v>
      </c>
      <c r="F1635" s="74" t="n">
        <v>111603.661887324</v>
      </c>
      <c r="G1635" s="75" t="n">
        <v>164526.94959842</v>
      </c>
      <c r="H1635" s="76" t="n">
        <v>111496.260054028</v>
      </c>
      <c r="I1635" s="77" t="str">
        <f>H1635-F1635</f>
      </c>
      <c r="J1635" s="78" t="str">
        <f>G1635-E1635</f>
      </c>
    </row>
    <row r="1636">
      <c r="A1636" t="s">
        <v>244</v>
      </c>
      <c r="B1636" t="s">
        <v>246</v>
      </c>
      <c r="C1636" s="72" t="n">
        <v>2050</v>
      </c>
      <c r="D1636" t="s">
        <v>187</v>
      </c>
      <c r="E1636" s="73" t="n">
        <v>510495.06389352</v>
      </c>
      <c r="F1636" s="74" t="n">
        <v>475347.125984847</v>
      </c>
      <c r="G1636" s="75" t="n">
        <v>509923.794653266</v>
      </c>
      <c r="H1636" s="76" t="n">
        <v>474893.254554943</v>
      </c>
      <c r="I1636" s="77" t="str">
        <f>H1636-F1636</f>
      </c>
      <c r="J1636" s="78" t="str">
        <f>G1636-E1636</f>
      </c>
    </row>
    <row r="1637">
      <c r="A1637" t="s">
        <v>244</v>
      </c>
      <c r="B1637" t="s">
        <v>246</v>
      </c>
      <c r="C1637" s="72" t="n">
        <v>2050</v>
      </c>
      <c r="D1637" t="s">
        <v>190</v>
      </c>
      <c r="E1637" s="73" t="n">
        <v>863601.364363136</v>
      </c>
      <c r="F1637" s="74" t="n">
        <v>560348.282732526</v>
      </c>
      <c r="G1637" s="75" t="n">
        <v>881220.210178615</v>
      </c>
      <c r="H1637" s="76" t="n">
        <v>571305.130665456</v>
      </c>
      <c r="I1637" s="77" t="str">
        <f>H1637-F1637</f>
      </c>
      <c r="J1637" s="78" t="str">
        <f>G1637-E1637</f>
      </c>
    </row>
    <row r="1638">
      <c r="A1638" t="s">
        <v>244</v>
      </c>
      <c r="B1638" t="s">
        <v>246</v>
      </c>
      <c r="C1638" s="72" t="n">
        <v>2050</v>
      </c>
      <c r="D1638" t="s">
        <v>193</v>
      </c>
      <c r="E1638" s="73" t="n">
        <v>694904.158461918</v>
      </c>
      <c r="F1638" s="74" t="n">
        <v>434431.711375843</v>
      </c>
      <c r="G1638" s="75" t="n">
        <v>693833.375810026</v>
      </c>
      <c r="H1638" s="76" t="n">
        <v>433928.116842437</v>
      </c>
      <c r="I1638" s="77" t="str">
        <f>H1638-F1638</f>
      </c>
      <c r="J1638" s="78" t="str">
        <f>G1638-E1638</f>
      </c>
    </row>
    <row r="1639">
      <c r="A1639" t="s">
        <v>244</v>
      </c>
      <c r="B1639" t="s">
        <v>246</v>
      </c>
      <c r="C1639" s="72" t="n">
        <v>2050</v>
      </c>
      <c r="D1639" t="s">
        <v>424</v>
      </c>
      <c r="E1639" s="73" t="n">
        <v>43342.4278401236</v>
      </c>
      <c r="F1639" s="74" t="n">
        <v>7785.85614677183</v>
      </c>
      <c r="G1639" s="75" t="n">
        <v>43337.3340718481</v>
      </c>
      <c r="H1639" s="76" t="n">
        <v>7785.59251624651</v>
      </c>
      <c r="I1639" s="77" t="str">
        <f>H1639-F1639</f>
      </c>
      <c r="J1639" s="78" t="str">
        <f>G1639-E1639</f>
      </c>
    </row>
    <row r="1640">
      <c r="A1640" t="s">
        <v>263</v>
      </c>
      <c r="B1640" t="s">
        <v>426</v>
      </c>
      <c r="C1640" s="72" t="n">
        <v>2025</v>
      </c>
      <c r="D1640" t="s">
        <v>176</v>
      </c>
      <c r="E1640" s="73" t="n">
        <v>12347.3896757033</v>
      </c>
      <c r="F1640" s="74" t="n">
        <v>8975.30849722876</v>
      </c>
      <c r="G1640" s="75" t="n">
        <v>12347.3896757033</v>
      </c>
      <c r="H1640" s="76" t="n">
        <v>8975.30849722876</v>
      </c>
      <c r="I1640" s="77" t="str">
        <f>H1640-F1640</f>
      </c>
      <c r="J1640" s="78" t="str">
        <f>G1640-E1640</f>
      </c>
    </row>
    <row r="1641">
      <c r="A1641" t="s">
        <v>263</v>
      </c>
      <c r="B1641" t="s">
        <v>426</v>
      </c>
      <c r="C1641" s="72" t="n">
        <v>2025</v>
      </c>
      <c r="D1641" t="s">
        <v>238</v>
      </c>
      <c r="E1641" s="73" t="n">
        <v>1026043.97207164</v>
      </c>
      <c r="F1641" s="74" t="n">
        <v>129403.022830672</v>
      </c>
      <c r="G1641" s="75" t="n">
        <v>1026043.97207164</v>
      </c>
      <c r="H1641" s="76" t="n">
        <v>129403.022830672</v>
      </c>
      <c r="I1641" s="77" t="str">
        <f>H1641-F1641</f>
      </c>
      <c r="J1641" s="78" t="str">
        <f>G1641-E1641</f>
      </c>
    </row>
    <row r="1642">
      <c r="A1642" t="s">
        <v>263</v>
      </c>
      <c r="B1642" t="s">
        <v>426</v>
      </c>
      <c r="C1642" s="72" t="n">
        <v>2025</v>
      </c>
      <c r="D1642" t="s">
        <v>184</v>
      </c>
      <c r="E1642" s="73" t="n">
        <v>91684.5090142746</v>
      </c>
      <c r="F1642" s="74" t="n">
        <v>63318.7518252021</v>
      </c>
      <c r="G1642" s="75" t="n">
        <v>91684.5090142746</v>
      </c>
      <c r="H1642" s="76" t="n">
        <v>63318.7518252021</v>
      </c>
      <c r="I1642" s="77" t="str">
        <f>H1642-F1642</f>
      </c>
      <c r="J1642" s="78" t="str">
        <f>G1642-E1642</f>
      </c>
    </row>
    <row r="1643">
      <c r="A1643" t="s">
        <v>263</v>
      </c>
      <c r="B1643" t="s">
        <v>426</v>
      </c>
      <c r="C1643" s="72" t="n">
        <v>2025</v>
      </c>
      <c r="D1643" t="s">
        <v>187</v>
      </c>
      <c r="E1643" s="73" t="n">
        <v>327817.992111529</v>
      </c>
      <c r="F1643" s="74" t="n">
        <v>300216.82861998</v>
      </c>
      <c r="G1643" s="75" t="n">
        <v>327817.992111529</v>
      </c>
      <c r="H1643" s="76" t="n">
        <v>300216.82861998</v>
      </c>
      <c r="I1643" s="77" t="str">
        <f>H1643-F1643</f>
      </c>
      <c r="J1643" s="78" t="str">
        <f>G1643-E1643</f>
      </c>
    </row>
    <row r="1644">
      <c r="A1644" t="s">
        <v>263</v>
      </c>
      <c r="B1644" t="s">
        <v>426</v>
      </c>
      <c r="C1644" s="72" t="n">
        <v>2025</v>
      </c>
      <c r="D1644" t="s">
        <v>190</v>
      </c>
      <c r="E1644" s="73" t="n">
        <v>563964.128928848</v>
      </c>
      <c r="F1644" s="74" t="n">
        <v>321188.162987932</v>
      </c>
      <c r="G1644" s="75" t="n">
        <v>563964.128928848</v>
      </c>
      <c r="H1644" s="76" t="n">
        <v>321188.162987932</v>
      </c>
      <c r="I1644" s="77" t="str">
        <f>H1644-F1644</f>
      </c>
      <c r="J1644" s="78" t="str">
        <f>G1644-E1644</f>
      </c>
    </row>
    <row r="1645">
      <c r="A1645" t="s">
        <v>263</v>
      </c>
      <c r="B1645" t="s">
        <v>426</v>
      </c>
      <c r="C1645" s="72" t="n">
        <v>2025</v>
      </c>
      <c r="D1645" t="s">
        <v>193</v>
      </c>
      <c r="E1645" s="73" t="n">
        <v>396205.912797568</v>
      </c>
      <c r="F1645" s="74" t="n">
        <v>191954.713579597</v>
      </c>
      <c r="G1645" s="75" t="n">
        <v>396205.912797568</v>
      </c>
      <c r="H1645" s="76" t="n">
        <v>191954.713579597</v>
      </c>
      <c r="I1645" s="77" t="str">
        <f>H1645-F1645</f>
      </c>
      <c r="J1645" s="78" t="str">
        <f>G1645-E1645</f>
      </c>
    </row>
    <row r="1646">
      <c r="A1646" t="s">
        <v>263</v>
      </c>
      <c r="B1646" t="s">
        <v>426</v>
      </c>
      <c r="C1646" s="72" t="n">
        <v>2025</v>
      </c>
      <c r="D1646" t="s">
        <v>424</v>
      </c>
      <c r="E1646" s="73" t="n">
        <v>44024.8557845561</v>
      </c>
      <c r="F1646" s="74" t="n">
        <v>6961.02866951274</v>
      </c>
      <c r="G1646" s="75" t="n">
        <v>44024.8557845561</v>
      </c>
      <c r="H1646" s="76" t="n">
        <v>6961.02866951274</v>
      </c>
      <c r="I1646" s="77" t="str">
        <f>H1646-F1646</f>
      </c>
      <c r="J1646" s="78" t="str">
        <f>G1646-E1646</f>
      </c>
    </row>
    <row r="1647">
      <c r="A1647" t="s">
        <v>263</v>
      </c>
      <c r="B1647" t="s">
        <v>426</v>
      </c>
      <c r="C1647" s="72" t="n">
        <v>2026</v>
      </c>
      <c r="D1647" t="s">
        <v>176</v>
      </c>
      <c r="E1647" s="73" t="n">
        <v>12812.507871628</v>
      </c>
      <c r="F1647" s="74" t="n">
        <v>9308.26420910955</v>
      </c>
      <c r="G1647" s="75" t="n">
        <v>12812.507871628</v>
      </c>
      <c r="H1647" s="76" t="n">
        <v>9308.26420910955</v>
      </c>
      <c r="I1647" s="77" t="str">
        <f>H1647-F1647</f>
      </c>
      <c r="J1647" s="78" t="str">
        <f>G1647-E1647</f>
      </c>
    </row>
    <row r="1648">
      <c r="A1648" t="s">
        <v>263</v>
      </c>
      <c r="B1648" t="s">
        <v>426</v>
      </c>
      <c r="C1648" s="72" t="n">
        <v>2026</v>
      </c>
      <c r="D1648" t="s">
        <v>238</v>
      </c>
      <c r="E1648" s="73" t="n">
        <v>1040956.74283153</v>
      </c>
      <c r="F1648" s="74" t="n">
        <v>137191.896136923</v>
      </c>
      <c r="G1648" s="75" t="n">
        <v>1040956.74283153</v>
      </c>
      <c r="H1648" s="76" t="n">
        <v>137191.896136923</v>
      </c>
      <c r="I1648" s="77" t="str">
        <f>H1648-F1648</f>
      </c>
      <c r="J1648" s="78" t="str">
        <f>G1648-E1648</f>
      </c>
    </row>
    <row r="1649">
      <c r="A1649" t="s">
        <v>263</v>
      </c>
      <c r="B1649" t="s">
        <v>426</v>
      </c>
      <c r="C1649" s="72" t="n">
        <v>2026</v>
      </c>
      <c r="D1649" t="s">
        <v>184</v>
      </c>
      <c r="E1649" s="73" t="n">
        <v>95077.1833035265</v>
      </c>
      <c r="F1649" s="74" t="n">
        <v>65164.4704134017</v>
      </c>
      <c r="G1649" s="75" t="n">
        <v>95077.1833035265</v>
      </c>
      <c r="H1649" s="76" t="n">
        <v>65164.4704134017</v>
      </c>
      <c r="I1649" s="77" t="str">
        <f>H1649-F1649</f>
      </c>
      <c r="J1649" s="78" t="str">
        <f>G1649-E1649</f>
      </c>
    </row>
    <row r="1650">
      <c r="A1650" t="s">
        <v>263</v>
      </c>
      <c r="B1650" t="s">
        <v>426</v>
      </c>
      <c r="C1650" s="72" t="n">
        <v>2026</v>
      </c>
      <c r="D1650" t="s">
        <v>187</v>
      </c>
      <c r="E1650" s="73" t="n">
        <v>336875.423495605</v>
      </c>
      <c r="F1650" s="74" t="n">
        <v>308606.943045308</v>
      </c>
      <c r="G1650" s="75" t="n">
        <v>336875.423495605</v>
      </c>
      <c r="H1650" s="76" t="n">
        <v>308606.943045308</v>
      </c>
      <c r="I1650" s="77" t="str">
        <f>H1650-F1650</f>
      </c>
      <c r="J1650" s="78" t="str">
        <f>G1650-E1650</f>
      </c>
    </row>
    <row r="1651">
      <c r="A1651" t="s">
        <v>263</v>
      </c>
      <c r="B1651" t="s">
        <v>426</v>
      </c>
      <c r="C1651" s="72" t="n">
        <v>2026</v>
      </c>
      <c r="D1651" t="s">
        <v>190</v>
      </c>
      <c r="E1651" s="73" t="n">
        <v>580111.541957649</v>
      </c>
      <c r="F1651" s="74" t="n">
        <v>332896.185768311</v>
      </c>
      <c r="G1651" s="75" t="n">
        <v>580111.541957649</v>
      </c>
      <c r="H1651" s="76" t="n">
        <v>332896.185768311</v>
      </c>
      <c r="I1651" s="77" t="str">
        <f>H1651-F1651</f>
      </c>
      <c r="J1651" s="78" t="str">
        <f>G1651-E1651</f>
      </c>
    </row>
    <row r="1652">
      <c r="A1652" t="s">
        <v>263</v>
      </c>
      <c r="B1652" t="s">
        <v>426</v>
      </c>
      <c r="C1652" s="72" t="n">
        <v>2026</v>
      </c>
      <c r="D1652" t="s">
        <v>193</v>
      </c>
      <c r="E1652" s="73" t="n">
        <v>409829.87281699</v>
      </c>
      <c r="F1652" s="74" t="n">
        <v>202008.199783237</v>
      </c>
      <c r="G1652" s="75" t="n">
        <v>409829.87281699</v>
      </c>
      <c r="H1652" s="76" t="n">
        <v>202008.199783237</v>
      </c>
      <c r="I1652" s="77" t="str">
        <f>H1652-F1652</f>
      </c>
      <c r="J1652" s="78" t="str">
        <f>G1652-E1652</f>
      </c>
    </row>
    <row r="1653">
      <c r="A1653" t="s">
        <v>263</v>
      </c>
      <c r="B1653" t="s">
        <v>426</v>
      </c>
      <c r="C1653" s="72" t="n">
        <v>2026</v>
      </c>
      <c r="D1653" t="s">
        <v>424</v>
      </c>
      <c r="E1653" s="73" t="n">
        <v>44219.1707517653</v>
      </c>
      <c r="F1653" s="74" t="n">
        <v>7023.77126872287</v>
      </c>
      <c r="G1653" s="75" t="n">
        <v>44219.1707517653</v>
      </c>
      <c r="H1653" s="76" t="n">
        <v>7023.77126872287</v>
      </c>
      <c r="I1653" s="77" t="str">
        <f>H1653-F1653</f>
      </c>
      <c r="J1653" s="78" t="str">
        <f>G1653-E1653</f>
      </c>
    </row>
    <row r="1654">
      <c r="A1654" t="s">
        <v>263</v>
      </c>
      <c r="B1654" t="s">
        <v>426</v>
      </c>
      <c r="C1654" s="72" t="n">
        <v>2027</v>
      </c>
      <c r="D1654" t="s">
        <v>176</v>
      </c>
      <c r="E1654" s="73" t="n">
        <v>13273.481772584</v>
      </c>
      <c r="F1654" s="74" t="n">
        <v>9640.71530777017</v>
      </c>
      <c r="G1654" s="75" t="n">
        <v>13273.481772584</v>
      </c>
      <c r="H1654" s="76" t="n">
        <v>9640.71530777017</v>
      </c>
      <c r="I1654" s="77" t="str">
        <f>H1654-F1654</f>
      </c>
      <c r="J1654" s="78" t="str">
        <f>G1654-E1654</f>
      </c>
    </row>
    <row r="1655">
      <c r="A1655" t="s">
        <v>263</v>
      </c>
      <c r="B1655" t="s">
        <v>426</v>
      </c>
      <c r="C1655" s="72" t="n">
        <v>2027</v>
      </c>
      <c r="D1655" t="s">
        <v>238</v>
      </c>
      <c r="E1655" s="73" t="n">
        <v>1054248.25314007</v>
      </c>
      <c r="F1655" s="74" t="n">
        <v>145087.130776418</v>
      </c>
      <c r="G1655" s="75" t="n">
        <v>1055255.40879996</v>
      </c>
      <c r="H1655" s="76" t="n">
        <v>145087.130776418</v>
      </c>
      <c r="I1655" s="77" t="str">
        <f>H1655-F1655</f>
      </c>
      <c r="J1655" s="78" t="str">
        <f>G1655-E1655</f>
      </c>
    </row>
    <row r="1656">
      <c r="A1656" t="s">
        <v>263</v>
      </c>
      <c r="B1656" t="s">
        <v>426</v>
      </c>
      <c r="C1656" s="72" t="n">
        <v>2027</v>
      </c>
      <c r="D1656" t="s">
        <v>184</v>
      </c>
      <c r="E1656" s="73" t="n">
        <v>98448.8278839669</v>
      </c>
      <c r="F1656" s="74" t="n">
        <v>67068.0169086102</v>
      </c>
      <c r="G1656" s="75" t="n">
        <v>98448.8278839669</v>
      </c>
      <c r="H1656" s="76" t="n">
        <v>67068.0169086102</v>
      </c>
      <c r="I1656" s="77" t="str">
        <f>H1656-F1656</f>
      </c>
      <c r="J1656" s="78" t="str">
        <f>G1656-E1656</f>
      </c>
    </row>
    <row r="1657">
      <c r="A1657" t="s">
        <v>263</v>
      </c>
      <c r="B1657" t="s">
        <v>426</v>
      </c>
      <c r="C1657" s="72" t="n">
        <v>2027</v>
      </c>
      <c r="D1657" t="s">
        <v>187</v>
      </c>
      <c r="E1657" s="73" t="n">
        <v>345754.465055795</v>
      </c>
      <c r="F1657" s="74" t="n">
        <v>317119.553552555</v>
      </c>
      <c r="G1657" s="75" t="n">
        <v>345936.706716403</v>
      </c>
      <c r="H1657" s="76" t="n">
        <v>317119.553552555</v>
      </c>
      <c r="I1657" s="77" t="str">
        <f>H1657-F1657</f>
      </c>
      <c r="J1657" s="78" t="str">
        <f>G1657-E1657</f>
      </c>
    </row>
    <row r="1658">
      <c r="A1658" t="s">
        <v>263</v>
      </c>
      <c r="B1658" t="s">
        <v>426</v>
      </c>
      <c r="C1658" s="72" t="n">
        <v>2027</v>
      </c>
      <c r="D1658" t="s">
        <v>190</v>
      </c>
      <c r="E1658" s="73" t="n">
        <v>595259.311143678</v>
      </c>
      <c r="F1658" s="74" t="n">
        <v>344517.274659827</v>
      </c>
      <c r="G1658" s="75" t="n">
        <v>596148.832334676</v>
      </c>
      <c r="H1658" s="76" t="n">
        <v>344517.274659827</v>
      </c>
      <c r="I1658" s="77" t="str">
        <f>H1658-F1658</f>
      </c>
      <c r="J1658" s="78" t="str">
        <f>G1658-E1658</f>
      </c>
    </row>
    <row r="1659">
      <c r="A1659" t="s">
        <v>263</v>
      </c>
      <c r="B1659" t="s">
        <v>426</v>
      </c>
      <c r="C1659" s="72" t="n">
        <v>2027</v>
      </c>
      <c r="D1659" t="s">
        <v>193</v>
      </c>
      <c r="E1659" s="73" t="n">
        <v>423062.317563069</v>
      </c>
      <c r="F1659" s="74" t="n">
        <v>211995.488024171</v>
      </c>
      <c r="G1659" s="75" t="n">
        <v>423485.101321999</v>
      </c>
      <c r="H1659" s="76" t="n">
        <v>211995.488024171</v>
      </c>
      <c r="I1659" s="77" t="str">
        <f>H1659-F1659</f>
      </c>
      <c r="J1659" s="78" t="str">
        <f>G1659-E1659</f>
      </c>
    </row>
    <row r="1660">
      <c r="A1660" t="s">
        <v>263</v>
      </c>
      <c r="B1660" t="s">
        <v>426</v>
      </c>
      <c r="C1660" s="72" t="n">
        <v>2027</v>
      </c>
      <c r="D1660" t="s">
        <v>424</v>
      </c>
      <c r="E1660" s="73" t="n">
        <v>44384.2018393689</v>
      </c>
      <c r="F1660" s="74" t="n">
        <v>7080.05700568168</v>
      </c>
      <c r="G1660" s="75" t="n">
        <v>44384.2018393689</v>
      </c>
      <c r="H1660" s="76" t="n">
        <v>7080.05700568168</v>
      </c>
      <c r="I1660" s="77" t="str">
        <f>H1660-F1660</f>
      </c>
      <c r="J1660" s="78" t="str">
        <f>G1660-E1660</f>
      </c>
    </row>
    <row r="1661">
      <c r="A1661" t="s">
        <v>263</v>
      </c>
      <c r="B1661" t="s">
        <v>426</v>
      </c>
      <c r="C1661" s="72" t="n">
        <v>2028</v>
      </c>
      <c r="D1661" t="s">
        <v>176</v>
      </c>
      <c r="E1661" s="73" t="n">
        <v>13729.5005000864</v>
      </c>
      <c r="F1661" s="74" t="n">
        <v>9971.45472163389</v>
      </c>
      <c r="G1661" s="75" t="n">
        <v>13729.5005000864</v>
      </c>
      <c r="H1661" s="76" t="n">
        <v>9971.45472163389</v>
      </c>
      <c r="I1661" s="77" t="str">
        <f>H1661-F1661</f>
      </c>
      <c r="J1661" s="78" t="str">
        <f>G1661-E1661</f>
      </c>
    </row>
    <row r="1662">
      <c r="A1662" t="s">
        <v>263</v>
      </c>
      <c r="B1662" t="s">
        <v>426</v>
      </c>
      <c r="C1662" s="72" t="n">
        <v>2028</v>
      </c>
      <c r="D1662" t="s">
        <v>238</v>
      </c>
      <c r="E1662" s="73" t="n">
        <v>1067034.72215511</v>
      </c>
      <c r="F1662" s="74" t="n">
        <v>153071.031040139</v>
      </c>
      <c r="G1662" s="75" t="n">
        <v>1069005.07088018</v>
      </c>
      <c r="H1662" s="76" t="n">
        <v>153077.867387244</v>
      </c>
      <c r="I1662" s="77" t="str">
        <f>H1662-F1662</f>
      </c>
      <c r="J1662" s="78" t="str">
        <f>G1662-E1662</f>
      </c>
    </row>
    <row r="1663">
      <c r="A1663" t="s">
        <v>263</v>
      </c>
      <c r="B1663" t="s">
        <v>426</v>
      </c>
      <c r="C1663" s="72" t="n">
        <v>2028</v>
      </c>
      <c r="D1663" t="s">
        <v>184</v>
      </c>
      <c r="E1663" s="73" t="n">
        <v>101797.96761407</v>
      </c>
      <c r="F1663" s="74" t="n">
        <v>69019.933123165</v>
      </c>
      <c r="G1663" s="75" t="n">
        <v>101797.96761407</v>
      </c>
      <c r="H1663" s="76" t="n">
        <v>69019.933123165</v>
      </c>
      <c r="I1663" s="77" t="str">
        <f>H1663-F1663</f>
      </c>
      <c r="J1663" s="78" t="str">
        <f>G1663-E1663</f>
      </c>
    </row>
    <row r="1664">
      <c r="A1664" t="s">
        <v>263</v>
      </c>
      <c r="B1664" t="s">
        <v>426</v>
      </c>
      <c r="C1664" s="72" t="n">
        <v>2028</v>
      </c>
      <c r="D1664" t="s">
        <v>187</v>
      </c>
      <c r="E1664" s="73" t="n">
        <v>354603.649943088</v>
      </c>
      <c r="F1664" s="74" t="n">
        <v>325609.868143611</v>
      </c>
      <c r="G1664" s="75" t="n">
        <v>354965.535819133</v>
      </c>
      <c r="H1664" s="76" t="n">
        <v>325690.683016893</v>
      </c>
      <c r="I1664" s="77" t="str">
        <f>H1664-F1664</f>
      </c>
      <c r="J1664" s="78" t="str">
        <f>G1664-E1664</f>
      </c>
    </row>
    <row r="1665">
      <c r="A1665" t="s">
        <v>263</v>
      </c>
      <c r="B1665" t="s">
        <v>426</v>
      </c>
      <c r="C1665" s="72" t="n">
        <v>2028</v>
      </c>
      <c r="D1665" t="s">
        <v>190</v>
      </c>
      <c r="E1665" s="73" t="n">
        <v>610268.410436455</v>
      </c>
      <c r="F1665" s="74" t="n">
        <v>356015.376944049</v>
      </c>
      <c r="G1665" s="75" t="n">
        <v>612031.659444751</v>
      </c>
      <c r="H1665" s="76" t="n">
        <v>356073.571438059</v>
      </c>
      <c r="I1665" s="77" t="str">
        <f>H1665-F1665</f>
      </c>
      <c r="J1665" s="78" t="str">
        <f>G1665-E1665</f>
      </c>
    </row>
    <row r="1666">
      <c r="A1666" t="s">
        <v>263</v>
      </c>
      <c r="B1666" t="s">
        <v>426</v>
      </c>
      <c r="C1666" s="72" t="n">
        <v>2028</v>
      </c>
      <c r="D1666" t="s">
        <v>193</v>
      </c>
      <c r="E1666" s="73" t="n">
        <v>436317.026076944</v>
      </c>
      <c r="F1666" s="74" t="n">
        <v>221875.456054698</v>
      </c>
      <c r="G1666" s="75" t="n">
        <v>437159.755191958</v>
      </c>
      <c r="H1666" s="76" t="n">
        <v>221908.958563303</v>
      </c>
      <c r="I1666" s="77" t="str">
        <f>H1666-F1666</f>
      </c>
      <c r="J1666" s="78" t="str">
        <f>G1666-E1666</f>
      </c>
    </row>
    <row r="1667">
      <c r="A1667" t="s">
        <v>263</v>
      </c>
      <c r="B1667" t="s">
        <v>426</v>
      </c>
      <c r="C1667" s="72" t="n">
        <v>2028</v>
      </c>
      <c r="D1667" t="s">
        <v>424</v>
      </c>
      <c r="E1667" s="73" t="n">
        <v>44510.0649629929</v>
      </c>
      <c r="F1667" s="74" t="n">
        <v>7131.07016356498</v>
      </c>
      <c r="G1667" s="75" t="n">
        <v>44510.0649629929</v>
      </c>
      <c r="H1667" s="76" t="n">
        <v>7131.07016356498</v>
      </c>
      <c r="I1667" s="77" t="str">
        <f>H1667-F1667</f>
      </c>
      <c r="J1667" s="78" t="str">
        <f>G1667-E1667</f>
      </c>
    </row>
    <row r="1668">
      <c r="A1668" t="s">
        <v>263</v>
      </c>
      <c r="B1668" t="s">
        <v>426</v>
      </c>
      <c r="C1668" s="72" t="n">
        <v>2029</v>
      </c>
      <c r="D1668" t="s">
        <v>176</v>
      </c>
      <c r="E1668" s="73" t="n">
        <v>14181.4912138857</v>
      </c>
      <c r="F1668" s="74" t="n">
        <v>10301.2295792609</v>
      </c>
      <c r="G1668" s="75" t="n">
        <v>14181.4236375467</v>
      </c>
      <c r="H1668" s="76" t="n">
        <v>10301.2295792609</v>
      </c>
      <c r="I1668" s="77" t="str">
        <f>H1668-F1668</f>
      </c>
      <c r="J1668" s="78" t="str">
        <f>G1668-E1668</f>
      </c>
    </row>
    <row r="1669">
      <c r="A1669" t="s">
        <v>263</v>
      </c>
      <c r="B1669" t="s">
        <v>426</v>
      </c>
      <c r="C1669" s="72" t="n">
        <v>2029</v>
      </c>
      <c r="D1669" t="s">
        <v>238</v>
      </c>
      <c r="E1669" s="73" t="n">
        <v>1079363.5957302</v>
      </c>
      <c r="F1669" s="74" t="n">
        <v>161140.584824607</v>
      </c>
      <c r="G1669" s="75" t="n">
        <v>1082252.39423074</v>
      </c>
      <c r="H1669" s="76" t="n">
        <v>161161.062132093</v>
      </c>
      <c r="I1669" s="77" t="str">
        <f>H1669-F1669</f>
      </c>
      <c r="J1669" s="78" t="str">
        <f>G1669-E1669</f>
      </c>
    </row>
    <row r="1670">
      <c r="A1670" t="s">
        <v>263</v>
      </c>
      <c r="B1670" t="s">
        <v>426</v>
      </c>
      <c r="C1670" s="72" t="n">
        <v>2029</v>
      </c>
      <c r="D1670" t="s">
        <v>184</v>
      </c>
      <c r="E1670" s="73" t="n">
        <v>105115.088883085</v>
      </c>
      <c r="F1670" s="74" t="n">
        <v>71042.0544294395</v>
      </c>
      <c r="G1670" s="75" t="n">
        <v>105114.693344183</v>
      </c>
      <c r="H1670" s="76" t="n">
        <v>71042.0544294395</v>
      </c>
      <c r="I1670" s="77" t="str">
        <f>H1670-F1670</f>
      </c>
      <c r="J1670" s="78" t="str">
        <f>G1670-E1670</f>
      </c>
    </row>
    <row r="1671">
      <c r="A1671" t="s">
        <v>263</v>
      </c>
      <c r="B1671" t="s">
        <v>426</v>
      </c>
      <c r="C1671" s="72" t="n">
        <v>2029</v>
      </c>
      <c r="D1671" t="s">
        <v>187</v>
      </c>
      <c r="E1671" s="73" t="n">
        <v>363358.100955917</v>
      </c>
      <c r="F1671" s="74" t="n">
        <v>334098.362667374</v>
      </c>
      <c r="G1671" s="75" t="n">
        <v>363896.204247168</v>
      </c>
      <c r="H1671" s="76" t="n">
        <v>334292.677138926</v>
      </c>
      <c r="I1671" s="77" t="str">
        <f>H1671-F1671</f>
      </c>
      <c r="J1671" s="78" t="str">
        <f>G1671-E1671</f>
      </c>
    </row>
    <row r="1672">
      <c r="A1672" t="s">
        <v>263</v>
      </c>
      <c r="B1672" t="s">
        <v>426</v>
      </c>
      <c r="C1672" s="72" t="n">
        <v>2029</v>
      </c>
      <c r="D1672" t="s">
        <v>190</v>
      </c>
      <c r="E1672" s="73" t="n">
        <v>625107.907506967</v>
      </c>
      <c r="F1672" s="74" t="n">
        <v>367406.011874888</v>
      </c>
      <c r="G1672" s="75" t="n">
        <v>627726.336898794</v>
      </c>
      <c r="H1672" s="76" t="n">
        <v>367575.22274735</v>
      </c>
      <c r="I1672" s="77" t="str">
        <f>H1672-F1672</f>
      </c>
      <c r="J1672" s="78" t="str">
        <f>G1672-E1672</f>
      </c>
    </row>
    <row r="1673">
      <c r="A1673" t="s">
        <v>263</v>
      </c>
      <c r="B1673" t="s">
        <v>426</v>
      </c>
      <c r="C1673" s="72" t="n">
        <v>2029</v>
      </c>
      <c r="D1673" t="s">
        <v>193</v>
      </c>
      <c r="E1673" s="73" t="n">
        <v>449528.467421104</v>
      </c>
      <c r="F1673" s="74" t="n">
        <v>231613.981002747</v>
      </c>
      <c r="G1673" s="75" t="n">
        <v>450786.134013569</v>
      </c>
      <c r="H1673" s="76" t="n">
        <v>231708.01887569</v>
      </c>
      <c r="I1673" s="77" t="str">
        <f>H1673-F1673</f>
      </c>
      <c r="J1673" s="78" t="str">
        <f>G1673-E1673</f>
      </c>
    </row>
    <row r="1674">
      <c r="A1674" t="s">
        <v>263</v>
      </c>
      <c r="B1674" t="s">
        <v>426</v>
      </c>
      <c r="C1674" s="72" t="n">
        <v>2029</v>
      </c>
      <c r="D1674" t="s">
        <v>424</v>
      </c>
      <c r="E1674" s="73" t="n">
        <v>44600.2696231536</v>
      </c>
      <c r="F1674" s="74" t="n">
        <v>7178.21931597252</v>
      </c>
      <c r="G1674" s="75" t="n">
        <v>44600.2614435955</v>
      </c>
      <c r="H1674" s="76" t="n">
        <v>7178.21931597252</v>
      </c>
      <c r="I1674" s="77" t="str">
        <f>H1674-F1674</f>
      </c>
      <c r="J1674" s="78" t="str">
        <f>G1674-E1674</f>
      </c>
    </row>
    <row r="1675">
      <c r="A1675" t="s">
        <v>263</v>
      </c>
      <c r="B1675" t="s">
        <v>426</v>
      </c>
      <c r="C1675" s="72" t="n">
        <v>2030</v>
      </c>
      <c r="D1675" t="s">
        <v>176</v>
      </c>
      <c r="E1675" s="73" t="n">
        <v>14631.1726896237</v>
      </c>
      <c r="F1675" s="74" t="n">
        <v>10630.2836378888</v>
      </c>
      <c r="G1675" s="75" t="n">
        <v>14630.9263575645</v>
      </c>
      <c r="H1675" s="76" t="n">
        <v>10630.2702680602</v>
      </c>
      <c r="I1675" s="77" t="str">
        <f>H1675-F1675</f>
      </c>
      <c r="J1675" s="78" t="str">
        <f>G1675-E1675</f>
      </c>
    </row>
    <row r="1676">
      <c r="A1676" t="s">
        <v>263</v>
      </c>
      <c r="B1676" t="s">
        <v>426</v>
      </c>
      <c r="C1676" s="72" t="n">
        <v>2030</v>
      </c>
      <c r="D1676" t="s">
        <v>238</v>
      </c>
      <c r="E1676" s="73" t="n">
        <v>1091194.57654608</v>
      </c>
      <c r="F1676" s="74" t="n">
        <v>169274.022734201</v>
      </c>
      <c r="G1676" s="75" t="n">
        <v>1094956.84444967</v>
      </c>
      <c r="H1676" s="76" t="n">
        <v>169314.834038038</v>
      </c>
      <c r="I1676" s="77" t="str">
        <f>H1676-F1676</f>
      </c>
      <c r="J1676" s="78" t="str">
        <f>G1676-E1676</f>
      </c>
    </row>
    <row r="1677">
      <c r="A1677" t="s">
        <v>263</v>
      </c>
      <c r="B1677" t="s">
        <v>426</v>
      </c>
      <c r="C1677" s="72" t="n">
        <v>2030</v>
      </c>
      <c r="D1677" t="s">
        <v>184</v>
      </c>
      <c r="E1677" s="73" t="n">
        <v>108395.224985164</v>
      </c>
      <c r="F1677" s="74" t="n">
        <v>73120.8620930099</v>
      </c>
      <c r="G1677" s="75" t="n">
        <v>108393.77376612</v>
      </c>
      <c r="H1677" s="76" t="n">
        <v>73120.8011068864</v>
      </c>
      <c r="I1677" s="77" t="str">
        <f>H1677-F1677</f>
      </c>
      <c r="J1677" s="78" t="str">
        <f>G1677-E1677</f>
      </c>
    </row>
    <row r="1678">
      <c r="A1678" t="s">
        <v>263</v>
      </c>
      <c r="B1678" t="s">
        <v>426</v>
      </c>
      <c r="C1678" s="72" t="n">
        <v>2030</v>
      </c>
      <c r="D1678" t="s">
        <v>187</v>
      </c>
      <c r="E1678" s="73" t="n">
        <v>372031.583200395</v>
      </c>
      <c r="F1678" s="74" t="n">
        <v>342564.44530398</v>
      </c>
      <c r="G1678" s="75" t="n">
        <v>372741.795461264</v>
      </c>
      <c r="H1678" s="76" t="n">
        <v>342889.635366394</v>
      </c>
      <c r="I1678" s="77" t="str">
        <f>H1678-F1678</f>
      </c>
      <c r="J1678" s="78" t="str">
        <f>G1678-E1678</f>
      </c>
    </row>
    <row r="1679">
      <c r="A1679" t="s">
        <v>263</v>
      </c>
      <c r="B1679" t="s">
        <v>426</v>
      </c>
      <c r="C1679" s="72" t="n">
        <v>2030</v>
      </c>
      <c r="D1679" t="s">
        <v>190</v>
      </c>
      <c r="E1679" s="73" t="n">
        <v>639701.436017417</v>
      </c>
      <c r="F1679" s="74" t="n">
        <v>378612.552678917</v>
      </c>
      <c r="G1679" s="75" t="n">
        <v>643154.211305628</v>
      </c>
      <c r="H1679" s="76" t="n">
        <v>378940.231267445</v>
      </c>
      <c r="I1679" s="77" t="str">
        <f>H1679-F1679</f>
      </c>
      <c r="J1679" s="78" t="str">
        <f>G1679-E1679</f>
      </c>
    </row>
    <row r="1680">
      <c r="A1680" t="s">
        <v>263</v>
      </c>
      <c r="B1680" t="s">
        <v>426</v>
      </c>
      <c r="C1680" s="72" t="n">
        <v>2030</v>
      </c>
      <c r="D1680" t="s">
        <v>193</v>
      </c>
      <c r="E1680" s="73" t="n">
        <v>462694.479577112</v>
      </c>
      <c r="F1680" s="74" t="n">
        <v>241132.990087887</v>
      </c>
      <c r="G1680" s="75" t="n">
        <v>464360.518103772</v>
      </c>
      <c r="H1680" s="76" t="n">
        <v>241310.309903655</v>
      </c>
      <c r="I1680" s="77" t="str">
        <f>H1680-F1680</f>
      </c>
      <c r="J1680" s="78" t="str">
        <f>G1680-E1680</f>
      </c>
    </row>
    <row r="1681">
      <c r="A1681" t="s">
        <v>263</v>
      </c>
      <c r="B1681" t="s">
        <v>426</v>
      </c>
      <c r="C1681" s="72" t="n">
        <v>2030</v>
      </c>
      <c r="D1681" t="s">
        <v>424</v>
      </c>
      <c r="E1681" s="73" t="n">
        <v>44647.2986957259</v>
      </c>
      <c r="F1681" s="74" t="n">
        <v>7223.11044515208</v>
      </c>
      <c r="G1681" s="75" t="n">
        <v>44647.268915283</v>
      </c>
      <c r="H1681" s="76" t="n">
        <v>7223.11031474236</v>
      </c>
      <c r="I1681" s="77" t="str">
        <f>H1681-F1681</f>
      </c>
      <c r="J1681" s="78" t="str">
        <f>G1681-E1681</f>
      </c>
    </row>
    <row r="1682">
      <c r="A1682" t="s">
        <v>263</v>
      </c>
      <c r="B1682" t="s">
        <v>426</v>
      </c>
      <c r="C1682" s="72" t="n">
        <v>2031</v>
      </c>
      <c r="D1682" t="s">
        <v>176</v>
      </c>
      <c r="E1682" s="73" t="n">
        <v>15080.9535105255</v>
      </c>
      <c r="F1682" s="74" t="n">
        <v>10955.4836059288</v>
      </c>
      <c r="G1682" s="75" t="n">
        <v>15080.3825495532</v>
      </c>
      <c r="H1682" s="76" t="n">
        <v>10955.4255331558</v>
      </c>
      <c r="I1682" s="77" t="str">
        <f>H1682-F1682</f>
      </c>
      <c r="J1682" s="78" t="str">
        <f>G1682-E1682</f>
      </c>
    </row>
    <row r="1683">
      <c r="A1683" t="s">
        <v>263</v>
      </c>
      <c r="B1683" t="s">
        <v>426</v>
      </c>
      <c r="C1683" s="72" t="n">
        <v>2031</v>
      </c>
      <c r="D1683" t="s">
        <v>238</v>
      </c>
      <c r="E1683" s="73" t="n">
        <v>1102436.38821714</v>
      </c>
      <c r="F1683" s="74" t="n">
        <v>177443.24526072</v>
      </c>
      <c r="G1683" s="75" t="n">
        <v>1107027.69162894</v>
      </c>
      <c r="H1683" s="76" t="n">
        <v>177510.906196669</v>
      </c>
      <c r="I1683" s="77" t="str">
        <f>H1683-F1683</f>
      </c>
      <c r="J1683" s="78" t="str">
        <f>G1683-E1683</f>
      </c>
    </row>
    <row r="1684">
      <c r="A1684" t="s">
        <v>263</v>
      </c>
      <c r="B1684" t="s">
        <v>426</v>
      </c>
      <c r="C1684" s="72" t="n">
        <v>2031</v>
      </c>
      <c r="D1684" t="s">
        <v>184</v>
      </c>
      <c r="E1684" s="73" t="n">
        <v>111636.325699817</v>
      </c>
      <c r="F1684" s="74" t="n">
        <v>75230.4878718906</v>
      </c>
      <c r="G1684" s="75" t="n">
        <v>111632.947554352</v>
      </c>
      <c r="H1684" s="76" t="n">
        <v>75230.219664338</v>
      </c>
      <c r="I1684" s="77" t="str">
        <f>H1684-F1684</f>
      </c>
      <c r="J1684" s="78" t="str">
        <f>G1684-E1684</f>
      </c>
    </row>
    <row r="1685">
      <c r="A1685" t="s">
        <v>263</v>
      </c>
      <c r="B1685" t="s">
        <v>426</v>
      </c>
      <c r="C1685" s="72" t="n">
        <v>2031</v>
      </c>
      <c r="D1685" t="s">
        <v>187</v>
      </c>
      <c r="E1685" s="73" t="n">
        <v>380592.706634609</v>
      </c>
      <c r="F1685" s="74" t="n">
        <v>350967.050648799</v>
      </c>
      <c r="G1685" s="75" t="n">
        <v>381470.266781021</v>
      </c>
      <c r="H1685" s="76" t="n">
        <v>351432.518672951</v>
      </c>
      <c r="I1685" s="77" t="str">
        <f>H1685-F1685</f>
      </c>
      <c r="J1685" s="78" t="str">
        <f>G1685-E1685</f>
      </c>
    </row>
    <row r="1686">
      <c r="A1686" t="s">
        <v>263</v>
      </c>
      <c r="B1686" t="s">
        <v>426</v>
      </c>
      <c r="C1686" s="72" t="n">
        <v>2031</v>
      </c>
      <c r="D1686" t="s">
        <v>190</v>
      </c>
      <c r="E1686" s="73" t="n">
        <v>654017.472316713</v>
      </c>
      <c r="F1686" s="74" t="n">
        <v>389652.658559715</v>
      </c>
      <c r="G1686" s="75" t="n">
        <v>658282.149268814</v>
      </c>
      <c r="H1686" s="76" t="n">
        <v>390181.003020302</v>
      </c>
      <c r="I1686" s="77" t="str">
        <f>H1686-F1686</f>
      </c>
      <c r="J1686" s="78" t="str">
        <f>G1686-E1686</f>
      </c>
    </row>
    <row r="1687">
      <c r="A1687" t="s">
        <v>263</v>
      </c>
      <c r="B1687" t="s">
        <v>426</v>
      </c>
      <c r="C1687" s="72" t="n">
        <v>2031</v>
      </c>
      <c r="D1687" t="s">
        <v>193</v>
      </c>
      <c r="E1687" s="73" t="n">
        <v>475712.002625496</v>
      </c>
      <c r="F1687" s="74" t="n">
        <v>250535.790713218</v>
      </c>
      <c r="G1687" s="75" t="n">
        <v>477778.146047482</v>
      </c>
      <c r="H1687" s="76" t="n">
        <v>250815.782662592</v>
      </c>
      <c r="I1687" s="77" t="str">
        <f>H1687-F1687</f>
      </c>
      <c r="J1687" s="78" t="str">
        <f>G1687-E1687</f>
      </c>
    </row>
    <row r="1688">
      <c r="A1688" t="s">
        <v>263</v>
      </c>
      <c r="B1688" t="s">
        <v>426</v>
      </c>
      <c r="C1688" s="72" t="n">
        <v>2031</v>
      </c>
      <c r="D1688" t="s">
        <v>424</v>
      </c>
      <c r="E1688" s="73" t="n">
        <v>44640.4160222295</v>
      </c>
      <c r="F1688" s="74" t="n">
        <v>7266.76658085923</v>
      </c>
      <c r="G1688" s="75" t="n">
        <v>44640.3472954778</v>
      </c>
      <c r="H1688" s="76" t="n">
        <v>7266.76600020754</v>
      </c>
      <c r="I1688" s="77" t="str">
        <f>H1688-F1688</f>
      </c>
      <c r="J1688" s="78" t="str">
        <f>G1688-E1688</f>
      </c>
    </row>
    <row r="1689">
      <c r="A1689" t="s">
        <v>263</v>
      </c>
      <c r="B1689" t="s">
        <v>426</v>
      </c>
      <c r="C1689" s="72" t="n">
        <v>2032</v>
      </c>
      <c r="D1689" t="s">
        <v>176</v>
      </c>
      <c r="E1689" s="73" t="n">
        <v>15532.3297573389</v>
      </c>
      <c r="F1689" s="74" t="n">
        <v>11274.6487618091</v>
      </c>
      <c r="G1689" s="75" t="n">
        <v>15531.2601955666</v>
      </c>
      <c r="H1689" s="76" t="n">
        <v>11274.4954497352</v>
      </c>
      <c r="I1689" s="77" t="str">
        <f>H1689-F1689</f>
      </c>
      <c r="J1689" s="78" t="str">
        <f>G1689-E1689</f>
      </c>
    </row>
    <row r="1690">
      <c r="A1690" t="s">
        <v>263</v>
      </c>
      <c r="B1690" t="s">
        <v>426</v>
      </c>
      <c r="C1690" s="72" t="n">
        <v>2032</v>
      </c>
      <c r="D1690" t="s">
        <v>238</v>
      </c>
      <c r="E1690" s="73" t="n">
        <v>1113100.19176134</v>
      </c>
      <c r="F1690" s="74" t="n">
        <v>185625.206216317</v>
      </c>
      <c r="G1690" s="75" t="n">
        <v>1118477.32749824</v>
      </c>
      <c r="H1690" s="76" t="n">
        <v>185725.999058801</v>
      </c>
      <c r="I1690" s="77" t="str">
        <f>H1690-F1690</f>
      </c>
      <c r="J1690" s="78" t="str">
        <f>G1690-E1690</f>
      </c>
    </row>
    <row r="1691">
      <c r="A1691" t="s">
        <v>263</v>
      </c>
      <c r="B1691" t="s">
        <v>426</v>
      </c>
      <c r="C1691" s="72" t="n">
        <v>2032</v>
      </c>
      <c r="D1691" t="s">
        <v>184</v>
      </c>
      <c r="E1691" s="73" t="n">
        <v>114841.56990466</v>
      </c>
      <c r="F1691" s="74" t="n">
        <v>77353.7768208519</v>
      </c>
      <c r="G1691" s="75" t="n">
        <v>114835.221802653</v>
      </c>
      <c r="H1691" s="76" t="n">
        <v>77353.0610239329</v>
      </c>
      <c r="I1691" s="77" t="str">
        <f>H1691-F1691</f>
      </c>
      <c r="J1691" s="78" t="str">
        <f>G1691-E1691</f>
      </c>
    </row>
    <row r="1692">
      <c r="A1692" t="s">
        <v>263</v>
      </c>
      <c r="B1692" t="s">
        <v>426</v>
      </c>
      <c r="C1692" s="72" t="n">
        <v>2032</v>
      </c>
      <c r="D1692" t="s">
        <v>187</v>
      </c>
      <c r="E1692" s="73" t="n">
        <v>388958.975089121</v>
      </c>
      <c r="F1692" s="74" t="n">
        <v>359224.229231713</v>
      </c>
      <c r="G1692" s="75" t="n">
        <v>389998.376688754</v>
      </c>
      <c r="H1692" s="76" t="n">
        <v>359834.546852866</v>
      </c>
      <c r="I1692" s="77" t="str">
        <f>H1692-F1692</f>
      </c>
      <c r="J1692" s="78" t="str">
        <f>G1692-E1692</f>
      </c>
    </row>
    <row r="1693">
      <c r="A1693" t="s">
        <v>263</v>
      </c>
      <c r="B1693" t="s">
        <v>426</v>
      </c>
      <c r="C1693" s="72" t="n">
        <v>2032</v>
      </c>
      <c r="D1693" t="s">
        <v>190</v>
      </c>
      <c r="E1693" s="73" t="n">
        <v>668080.595957883</v>
      </c>
      <c r="F1693" s="74" t="n">
        <v>400552.10673658</v>
      </c>
      <c r="G1693" s="75" t="n">
        <v>673133.888273266</v>
      </c>
      <c r="H1693" s="76" t="n">
        <v>401318.286193472</v>
      </c>
      <c r="I1693" s="77" t="str">
        <f>H1693-F1693</f>
      </c>
      <c r="J1693" s="78" t="str">
        <f>G1693-E1693</f>
      </c>
    </row>
    <row r="1694">
      <c r="A1694" t="s">
        <v>263</v>
      </c>
      <c r="B1694" t="s">
        <v>426</v>
      </c>
      <c r="C1694" s="72" t="n">
        <v>2032</v>
      </c>
      <c r="D1694" t="s">
        <v>193</v>
      </c>
      <c r="E1694" s="73" t="n">
        <v>488448.627325956</v>
      </c>
      <c r="F1694" s="74" t="n">
        <v>259947.651213869</v>
      </c>
      <c r="G1694" s="75" t="n">
        <v>490904.70344578</v>
      </c>
      <c r="H1694" s="76" t="n">
        <v>260346.937343717</v>
      </c>
      <c r="I1694" s="77" t="str">
        <f>H1694-F1694</f>
      </c>
      <c r="J1694" s="78" t="str">
        <f>G1694-E1694</f>
      </c>
    </row>
    <row r="1695">
      <c r="A1695" t="s">
        <v>263</v>
      </c>
      <c r="B1695" t="s">
        <v>426</v>
      </c>
      <c r="C1695" s="72" t="n">
        <v>2032</v>
      </c>
      <c r="D1695" t="s">
        <v>424</v>
      </c>
      <c r="E1695" s="73" t="n">
        <v>44583.37350505</v>
      </c>
      <c r="F1695" s="74" t="n">
        <v>7308.69113361596</v>
      </c>
      <c r="G1695" s="75" t="n">
        <v>44583.2455015959</v>
      </c>
      <c r="H1695" s="76" t="n">
        <v>7308.68956833998</v>
      </c>
      <c r="I1695" s="77" t="str">
        <f>H1695-F1695</f>
      </c>
      <c r="J1695" s="78" t="str">
        <f>G1695-E1695</f>
      </c>
    </row>
    <row r="1696">
      <c r="A1696" t="s">
        <v>263</v>
      </c>
      <c r="B1696" t="s">
        <v>426</v>
      </c>
      <c r="C1696" s="72" t="n">
        <v>2033</v>
      </c>
      <c r="D1696" t="s">
        <v>176</v>
      </c>
      <c r="E1696" s="73" t="n">
        <v>15985.4834923001</v>
      </c>
      <c r="F1696" s="74" t="n">
        <v>11587.2508832604</v>
      </c>
      <c r="G1696" s="75" t="n">
        <v>15983.7175379286</v>
      </c>
      <c r="H1696" s="76" t="n">
        <v>11586.9335708044</v>
      </c>
      <c r="I1696" s="77" t="str">
        <f>H1696-F1696</f>
      </c>
      <c r="J1696" s="78" t="str">
        <f>G1696-E1696</f>
      </c>
    </row>
    <row r="1697">
      <c r="A1697" t="s">
        <v>263</v>
      </c>
      <c r="B1697" t="s">
        <v>426</v>
      </c>
      <c r="C1697" s="72" t="n">
        <v>2033</v>
      </c>
      <c r="D1697" t="s">
        <v>238</v>
      </c>
      <c r="E1697" s="73" t="n">
        <v>1123113.13461298</v>
      </c>
      <c r="F1697" s="74" t="n">
        <v>193813.268283966</v>
      </c>
      <c r="G1697" s="75" t="n">
        <v>1129233.47845058</v>
      </c>
      <c r="H1697" s="76" t="n">
        <v>193953.224223645</v>
      </c>
      <c r="I1697" s="77" t="str">
        <f>H1697-F1697</f>
      </c>
      <c r="J1697" s="78" t="str">
        <f>G1697-E1697</f>
      </c>
    </row>
    <row r="1698">
      <c r="A1698" t="s">
        <v>263</v>
      </c>
      <c r="B1698" t="s">
        <v>426</v>
      </c>
      <c r="C1698" s="72" t="n">
        <v>2033</v>
      </c>
      <c r="D1698" t="s">
        <v>184</v>
      </c>
      <c r="E1698" s="73" t="n">
        <v>118009.234208896</v>
      </c>
      <c r="F1698" s="74" t="n">
        <v>79481.9742465269</v>
      </c>
      <c r="G1698" s="75" t="n">
        <v>117998.738437442</v>
      </c>
      <c r="H1698" s="76" t="n">
        <v>79480.4761690429</v>
      </c>
      <c r="I1698" s="77" t="str">
        <f>H1698-F1698</f>
      </c>
      <c r="J1698" s="78" t="str">
        <f>G1698-E1698</f>
      </c>
    </row>
    <row r="1699">
      <c r="A1699" t="s">
        <v>263</v>
      </c>
      <c r="B1699" t="s">
        <v>426</v>
      </c>
      <c r="C1699" s="72" t="n">
        <v>2033</v>
      </c>
      <c r="D1699" t="s">
        <v>187</v>
      </c>
      <c r="E1699" s="73" t="n">
        <v>397159.048595692</v>
      </c>
      <c r="F1699" s="74" t="n">
        <v>367295.207104476</v>
      </c>
      <c r="G1699" s="75" t="n">
        <v>398354.344992358</v>
      </c>
      <c r="H1699" s="76" t="n">
        <v>368051.624575443</v>
      </c>
      <c r="I1699" s="77" t="str">
        <f>H1699-F1699</f>
      </c>
      <c r="J1699" s="78" t="str">
        <f>G1699-E1699</f>
      </c>
    </row>
    <row r="1700">
      <c r="A1700" t="s">
        <v>263</v>
      </c>
      <c r="B1700" t="s">
        <v>426</v>
      </c>
      <c r="C1700" s="72" t="n">
        <v>2033</v>
      </c>
      <c r="D1700" t="s">
        <v>190</v>
      </c>
      <c r="E1700" s="73" t="n">
        <v>681817.6314121</v>
      </c>
      <c r="F1700" s="74" t="n">
        <v>411311.170537524</v>
      </c>
      <c r="G1700" s="75" t="n">
        <v>687634.699546926</v>
      </c>
      <c r="H1700" s="76" t="n">
        <v>412348.075678578</v>
      </c>
      <c r="I1700" s="77" t="str">
        <f>H1700-F1700</f>
      </c>
      <c r="J1700" s="78" t="str">
        <f>G1700-E1700</f>
      </c>
    </row>
    <row r="1701">
      <c r="A1701" t="s">
        <v>263</v>
      </c>
      <c r="B1701" t="s">
        <v>426</v>
      </c>
      <c r="C1701" s="72" t="n">
        <v>2033</v>
      </c>
      <c r="D1701" t="s">
        <v>193</v>
      </c>
      <c r="E1701" s="73" t="n">
        <v>500916.495107206</v>
      </c>
      <c r="F1701" s="74" t="n">
        <v>269350.810538573</v>
      </c>
      <c r="G1701" s="75" t="n">
        <v>503751.109420694</v>
      </c>
      <c r="H1701" s="76" t="n">
        <v>269883.407599987</v>
      </c>
      <c r="I1701" s="77" t="str">
        <f>H1701-F1701</f>
      </c>
      <c r="J1701" s="78" t="str">
        <f>G1701-E1701</f>
      </c>
    </row>
    <row r="1702">
      <c r="A1702" t="s">
        <v>263</v>
      </c>
      <c r="B1702" t="s">
        <v>426</v>
      </c>
      <c r="C1702" s="72" t="n">
        <v>2033</v>
      </c>
      <c r="D1702" t="s">
        <v>424</v>
      </c>
      <c r="E1702" s="73" t="n">
        <v>44483.8935076377</v>
      </c>
      <c r="F1702" s="74" t="n">
        <v>7348.07744636137</v>
      </c>
      <c r="G1702" s="75" t="n">
        <v>44483.6835898413</v>
      </c>
      <c r="H1702" s="76" t="n">
        <v>7348.07414732206</v>
      </c>
      <c r="I1702" s="77" t="str">
        <f>H1702-F1702</f>
      </c>
      <c r="J1702" s="78" t="str">
        <f>G1702-E1702</f>
      </c>
    </row>
    <row r="1703">
      <c r="A1703" t="s">
        <v>263</v>
      </c>
      <c r="B1703" t="s">
        <v>426</v>
      </c>
      <c r="C1703" s="72" t="n">
        <v>2034</v>
      </c>
      <c r="D1703" t="s">
        <v>176</v>
      </c>
      <c r="E1703" s="73" t="n">
        <v>16439.609977351</v>
      </c>
      <c r="F1703" s="74" t="n">
        <v>11896.9491525899</v>
      </c>
      <c r="G1703" s="75" t="n">
        <v>16436.9312806497</v>
      </c>
      <c r="H1703" s="76" t="n">
        <v>11896.3823187386</v>
      </c>
      <c r="I1703" s="77" t="str">
        <f>H1703-F1703</f>
      </c>
      <c r="J1703" s="78" t="str">
        <f>G1703-E1703</f>
      </c>
    </row>
    <row r="1704">
      <c r="A1704" t="s">
        <v>263</v>
      </c>
      <c r="B1704" t="s">
        <v>426</v>
      </c>
      <c r="C1704" s="72" t="n">
        <v>2034</v>
      </c>
      <c r="D1704" t="s">
        <v>238</v>
      </c>
      <c r="E1704" s="73" t="n">
        <v>1132536.52031746</v>
      </c>
      <c r="F1704" s="74" t="n">
        <v>201962.393790266</v>
      </c>
      <c r="G1704" s="75" t="n">
        <v>1139357.01951607</v>
      </c>
      <c r="H1704" s="76" t="n">
        <v>202147.27044605</v>
      </c>
      <c r="I1704" s="77" t="str">
        <f>H1704-F1704</f>
      </c>
      <c r="J1704" s="78" t="str">
        <f>G1704-E1704</f>
      </c>
    </row>
    <row r="1705">
      <c r="A1705" t="s">
        <v>263</v>
      </c>
      <c r="B1705" t="s">
        <v>426</v>
      </c>
      <c r="C1705" s="72" t="n">
        <v>2034</v>
      </c>
      <c r="D1705" t="s">
        <v>184</v>
      </c>
      <c r="E1705" s="73" t="n">
        <v>121121.392340466</v>
      </c>
      <c r="F1705" s="74" t="n">
        <v>81597.650930895</v>
      </c>
      <c r="G1705" s="75" t="n">
        <v>121105.471839437</v>
      </c>
      <c r="H1705" s="76" t="n">
        <v>81594.9482339212</v>
      </c>
      <c r="I1705" s="77" t="str">
        <f>H1705-F1705</f>
      </c>
      <c r="J1705" s="78" t="str">
        <f>G1705-E1705</f>
      </c>
    </row>
    <row r="1706">
      <c r="A1706" t="s">
        <v>263</v>
      </c>
      <c r="B1706" t="s">
        <v>426</v>
      </c>
      <c r="C1706" s="72" t="n">
        <v>2034</v>
      </c>
      <c r="D1706" t="s">
        <v>187</v>
      </c>
      <c r="E1706" s="73" t="n">
        <v>405214.978789675</v>
      </c>
      <c r="F1706" s="74" t="n">
        <v>375126.611103954</v>
      </c>
      <c r="G1706" s="75" t="n">
        <v>406559.867353788</v>
      </c>
      <c r="H1706" s="76" t="n">
        <v>376028.132278335</v>
      </c>
      <c r="I1706" s="77" t="str">
        <f>H1706-F1706</f>
      </c>
      <c r="J1706" s="78" t="str">
        <f>G1706-E1706</f>
      </c>
    </row>
    <row r="1707">
      <c r="A1707" t="s">
        <v>263</v>
      </c>
      <c r="B1707" t="s">
        <v>426</v>
      </c>
      <c r="C1707" s="72" t="n">
        <v>2034</v>
      </c>
      <c r="D1707" t="s">
        <v>190</v>
      </c>
      <c r="E1707" s="73" t="n">
        <v>695137.915163004</v>
      </c>
      <c r="F1707" s="74" t="n">
        <v>421922.807104259</v>
      </c>
      <c r="G1707" s="75" t="n">
        <v>701691.677358768</v>
      </c>
      <c r="H1707" s="76" t="n">
        <v>423259.100590806</v>
      </c>
      <c r="I1707" s="77" t="str">
        <f>H1707-F1707</f>
      </c>
      <c r="J1707" s="78" t="str">
        <f>G1707-E1707</f>
      </c>
    </row>
    <row r="1708">
      <c r="A1708" t="s">
        <v>263</v>
      </c>
      <c r="B1708" t="s">
        <v>426</v>
      </c>
      <c r="C1708" s="72" t="n">
        <v>2034</v>
      </c>
      <c r="D1708" t="s">
        <v>193</v>
      </c>
      <c r="E1708" s="73" t="n">
        <v>513205.476640339</v>
      </c>
      <c r="F1708" s="74" t="n">
        <v>278807.257803217</v>
      </c>
      <c r="G1708" s="75" t="n">
        <v>516406.53850878</v>
      </c>
      <c r="H1708" s="76" t="n">
        <v>279484.980285229</v>
      </c>
      <c r="I1708" s="77" t="str">
        <f>H1708-F1708</f>
      </c>
      <c r="J1708" s="78" t="str">
        <f>G1708-E1708</f>
      </c>
    </row>
    <row r="1709">
      <c r="A1709" t="s">
        <v>263</v>
      </c>
      <c r="B1709" t="s">
        <v>426</v>
      </c>
      <c r="C1709" s="72" t="n">
        <v>2034</v>
      </c>
      <c r="D1709" t="s">
        <v>424</v>
      </c>
      <c r="E1709" s="73" t="n">
        <v>44355.500617667</v>
      </c>
      <c r="F1709" s="74" t="n">
        <v>7385.04692999772</v>
      </c>
      <c r="G1709" s="75" t="n">
        <v>44355.184450179</v>
      </c>
      <c r="H1709" s="76" t="n">
        <v>7385.04094675217</v>
      </c>
      <c r="I1709" s="77" t="str">
        <f>H1709-F1709</f>
      </c>
      <c r="J1709" s="78" t="str">
        <f>G1709-E1709</f>
      </c>
    </row>
    <row r="1710">
      <c r="A1710" t="s">
        <v>263</v>
      </c>
      <c r="B1710" t="s">
        <v>426</v>
      </c>
      <c r="C1710" s="72" t="n">
        <v>2035</v>
      </c>
      <c r="D1710" t="s">
        <v>176</v>
      </c>
      <c r="E1710" s="73" t="n">
        <v>16896.0366804414</v>
      </c>
      <c r="F1710" s="74" t="n">
        <v>12203.9741063863</v>
      </c>
      <c r="G1710" s="75" t="n">
        <v>16892.2141390053</v>
      </c>
      <c r="H1710" s="76" t="n">
        <v>12203.0577178634</v>
      </c>
      <c r="I1710" s="77" t="str">
        <f>H1710-F1710</f>
      </c>
      <c r="J1710" s="78" t="str">
        <f>G1710-E1710</f>
      </c>
    </row>
    <row r="1711">
      <c r="A1711" t="s">
        <v>263</v>
      </c>
      <c r="B1711" t="s">
        <v>426</v>
      </c>
      <c r="C1711" s="72" t="n">
        <v>2035</v>
      </c>
      <c r="D1711" t="s">
        <v>238</v>
      </c>
      <c r="E1711" s="73" t="n">
        <v>1141493.85502065</v>
      </c>
      <c r="F1711" s="74" t="n">
        <v>210055.725800733</v>
      </c>
      <c r="G1711" s="75" t="n">
        <v>1148972.16574985</v>
      </c>
      <c r="H1711" s="76" t="n">
        <v>210290.980527925</v>
      </c>
      <c r="I1711" s="77" t="str">
        <f>H1711-F1711</f>
      </c>
      <c r="J1711" s="78" t="str">
        <f>G1711-E1711</f>
      </c>
    </row>
    <row r="1712">
      <c r="A1712" t="s">
        <v>263</v>
      </c>
      <c r="B1712" t="s">
        <v>426</v>
      </c>
      <c r="C1712" s="72" t="n">
        <v>2035</v>
      </c>
      <c r="D1712" t="s">
        <v>184</v>
      </c>
      <c r="E1712" s="73" t="n">
        <v>124170.899915162</v>
      </c>
      <c r="F1712" s="74" t="n">
        <v>83699.5252865381</v>
      </c>
      <c r="G1712" s="75" t="n">
        <v>124148.207195844</v>
      </c>
      <c r="H1712" s="76" t="n">
        <v>83695.1178728798</v>
      </c>
      <c r="I1712" s="77" t="str">
        <f>H1712-F1712</f>
      </c>
      <c r="J1712" s="78" t="str">
        <f>G1712-E1712</f>
      </c>
    </row>
    <row r="1713">
      <c r="A1713" t="s">
        <v>263</v>
      </c>
      <c r="B1713" t="s">
        <v>426</v>
      </c>
      <c r="C1713" s="72" t="n">
        <v>2035</v>
      </c>
      <c r="D1713" t="s">
        <v>187</v>
      </c>
      <c r="E1713" s="73" t="n">
        <v>413045.597293035</v>
      </c>
      <c r="F1713" s="74" t="n">
        <v>382744.678817955</v>
      </c>
      <c r="G1713" s="75" t="n">
        <v>414533.160603145</v>
      </c>
      <c r="H1713" s="76" t="n">
        <v>383788.762526672</v>
      </c>
      <c r="I1713" s="77" t="str">
        <f>H1713-F1713</f>
      </c>
      <c r="J1713" s="78" t="str">
        <f>G1713-E1713</f>
      </c>
    </row>
    <row r="1714">
      <c r="A1714" t="s">
        <v>263</v>
      </c>
      <c r="B1714" t="s">
        <v>426</v>
      </c>
      <c r="C1714" s="72" t="n">
        <v>2035</v>
      </c>
      <c r="D1714" t="s">
        <v>190</v>
      </c>
      <c r="E1714" s="73" t="n">
        <v>708069.324953321</v>
      </c>
      <c r="F1714" s="74" t="n">
        <v>432421.619160748</v>
      </c>
      <c r="G1714" s="75" t="n">
        <v>715331.788822102</v>
      </c>
      <c r="H1714" s="76" t="n">
        <v>434082.031551195</v>
      </c>
      <c r="I1714" s="77" t="str">
        <f>H1714-F1714</f>
      </c>
      <c r="J1714" s="78" t="str">
        <f>G1714-E1714</f>
      </c>
    </row>
    <row r="1715">
      <c r="A1715" t="s">
        <v>263</v>
      </c>
      <c r="B1715" t="s">
        <v>426</v>
      </c>
      <c r="C1715" s="72" t="n">
        <v>2035</v>
      </c>
      <c r="D1715" t="s">
        <v>193</v>
      </c>
      <c r="E1715" s="73" t="n">
        <v>525264.145206778</v>
      </c>
      <c r="F1715" s="74" t="n">
        <v>288318.043806136</v>
      </c>
      <c r="G1715" s="75" t="n">
        <v>528818.371883953</v>
      </c>
      <c r="H1715" s="76" t="n">
        <v>289150.802435983</v>
      </c>
      <c r="I1715" s="77" t="str">
        <f>H1715-F1715</f>
      </c>
      <c r="J1715" s="78" t="str">
        <f>G1715-E1715</f>
      </c>
    </row>
    <row r="1716">
      <c r="A1716" t="s">
        <v>263</v>
      </c>
      <c r="B1716" t="s">
        <v>426</v>
      </c>
      <c r="C1716" s="72" t="n">
        <v>2035</v>
      </c>
      <c r="D1716" t="s">
        <v>424</v>
      </c>
      <c r="E1716" s="73" t="n">
        <v>44207.1552597011</v>
      </c>
      <c r="F1716" s="74" t="n">
        <v>7419.9886505131</v>
      </c>
      <c r="G1716" s="75" t="n">
        <v>44206.7073067121</v>
      </c>
      <c r="H1716" s="76" t="n">
        <v>7419.97885519321</v>
      </c>
      <c r="I1716" s="77" t="str">
        <f>H1716-F1716</f>
      </c>
      <c r="J1716" s="78" t="str">
        <f>G1716-E1716</f>
      </c>
    </row>
    <row r="1717">
      <c r="A1717" t="s">
        <v>263</v>
      </c>
      <c r="B1717" t="s">
        <v>426</v>
      </c>
      <c r="C1717" s="72" t="n">
        <v>2036</v>
      </c>
      <c r="D1717" t="s">
        <v>176</v>
      </c>
      <c r="E1717" s="73" t="n">
        <v>17355.8645466904</v>
      </c>
      <c r="F1717" s="74" t="n">
        <v>12508.2804164534</v>
      </c>
      <c r="G1717" s="75" t="n">
        <v>17350.6546269342</v>
      </c>
      <c r="H1717" s="76" t="n">
        <v>12506.9021026876</v>
      </c>
      <c r="I1717" s="77" t="str">
        <f>H1717-F1717</f>
      </c>
      <c r="J1717" s="78" t="str">
        <f>G1717-E1717</f>
      </c>
    </row>
    <row r="1718">
      <c r="A1718" t="s">
        <v>263</v>
      </c>
      <c r="B1718" t="s">
        <v>426</v>
      </c>
      <c r="C1718" s="72" t="n">
        <v>2036</v>
      </c>
      <c r="D1718" t="s">
        <v>238</v>
      </c>
      <c r="E1718" s="73" t="n">
        <v>1150170.29672263</v>
      </c>
      <c r="F1718" s="74" t="n">
        <v>218079.914310473</v>
      </c>
      <c r="G1718" s="75" t="n">
        <v>1158266.13775829</v>
      </c>
      <c r="H1718" s="76" t="n">
        <v>218370.687575925</v>
      </c>
      <c r="I1718" s="77" t="str">
        <f>H1718-F1718</f>
      </c>
      <c r="J1718" s="78" t="str">
        <f>G1718-E1718</f>
      </c>
    </row>
    <row r="1719">
      <c r="A1719" t="s">
        <v>263</v>
      </c>
      <c r="B1719" t="s">
        <v>426</v>
      </c>
      <c r="C1719" s="72" t="n">
        <v>2036</v>
      </c>
      <c r="D1719" t="s">
        <v>184</v>
      </c>
      <c r="E1719" s="73" t="n">
        <v>127169.315919192</v>
      </c>
      <c r="F1719" s="74" t="n">
        <v>85772.2430106982</v>
      </c>
      <c r="G1719" s="75" t="n">
        <v>127138.451085333</v>
      </c>
      <c r="H1719" s="76" t="n">
        <v>85765.5647353171</v>
      </c>
      <c r="I1719" s="77" t="str">
        <f>H1719-F1719</f>
      </c>
      <c r="J1719" s="78" t="str">
        <f>G1719-E1719</f>
      </c>
    </row>
    <row r="1720">
      <c r="A1720" t="s">
        <v>263</v>
      </c>
      <c r="B1720" t="s">
        <v>426</v>
      </c>
      <c r="C1720" s="72" t="n">
        <v>2036</v>
      </c>
      <c r="D1720" t="s">
        <v>187</v>
      </c>
      <c r="E1720" s="73" t="n">
        <v>420609.791101164</v>
      </c>
      <c r="F1720" s="74" t="n">
        <v>390103.246090252</v>
      </c>
      <c r="G1720" s="75" t="n">
        <v>422232.659922133</v>
      </c>
      <c r="H1720" s="76" t="n">
        <v>391285.955739587</v>
      </c>
      <c r="I1720" s="77" t="str">
        <f>H1720-F1720</f>
      </c>
      <c r="J1720" s="78" t="str">
        <f>G1720-E1720</f>
      </c>
    </row>
    <row r="1721">
      <c r="A1721" t="s">
        <v>263</v>
      </c>
      <c r="B1721" t="s">
        <v>426</v>
      </c>
      <c r="C1721" s="72" t="n">
        <v>2036</v>
      </c>
      <c r="D1721" t="s">
        <v>190</v>
      </c>
      <c r="E1721" s="73" t="n">
        <v>720589.410423171</v>
      </c>
      <c r="F1721" s="74" t="n">
        <v>442742.597022643</v>
      </c>
      <c r="G1721" s="75" t="n">
        <v>728531.610160843</v>
      </c>
      <c r="H1721" s="76" t="n">
        <v>444747.907566169</v>
      </c>
      <c r="I1721" s="77" t="str">
        <f>H1721-F1721</f>
      </c>
      <c r="J1721" s="78" t="str">
        <f>G1721-E1721</f>
      </c>
    </row>
    <row r="1722">
      <c r="A1722" t="s">
        <v>263</v>
      </c>
      <c r="B1722" t="s">
        <v>426</v>
      </c>
      <c r="C1722" s="72" t="n">
        <v>2036</v>
      </c>
      <c r="D1722" t="s">
        <v>193</v>
      </c>
      <c r="E1722" s="73" t="n">
        <v>537158.397119835</v>
      </c>
      <c r="F1722" s="74" t="n">
        <v>297883.584646427</v>
      </c>
      <c r="G1722" s="75" t="n">
        <v>541052.28077363</v>
      </c>
      <c r="H1722" s="76" t="n">
        <v>298879.611309733</v>
      </c>
      <c r="I1722" s="77" t="str">
        <f>H1722-F1722</f>
      </c>
      <c r="J1722" s="78" t="str">
        <f>G1722-E1722</f>
      </c>
    </row>
    <row r="1723">
      <c r="A1723" t="s">
        <v>263</v>
      </c>
      <c r="B1723" t="s">
        <v>426</v>
      </c>
      <c r="C1723" s="72" t="n">
        <v>2036</v>
      </c>
      <c r="D1723" t="s">
        <v>424</v>
      </c>
      <c r="E1723" s="73" t="n">
        <v>44050.6044187904</v>
      </c>
      <c r="F1723" s="74" t="n">
        <v>7453.35001154433</v>
      </c>
      <c r="G1723" s="75" t="n">
        <v>44049.9983782722</v>
      </c>
      <c r="H1723" s="76" t="n">
        <v>7453.3351271514</v>
      </c>
      <c r="I1723" s="77" t="str">
        <f>H1723-F1723</f>
      </c>
      <c r="J1723" s="78" t="str">
        <f>G1723-E1723</f>
      </c>
    </row>
    <row r="1724">
      <c r="A1724" t="s">
        <v>263</v>
      </c>
      <c r="B1724" t="s">
        <v>426</v>
      </c>
      <c r="C1724" s="72" t="n">
        <v>2037</v>
      </c>
      <c r="D1724" t="s">
        <v>176</v>
      </c>
      <c r="E1724" s="73" t="n">
        <v>17819.3551361806</v>
      </c>
      <c r="F1724" s="74" t="n">
        <v>12809.4637951414</v>
      </c>
      <c r="G1724" s="75" t="n">
        <v>17812.5035281772</v>
      </c>
      <c r="H1724" s="76" t="n">
        <v>12807.5012683992</v>
      </c>
      <c r="I1724" s="77" t="str">
        <f>H1724-F1724</f>
      </c>
      <c r="J1724" s="78" t="str">
        <f>G1724-E1724</f>
      </c>
    </row>
    <row r="1725">
      <c r="A1725" t="s">
        <v>263</v>
      </c>
      <c r="B1725" t="s">
        <v>426</v>
      </c>
      <c r="C1725" s="72" t="n">
        <v>2037</v>
      </c>
      <c r="D1725" t="s">
        <v>238</v>
      </c>
      <c r="E1725" s="73" t="n">
        <v>1158689.46825832</v>
      </c>
      <c r="F1725" s="74" t="n">
        <v>226022.236080586</v>
      </c>
      <c r="G1725" s="75" t="n">
        <v>1167364.66541375</v>
      </c>
      <c r="H1725" s="76" t="n">
        <v>226373.365626062</v>
      </c>
      <c r="I1725" s="77" t="str">
        <f>H1725-F1725</f>
      </c>
      <c r="J1725" s="78" t="str">
        <f>G1725-E1725</f>
      </c>
    </row>
    <row r="1726">
      <c r="A1726" t="s">
        <v>263</v>
      </c>
      <c r="B1726" t="s">
        <v>426</v>
      </c>
      <c r="C1726" s="72" t="n">
        <v>2037</v>
      </c>
      <c r="D1726" t="s">
        <v>184</v>
      </c>
      <c r="E1726" s="73" t="n">
        <v>130132.591014599</v>
      </c>
      <c r="F1726" s="74" t="n">
        <v>87795.4432520535</v>
      </c>
      <c r="G1726" s="75" t="n">
        <v>130092.112965313</v>
      </c>
      <c r="H1726" s="76" t="n">
        <v>87785.8739142287</v>
      </c>
      <c r="I1726" s="77" t="str">
        <f>H1726-F1726</f>
      </c>
      <c r="J1726" s="78" t="str">
        <f>G1726-E1726</f>
      </c>
    </row>
    <row r="1727">
      <c r="A1727" t="s">
        <v>263</v>
      </c>
      <c r="B1727" t="s">
        <v>426</v>
      </c>
      <c r="C1727" s="72" t="n">
        <v>2037</v>
      </c>
      <c r="D1727" t="s">
        <v>187</v>
      </c>
      <c r="E1727" s="73" t="n">
        <v>427924.04982162</v>
      </c>
      <c r="F1727" s="74" t="n">
        <v>397157.563960557</v>
      </c>
      <c r="G1727" s="75" t="n">
        <v>429674.679324948</v>
      </c>
      <c r="H1727" s="76" t="n">
        <v>398473.813386608</v>
      </c>
      <c r="I1727" s="77" t="str">
        <f>H1727-F1727</f>
      </c>
      <c r="J1727" s="78" t="str">
        <f>G1727-E1727</f>
      </c>
    </row>
    <row r="1728">
      <c r="A1728" t="s">
        <v>263</v>
      </c>
      <c r="B1728" t="s">
        <v>426</v>
      </c>
      <c r="C1728" s="72" t="n">
        <v>2037</v>
      </c>
      <c r="D1728" t="s">
        <v>190</v>
      </c>
      <c r="E1728" s="73" t="n">
        <v>732669.39076968</v>
      </c>
      <c r="F1728" s="74" t="n">
        <v>452801.086658085</v>
      </c>
      <c r="G1728" s="75" t="n">
        <v>741261.427234993</v>
      </c>
      <c r="H1728" s="76" t="n">
        <v>455168.184528758</v>
      </c>
      <c r="I1728" s="77" t="str">
        <f>H1728-F1728</f>
      </c>
      <c r="J1728" s="78" t="str">
        <f>G1728-E1728</f>
      </c>
    </row>
    <row r="1729">
      <c r="A1729" t="s">
        <v>263</v>
      </c>
      <c r="B1729" t="s">
        <v>426</v>
      </c>
      <c r="C1729" s="72" t="n">
        <v>2037</v>
      </c>
      <c r="D1729" t="s">
        <v>193</v>
      </c>
      <c r="E1729" s="73" t="n">
        <v>549037.77168619</v>
      </c>
      <c r="F1729" s="74" t="n">
        <v>307499.948501059</v>
      </c>
      <c r="G1729" s="75" t="n">
        <v>553258.517761357</v>
      </c>
      <c r="H1729" s="76" t="n">
        <v>308666.043562302</v>
      </c>
      <c r="I1729" s="77" t="str">
        <f>H1729-F1729</f>
      </c>
      <c r="J1729" s="78" t="str">
        <f>G1729-E1729</f>
      </c>
    </row>
    <row r="1730">
      <c r="A1730" t="s">
        <v>263</v>
      </c>
      <c r="B1730" t="s">
        <v>426</v>
      </c>
      <c r="C1730" s="72" t="n">
        <v>2037</v>
      </c>
      <c r="D1730" t="s">
        <v>424</v>
      </c>
      <c r="E1730" s="73" t="n">
        <v>43887.2873523416</v>
      </c>
      <c r="F1730" s="74" t="n">
        <v>7485.66083019987</v>
      </c>
      <c r="G1730" s="75" t="n">
        <v>43886.4966397613</v>
      </c>
      <c r="H1730" s="76" t="n">
        <v>7485.63945861012</v>
      </c>
      <c r="I1730" s="77" t="str">
        <f>H1730-F1730</f>
      </c>
      <c r="J1730" s="78" t="str">
        <f>G1730-E1730</f>
      </c>
    </row>
    <row r="1731">
      <c r="A1731" t="s">
        <v>263</v>
      </c>
      <c r="B1731" t="s">
        <v>426</v>
      </c>
      <c r="C1731" s="72" t="n">
        <v>2038</v>
      </c>
      <c r="D1731" t="s">
        <v>176</v>
      </c>
      <c r="E1731" s="73" t="n">
        <v>18287.375517503</v>
      </c>
      <c r="F1731" s="74" t="n">
        <v>13110.9355529258</v>
      </c>
      <c r="G1731" s="75" t="n">
        <v>18278.6195315823</v>
      </c>
      <c r="H1731" s="76" t="n">
        <v>13108.2586821674</v>
      </c>
      <c r="I1731" s="77" t="str">
        <f>H1731-F1731</f>
      </c>
      <c r="J1731" s="78" t="str">
        <f>G1731-E1731</f>
      </c>
    </row>
    <row r="1732">
      <c r="A1732" t="s">
        <v>263</v>
      </c>
      <c r="B1732" t="s">
        <v>426</v>
      </c>
      <c r="C1732" s="72" t="n">
        <v>2038</v>
      </c>
      <c r="D1732" t="s">
        <v>238</v>
      </c>
      <c r="E1732" s="73" t="n">
        <v>1167071.65474446</v>
      </c>
      <c r="F1732" s="74" t="n">
        <v>233870.245562283</v>
      </c>
      <c r="G1732" s="75" t="n">
        <v>1176286.23006217</v>
      </c>
      <c r="H1732" s="76" t="n">
        <v>234286.302403295</v>
      </c>
      <c r="I1732" s="77" t="str">
        <f>H1732-F1732</f>
      </c>
      <c r="J1732" s="78" t="str">
        <f>G1732-E1732</f>
      </c>
    </row>
    <row r="1733">
      <c r="A1733" t="s">
        <v>263</v>
      </c>
      <c r="B1733" t="s">
        <v>426</v>
      </c>
      <c r="C1733" s="72" t="n">
        <v>2038</v>
      </c>
      <c r="D1733" t="s">
        <v>184</v>
      </c>
      <c r="E1733" s="73" t="n">
        <v>133056.321336816</v>
      </c>
      <c r="F1733" s="74" t="n">
        <v>89776.0325743637</v>
      </c>
      <c r="G1733" s="75" t="n">
        <v>133004.77137127</v>
      </c>
      <c r="H1733" s="76" t="n">
        <v>89762.9085046272</v>
      </c>
      <c r="I1733" s="77" t="str">
        <f>H1733-F1733</f>
      </c>
      <c r="J1733" s="78" t="str">
        <f>G1733-E1733</f>
      </c>
    </row>
    <row r="1734">
      <c r="A1734" t="s">
        <v>263</v>
      </c>
      <c r="B1734" t="s">
        <v>426</v>
      </c>
      <c r="C1734" s="72" t="n">
        <v>2038</v>
      </c>
      <c r="D1734" t="s">
        <v>187</v>
      </c>
      <c r="E1734" s="73" t="n">
        <v>435007.685228752</v>
      </c>
      <c r="F1734" s="74" t="n">
        <v>403940.850273554</v>
      </c>
      <c r="G1734" s="75" t="n">
        <v>436878.359538317</v>
      </c>
      <c r="H1734" s="76" t="n">
        <v>405384.957772321</v>
      </c>
      <c r="I1734" s="77" t="str">
        <f>H1734-F1734</f>
      </c>
      <c r="J1734" s="78" t="str">
        <f>G1734-E1734</f>
      </c>
    </row>
    <row r="1735">
      <c r="A1735" t="s">
        <v>263</v>
      </c>
      <c r="B1735" t="s">
        <v>426</v>
      </c>
      <c r="C1735" s="72" t="n">
        <v>2038</v>
      </c>
      <c r="D1735" t="s">
        <v>190</v>
      </c>
      <c r="E1735" s="73" t="n">
        <v>744349.737522123</v>
      </c>
      <c r="F1735" s="74" t="n">
        <v>462600.885404982</v>
      </c>
      <c r="G1735" s="75" t="n">
        <v>753560.822146793</v>
      </c>
      <c r="H1735" s="76" t="n">
        <v>465342.91786371</v>
      </c>
      <c r="I1735" s="77" t="str">
        <f>H1735-F1735</f>
      </c>
      <c r="J1735" s="78" t="str">
        <f>G1735-E1735</f>
      </c>
    </row>
    <row r="1736">
      <c r="A1736" t="s">
        <v>263</v>
      </c>
      <c r="B1736" t="s">
        <v>426</v>
      </c>
      <c r="C1736" s="72" t="n">
        <v>2038</v>
      </c>
      <c r="D1736" t="s">
        <v>193</v>
      </c>
      <c r="E1736" s="73" t="n">
        <v>560869.688724508</v>
      </c>
      <c r="F1736" s="74" t="n">
        <v>317119.448943212</v>
      </c>
      <c r="G1736" s="75" t="n">
        <v>565403.758799385</v>
      </c>
      <c r="H1736" s="76" t="n">
        <v>318461.022248122</v>
      </c>
      <c r="I1736" s="77" t="str">
        <f>H1736-F1736</f>
      </c>
      <c r="J1736" s="78" t="str">
        <f>G1736-E1736</f>
      </c>
    </row>
    <row r="1737">
      <c r="A1737" t="s">
        <v>263</v>
      </c>
      <c r="B1737" t="s">
        <v>426</v>
      </c>
      <c r="C1737" s="72" t="n">
        <v>2038</v>
      </c>
      <c r="D1737" t="s">
        <v>424</v>
      </c>
      <c r="E1737" s="73" t="n">
        <v>43731.7469111198</v>
      </c>
      <c r="F1737" s="74" t="n">
        <v>7517.79971946771</v>
      </c>
      <c r="G1737" s="75" t="n">
        <v>43730.7448506382</v>
      </c>
      <c r="H1737" s="76" t="n">
        <v>7517.77035327065</v>
      </c>
      <c r="I1737" s="77" t="str">
        <f>H1737-F1737</f>
      </c>
      <c r="J1737" s="78" t="str">
        <f>G1737-E1737</f>
      </c>
    </row>
    <row r="1738">
      <c r="A1738" t="s">
        <v>263</v>
      </c>
      <c r="B1738" t="s">
        <v>426</v>
      </c>
      <c r="C1738" s="72" t="n">
        <v>2039</v>
      </c>
      <c r="D1738" t="s">
        <v>176</v>
      </c>
      <c r="E1738" s="73" t="n">
        <v>18763.0245181403</v>
      </c>
      <c r="F1738" s="74" t="n">
        <v>13408.1971019956</v>
      </c>
      <c r="G1738" s="75" t="n">
        <v>18752.090499403</v>
      </c>
      <c r="H1738" s="76" t="n">
        <v>13404.6696202756</v>
      </c>
      <c r="I1738" s="77" t="str">
        <f>H1738-F1738</f>
      </c>
      <c r="J1738" s="78" t="str">
        <f>G1738-E1738</f>
      </c>
    </row>
    <row r="1739">
      <c r="A1739" t="s">
        <v>263</v>
      </c>
      <c r="B1739" t="s">
        <v>426</v>
      </c>
      <c r="C1739" s="72" t="n">
        <v>2039</v>
      </c>
      <c r="D1739" t="s">
        <v>238</v>
      </c>
      <c r="E1739" s="73" t="n">
        <v>1175023.08325249</v>
      </c>
      <c r="F1739" s="74" t="n">
        <v>241646.937130614</v>
      </c>
      <c r="G1739" s="75" t="n">
        <v>1184738.39184491</v>
      </c>
      <c r="H1739" s="76" t="n">
        <v>242132.191153164</v>
      </c>
      <c r="I1739" s="77" t="str">
        <f>H1739-F1739</f>
      </c>
      <c r="J1739" s="78" t="str">
        <f>G1739-E1739</f>
      </c>
    </row>
    <row r="1740">
      <c r="A1740" t="s">
        <v>263</v>
      </c>
      <c r="B1740" t="s">
        <v>426</v>
      </c>
      <c r="C1740" s="72" t="n">
        <v>2039</v>
      </c>
      <c r="D1740" t="s">
        <v>184</v>
      </c>
      <c r="E1740" s="73" t="n">
        <v>135936.218743253</v>
      </c>
      <c r="F1740" s="74" t="n">
        <v>91733.7475540573</v>
      </c>
      <c r="G1740" s="75" t="n">
        <v>135872.13136763</v>
      </c>
      <c r="H1740" s="76" t="n">
        <v>91716.3663536023</v>
      </c>
      <c r="I1740" s="77" t="str">
        <f>H1740-F1740</f>
      </c>
      <c r="J1740" s="78" t="str">
        <f>G1740-E1740</f>
      </c>
    </row>
    <row r="1741">
      <c r="A1741" t="s">
        <v>263</v>
      </c>
      <c r="B1741" t="s">
        <v>426</v>
      </c>
      <c r="C1741" s="72" t="n">
        <v>2039</v>
      </c>
      <c r="D1741" t="s">
        <v>187</v>
      </c>
      <c r="E1741" s="73" t="n">
        <v>441922.744063521</v>
      </c>
      <c r="F1741" s="74" t="n">
        <v>410554.175165492</v>
      </c>
      <c r="G1741" s="75" t="n">
        <v>443905.980748337</v>
      </c>
      <c r="H1741" s="76" t="n">
        <v>412120.21350488</v>
      </c>
      <c r="I1741" s="77" t="str">
        <f>H1741-F1741</f>
      </c>
      <c r="J1741" s="78" t="str">
        <f>G1741-E1741</f>
      </c>
    </row>
    <row r="1742">
      <c r="A1742" t="s">
        <v>263</v>
      </c>
      <c r="B1742" t="s">
        <v>426</v>
      </c>
      <c r="C1742" s="72" t="n">
        <v>2039</v>
      </c>
      <c r="D1742" t="s">
        <v>190</v>
      </c>
      <c r="E1742" s="73" t="n">
        <v>755727.130795966</v>
      </c>
      <c r="F1742" s="74" t="n">
        <v>472143.302117855</v>
      </c>
      <c r="G1742" s="75" t="n">
        <v>765528.467838857</v>
      </c>
      <c r="H1742" s="76" t="n">
        <v>475269.787528918</v>
      </c>
      <c r="I1742" s="77" t="str">
        <f>H1742-F1742</f>
      </c>
      <c r="J1742" s="78" t="str">
        <f>G1742-E1742</f>
      </c>
    </row>
    <row r="1743">
      <c r="A1743" t="s">
        <v>263</v>
      </c>
      <c r="B1743" t="s">
        <v>426</v>
      </c>
      <c r="C1743" s="72" t="n">
        <v>2039</v>
      </c>
      <c r="D1743" t="s">
        <v>193</v>
      </c>
      <c r="E1743" s="73" t="n">
        <v>572581.241488876</v>
      </c>
      <c r="F1743" s="74" t="n">
        <v>326725.183271785</v>
      </c>
      <c r="G1743" s="75" t="n">
        <v>577414.514396235</v>
      </c>
      <c r="H1743" s="76" t="n">
        <v>328246.401276368</v>
      </c>
      <c r="I1743" s="77" t="str">
        <f>H1743-F1743</f>
      </c>
      <c r="J1743" s="78" t="str">
        <f>G1743-E1743</f>
      </c>
    </row>
    <row r="1744">
      <c r="A1744" t="s">
        <v>263</v>
      </c>
      <c r="B1744" t="s">
        <v>426</v>
      </c>
      <c r="C1744" s="72" t="n">
        <v>2039</v>
      </c>
      <c r="D1744" t="s">
        <v>424</v>
      </c>
      <c r="E1744" s="73" t="n">
        <v>43590.0856009853</v>
      </c>
      <c r="F1744" s="74" t="n">
        <v>7547.59881737015</v>
      </c>
      <c r="G1744" s="75" t="n">
        <v>43588.845456637</v>
      </c>
      <c r="H1744" s="76" t="n">
        <v>7547.5598608641</v>
      </c>
      <c r="I1744" s="77" t="str">
        <f>H1744-F1744</f>
      </c>
      <c r="J1744" s="78" t="str">
        <f>G1744-E1744</f>
      </c>
    </row>
    <row r="1745">
      <c r="A1745" t="s">
        <v>263</v>
      </c>
      <c r="B1745" t="s">
        <v>426</v>
      </c>
      <c r="C1745" s="72" t="n">
        <v>2040</v>
      </c>
      <c r="D1745" t="s">
        <v>176</v>
      </c>
      <c r="E1745" s="73" t="n">
        <v>19249.135321767</v>
      </c>
      <c r="F1745" s="74" t="n">
        <v>13703.4939426765</v>
      </c>
      <c r="G1745" s="75" t="n">
        <v>19235.7365429273</v>
      </c>
      <c r="H1745" s="76" t="n">
        <v>13698.9721681132</v>
      </c>
      <c r="I1745" s="77" t="str">
        <f>H1745-F1745</f>
      </c>
      <c r="J1745" s="78" t="str">
        <f>G1745-E1745</f>
      </c>
    </row>
    <row r="1746">
      <c r="A1746" t="s">
        <v>263</v>
      </c>
      <c r="B1746" t="s">
        <v>426</v>
      </c>
      <c r="C1746" s="72" t="n">
        <v>2040</v>
      </c>
      <c r="D1746" t="s">
        <v>238</v>
      </c>
      <c r="E1746" s="73" t="n">
        <v>1182456.27584143</v>
      </c>
      <c r="F1746" s="74" t="n">
        <v>249336.055675245</v>
      </c>
      <c r="G1746" s="75" t="n">
        <v>1192634.43006365</v>
      </c>
      <c r="H1746" s="76" t="n">
        <v>249894.478827588</v>
      </c>
      <c r="I1746" s="77" t="str">
        <f>H1746-F1746</f>
      </c>
      <c r="J1746" s="78" t="str">
        <f>G1746-E1746</f>
      </c>
    </row>
    <row r="1747">
      <c r="A1747" t="s">
        <v>263</v>
      </c>
      <c r="B1747" t="s">
        <v>426</v>
      </c>
      <c r="C1747" s="72" t="n">
        <v>2040</v>
      </c>
      <c r="D1747" t="s">
        <v>184</v>
      </c>
      <c r="E1747" s="73" t="n">
        <v>138767.88688394</v>
      </c>
      <c r="F1747" s="74" t="n">
        <v>93659.2664719613</v>
      </c>
      <c r="G1747" s="75" t="n">
        <v>138689.796610277</v>
      </c>
      <c r="H1747" s="76" t="n">
        <v>93636.8967600593</v>
      </c>
      <c r="I1747" s="77" t="str">
        <f>H1747-F1747</f>
      </c>
      <c r="J1747" s="78" t="str">
        <f>G1747-E1747</f>
      </c>
    </row>
    <row r="1748">
      <c r="A1748" t="s">
        <v>263</v>
      </c>
      <c r="B1748" t="s">
        <v>426</v>
      </c>
      <c r="C1748" s="72" t="n">
        <v>2040</v>
      </c>
      <c r="D1748" t="s">
        <v>187</v>
      </c>
      <c r="E1748" s="73" t="n">
        <v>448753.058700961</v>
      </c>
      <c r="F1748" s="74" t="n">
        <v>416939.376382838</v>
      </c>
      <c r="G1748" s="75" t="n">
        <v>450841.764596063</v>
      </c>
      <c r="H1748" s="76" t="n">
        <v>418620.908948174</v>
      </c>
      <c r="I1748" s="77" t="str">
        <f>H1748-F1748</f>
      </c>
      <c r="J1748" s="78" t="str">
        <f>G1748-E1748</f>
      </c>
    </row>
    <row r="1749">
      <c r="A1749" t="s">
        <v>263</v>
      </c>
      <c r="B1749" t="s">
        <v>426</v>
      </c>
      <c r="C1749" s="72" t="n">
        <v>2040</v>
      </c>
      <c r="D1749" t="s">
        <v>190</v>
      </c>
      <c r="E1749" s="73" t="n">
        <v>766726.355660697</v>
      </c>
      <c r="F1749" s="74" t="n">
        <v>481429.713743758</v>
      </c>
      <c r="G1749" s="75" t="n">
        <v>777088.496702091</v>
      </c>
      <c r="H1749" s="76" t="n">
        <v>484947.105425179</v>
      </c>
      <c r="I1749" s="77" t="str">
        <f>H1749-F1749</f>
      </c>
      <c r="J1749" s="78" t="str">
        <f>G1749-E1749</f>
      </c>
    </row>
    <row r="1750">
      <c r="A1750" t="s">
        <v>263</v>
      </c>
      <c r="B1750" t="s">
        <v>426</v>
      </c>
      <c r="C1750" s="72" t="n">
        <v>2040</v>
      </c>
      <c r="D1750" t="s">
        <v>193</v>
      </c>
      <c r="E1750" s="73" t="n">
        <v>584240.911953496</v>
      </c>
      <c r="F1750" s="74" t="n">
        <v>336335.079850063</v>
      </c>
      <c r="G1750" s="75" t="n">
        <v>589359.733832842</v>
      </c>
      <c r="H1750" s="76" t="n">
        <v>338039.010430446</v>
      </c>
      <c r="I1750" s="77" t="str">
        <f>H1750-F1750</f>
      </c>
      <c r="J1750" s="78" t="str">
        <f>G1750-E1750</f>
      </c>
    </row>
    <row r="1751">
      <c r="A1751" t="s">
        <v>263</v>
      </c>
      <c r="B1751" t="s">
        <v>426</v>
      </c>
      <c r="C1751" s="72" t="n">
        <v>2040</v>
      </c>
      <c r="D1751" t="s">
        <v>424</v>
      </c>
      <c r="E1751" s="73" t="n">
        <v>43466.3646180127</v>
      </c>
      <c r="F1751" s="74" t="n">
        <v>7573.77577215061</v>
      </c>
      <c r="G1751" s="75" t="n">
        <v>43464.8596818836</v>
      </c>
      <c r="H1751" s="76" t="n">
        <v>7573.72556082699</v>
      </c>
      <c r="I1751" s="77" t="str">
        <f>H1751-F1751</f>
      </c>
      <c r="J1751" s="78" t="str">
        <f>G1751-E1751</f>
      </c>
    </row>
    <row r="1752">
      <c r="A1752" t="s">
        <v>263</v>
      </c>
      <c r="B1752" t="s">
        <v>426</v>
      </c>
      <c r="C1752" s="72" t="n">
        <v>2041</v>
      </c>
      <c r="D1752" t="s">
        <v>176</v>
      </c>
      <c r="E1752" s="73" t="n">
        <v>19743.4439917134</v>
      </c>
      <c r="F1752" s="74" t="n">
        <v>13997.274380957</v>
      </c>
      <c r="G1752" s="75" t="n">
        <v>19727.283486384</v>
      </c>
      <c r="H1752" s="76" t="n">
        <v>13991.6066902828</v>
      </c>
      <c r="I1752" s="77" t="str">
        <f>H1752-F1752</f>
      </c>
      <c r="J1752" s="78" t="str">
        <f>G1752-E1752</f>
      </c>
    </row>
    <row r="1753">
      <c r="A1753" t="s">
        <v>263</v>
      </c>
      <c r="B1753" t="s">
        <v>426</v>
      </c>
      <c r="C1753" s="72" t="n">
        <v>2041</v>
      </c>
      <c r="D1753" t="s">
        <v>238</v>
      </c>
      <c r="E1753" s="73" t="n">
        <v>1189383.10178258</v>
      </c>
      <c r="F1753" s="74" t="n">
        <v>256963.701741611</v>
      </c>
      <c r="G1753" s="75" t="n">
        <v>1199988.17586749</v>
      </c>
      <c r="H1753" s="76" t="n">
        <v>257599.044002988</v>
      </c>
      <c r="I1753" s="77" t="str">
        <f>H1753-F1753</f>
      </c>
      <c r="J1753" s="78" t="str">
        <f>G1753-E1753</f>
      </c>
    </row>
    <row r="1754">
      <c r="A1754" t="s">
        <v>263</v>
      </c>
      <c r="B1754" t="s">
        <v>426</v>
      </c>
      <c r="C1754" s="72" t="n">
        <v>2041</v>
      </c>
      <c r="D1754" t="s">
        <v>184</v>
      </c>
      <c r="E1754" s="73" t="n">
        <v>141569.15151514</v>
      </c>
      <c r="F1754" s="74" t="n">
        <v>95555.1200167166</v>
      </c>
      <c r="G1754" s="75" t="n">
        <v>141475.570851386</v>
      </c>
      <c r="H1754" s="76" t="n">
        <v>95527.0063786807</v>
      </c>
      <c r="I1754" s="77" t="str">
        <f>H1754-F1754</f>
      </c>
      <c r="J1754" s="78" t="str">
        <f>G1754-E1754</f>
      </c>
    </row>
    <row r="1755">
      <c r="A1755" t="s">
        <v>263</v>
      </c>
      <c r="B1755" t="s">
        <v>426</v>
      </c>
      <c r="C1755" s="72" t="n">
        <v>2041</v>
      </c>
      <c r="D1755" t="s">
        <v>187</v>
      </c>
      <c r="E1755" s="73" t="n">
        <v>455510.937921542</v>
      </c>
      <c r="F1755" s="74" t="n">
        <v>423214.876577317</v>
      </c>
      <c r="G1755" s="75" t="n">
        <v>457698.128134802</v>
      </c>
      <c r="H1755" s="76" t="n">
        <v>425005.77720965</v>
      </c>
      <c r="I1755" s="77" t="str">
        <f>H1755-F1755</f>
      </c>
      <c r="J1755" s="78" t="str">
        <f>G1755-E1755</f>
      </c>
    </row>
    <row r="1756">
      <c r="A1756" t="s">
        <v>263</v>
      </c>
      <c r="B1756" t="s">
        <v>426</v>
      </c>
      <c r="C1756" s="72" t="n">
        <v>2041</v>
      </c>
      <c r="D1756" t="s">
        <v>190</v>
      </c>
      <c r="E1756" s="73" t="n">
        <v>777398.727428483</v>
      </c>
      <c r="F1756" s="74" t="n">
        <v>490478.771895326</v>
      </c>
      <c r="G1756" s="75" t="n">
        <v>788293.242756689</v>
      </c>
      <c r="H1756" s="76" t="n">
        <v>494390.873248259</v>
      </c>
      <c r="I1756" s="77" t="str">
        <f>H1756-F1756</f>
      </c>
      <c r="J1756" s="78" t="str">
        <f>G1756-E1756</f>
      </c>
    </row>
    <row r="1757">
      <c r="A1757" t="s">
        <v>263</v>
      </c>
      <c r="B1757" t="s">
        <v>426</v>
      </c>
      <c r="C1757" s="72" t="n">
        <v>2041</v>
      </c>
      <c r="D1757" t="s">
        <v>193</v>
      </c>
      <c r="E1757" s="73" t="n">
        <v>595765.346751825</v>
      </c>
      <c r="F1757" s="74" t="n">
        <v>346035.449436517</v>
      </c>
      <c r="G1757" s="75" t="n">
        <v>601155.340946961</v>
      </c>
      <c r="H1757" s="76" t="n">
        <v>347924.766327078</v>
      </c>
      <c r="I1757" s="77" t="str">
        <f>H1757-F1757</f>
      </c>
      <c r="J1757" s="78" t="str">
        <f>G1757-E1757</f>
      </c>
    </row>
    <row r="1758">
      <c r="A1758" t="s">
        <v>263</v>
      </c>
      <c r="B1758" t="s">
        <v>426</v>
      </c>
      <c r="C1758" s="72" t="n">
        <v>2041</v>
      </c>
      <c r="D1758" t="s">
        <v>424</v>
      </c>
      <c r="E1758" s="73" t="n">
        <v>43362.7318638457</v>
      </c>
      <c r="F1758" s="74" t="n">
        <v>7596.05854786986</v>
      </c>
      <c r="G1758" s="75" t="n">
        <v>43360.9356755525</v>
      </c>
      <c r="H1758" s="76" t="n">
        <v>7595.99533386821</v>
      </c>
      <c r="I1758" s="77" t="str">
        <f>H1758-F1758</f>
      </c>
      <c r="J1758" s="78" t="str">
        <f>G1758-E1758</f>
      </c>
    </row>
    <row r="1759">
      <c r="A1759" t="s">
        <v>263</v>
      </c>
      <c r="B1759" t="s">
        <v>426</v>
      </c>
      <c r="C1759" s="72" t="n">
        <v>2042</v>
      </c>
      <c r="D1759" t="s">
        <v>176</v>
      </c>
      <c r="E1759" s="73" t="n">
        <v>20241.4964352748</v>
      </c>
      <c r="F1759" s="74" t="n">
        <v>14291.5919833559</v>
      </c>
      <c r="G1759" s="75" t="n">
        <v>20222.2683991647</v>
      </c>
      <c r="H1759" s="76" t="n">
        <v>14284.6169088399</v>
      </c>
      <c r="I1759" s="77" t="str">
        <f>H1759-F1759</f>
      </c>
      <c r="J1759" s="78" t="str">
        <f>G1759-E1759</f>
      </c>
    </row>
    <row r="1760">
      <c r="A1760" t="s">
        <v>263</v>
      </c>
      <c r="B1760" t="s">
        <v>426</v>
      </c>
      <c r="C1760" s="72" t="n">
        <v>2042</v>
      </c>
      <c r="D1760" t="s">
        <v>238</v>
      </c>
      <c r="E1760" s="73" t="n">
        <v>1195802.32087886</v>
      </c>
      <c r="F1760" s="74" t="n">
        <v>264573.558667139</v>
      </c>
      <c r="G1760" s="75" t="n">
        <v>1206799.58929471</v>
      </c>
      <c r="H1760" s="76" t="n">
        <v>265289.409116733</v>
      </c>
      <c r="I1760" s="77" t="str">
        <f>H1760-F1760</f>
      </c>
      <c r="J1760" s="78" t="str">
        <f>G1760-E1760</f>
      </c>
    </row>
    <row r="1761">
      <c r="A1761" t="s">
        <v>263</v>
      </c>
      <c r="B1761" t="s">
        <v>426</v>
      </c>
      <c r="C1761" s="72" t="n">
        <v>2042</v>
      </c>
      <c r="D1761" t="s">
        <v>184</v>
      </c>
      <c r="E1761" s="73" t="n">
        <v>144358.673525233</v>
      </c>
      <c r="F1761" s="74" t="n">
        <v>97440.7967732239</v>
      </c>
      <c r="G1761" s="75" t="n">
        <v>144248.066926011</v>
      </c>
      <c r="H1761" s="76" t="n">
        <v>97406.1569770963</v>
      </c>
      <c r="I1761" s="77" t="str">
        <f>H1761-F1761</f>
      </c>
      <c r="J1761" s="78" t="str">
        <f>G1761-E1761</f>
      </c>
    </row>
    <row r="1762">
      <c r="A1762" t="s">
        <v>263</v>
      </c>
      <c r="B1762" t="s">
        <v>426</v>
      </c>
      <c r="C1762" s="72" t="n">
        <v>2042</v>
      </c>
      <c r="D1762" t="s">
        <v>187</v>
      </c>
      <c r="E1762" s="73" t="n">
        <v>462208.265799769</v>
      </c>
      <c r="F1762" s="74" t="n">
        <v>429502.497826325</v>
      </c>
      <c r="G1762" s="75" t="n">
        <v>464487.038990191</v>
      </c>
      <c r="H1762" s="76" t="n">
        <v>431397.042999706</v>
      </c>
      <c r="I1762" s="77" t="str">
        <f>H1762-F1762</f>
      </c>
      <c r="J1762" s="78" t="str">
        <f>G1762-E1762</f>
      </c>
    </row>
    <row r="1763">
      <c r="A1763" t="s">
        <v>263</v>
      </c>
      <c r="B1763" t="s">
        <v>426</v>
      </c>
      <c r="C1763" s="72" t="n">
        <v>2042</v>
      </c>
      <c r="D1763" t="s">
        <v>190</v>
      </c>
      <c r="E1763" s="73" t="n">
        <v>787825.958960153</v>
      </c>
      <c r="F1763" s="74" t="n">
        <v>499295.628421608</v>
      </c>
      <c r="G1763" s="75" t="n">
        <v>799225.499121645</v>
      </c>
      <c r="H1763" s="76" t="n">
        <v>503603.803809569</v>
      </c>
      <c r="I1763" s="77" t="str">
        <f>H1763-F1763</f>
      </c>
      <c r="J1763" s="78" t="str">
        <f>G1763-E1763</f>
      </c>
    </row>
    <row r="1764">
      <c r="A1764" t="s">
        <v>263</v>
      </c>
      <c r="B1764" t="s">
        <v>426</v>
      </c>
      <c r="C1764" s="72" t="n">
        <v>2042</v>
      </c>
      <c r="D1764" t="s">
        <v>193</v>
      </c>
      <c r="E1764" s="73" t="n">
        <v>607018.773706058</v>
      </c>
      <c r="F1764" s="74" t="n">
        <v>355854.079600187</v>
      </c>
      <c r="G1764" s="75" t="n">
        <v>612664.177038008</v>
      </c>
      <c r="H1764" s="76" t="n">
        <v>357930.939504437</v>
      </c>
      <c r="I1764" s="77" t="str">
        <f>H1764-F1764</f>
      </c>
      <c r="J1764" s="78" t="str">
        <f>G1764-E1764</f>
      </c>
    </row>
    <row r="1765">
      <c r="A1765" t="s">
        <v>263</v>
      </c>
      <c r="B1765" t="s">
        <v>426</v>
      </c>
      <c r="C1765" s="72" t="n">
        <v>2042</v>
      </c>
      <c r="D1765" t="s">
        <v>424</v>
      </c>
      <c r="E1765" s="73" t="n">
        <v>43280.8422303982</v>
      </c>
      <c r="F1765" s="74" t="n">
        <v>7616.67088080678</v>
      </c>
      <c r="G1765" s="75" t="n">
        <v>43278.7284816073</v>
      </c>
      <c r="H1765" s="76" t="n">
        <v>7616.59280355029</v>
      </c>
      <c r="I1765" s="77" t="str">
        <f>H1765-F1765</f>
      </c>
      <c r="J1765" s="78" t="str">
        <f>G1765-E1765</f>
      </c>
    </row>
    <row r="1766">
      <c r="A1766" t="s">
        <v>263</v>
      </c>
      <c r="B1766" t="s">
        <v>426</v>
      </c>
      <c r="C1766" s="72" t="n">
        <v>2043</v>
      </c>
      <c r="D1766" t="s">
        <v>176</v>
      </c>
      <c r="E1766" s="73" t="n">
        <v>20743.1656832834</v>
      </c>
      <c r="F1766" s="74" t="n">
        <v>14581.3347716306</v>
      </c>
      <c r="G1766" s="75" t="n">
        <v>20720.5482054553</v>
      </c>
      <c r="H1766" s="76" t="n">
        <v>14572.8831532714</v>
      </c>
      <c r="I1766" s="77" t="str">
        <f>H1766-F1766</f>
      </c>
      <c r="J1766" s="78" t="str">
        <f>G1766-E1766</f>
      </c>
    </row>
    <row r="1767">
      <c r="A1767" t="s">
        <v>263</v>
      </c>
      <c r="B1767" t="s">
        <v>426</v>
      </c>
      <c r="C1767" s="72" t="n">
        <v>2043</v>
      </c>
      <c r="D1767" t="s">
        <v>238</v>
      </c>
      <c r="E1767" s="73" t="n">
        <v>1201693.5731343</v>
      </c>
      <c r="F1767" s="74" t="n">
        <v>272150.797421382</v>
      </c>
      <c r="G1767" s="75" t="n">
        <v>1213049.26096591</v>
      </c>
      <c r="H1767" s="76" t="n">
        <v>272950.435419178</v>
      </c>
      <c r="I1767" s="77" t="str">
        <f>H1767-F1767</f>
      </c>
      <c r="J1767" s="78" t="str">
        <f>G1767-E1767</f>
      </c>
    </row>
    <row r="1768">
      <c r="A1768" t="s">
        <v>263</v>
      </c>
      <c r="B1768" t="s">
        <v>426</v>
      </c>
      <c r="C1768" s="72" t="n">
        <v>2043</v>
      </c>
      <c r="D1768" t="s">
        <v>184</v>
      </c>
      <c r="E1768" s="73" t="n">
        <v>147123.018882049</v>
      </c>
      <c r="F1768" s="74" t="n">
        <v>99313.365741108</v>
      </c>
      <c r="G1768" s="75" t="n">
        <v>146993.814208207</v>
      </c>
      <c r="H1768" s="76" t="n">
        <v>99271.3911680729</v>
      </c>
      <c r="I1768" s="77" t="str">
        <f>H1768-F1768</f>
      </c>
      <c r="J1768" s="78" t="str">
        <f>G1768-E1768</f>
      </c>
    </row>
    <row r="1769">
      <c r="A1769" t="s">
        <v>263</v>
      </c>
      <c r="B1769" t="s">
        <v>426</v>
      </c>
      <c r="C1769" s="72" t="n">
        <v>2043</v>
      </c>
      <c r="D1769" t="s">
        <v>187</v>
      </c>
      <c r="E1769" s="73" t="n">
        <v>468791.629121945</v>
      </c>
      <c r="F1769" s="74" t="n">
        <v>435688.102845661</v>
      </c>
      <c r="G1769" s="75" t="n">
        <v>471154.839580669</v>
      </c>
      <c r="H1769" s="76" t="n">
        <v>437679.988471842</v>
      </c>
      <c r="I1769" s="77" t="str">
        <f>H1769-F1769</f>
      </c>
      <c r="J1769" s="78" t="str">
        <f>G1769-E1769</f>
      </c>
    </row>
    <row r="1770">
      <c r="A1770" t="s">
        <v>263</v>
      </c>
      <c r="B1770" t="s">
        <v>426</v>
      </c>
      <c r="C1770" s="72" t="n">
        <v>2043</v>
      </c>
      <c r="D1770" t="s">
        <v>190</v>
      </c>
      <c r="E1770" s="73" t="n">
        <v>798135.452466227</v>
      </c>
      <c r="F1770" s="74" t="n">
        <v>507906.778383887</v>
      </c>
      <c r="G1770" s="75" t="n">
        <v>810014.772834319</v>
      </c>
      <c r="H1770" s="76" t="n">
        <v>512610.449179313</v>
      </c>
      <c r="I1770" s="77" t="str">
        <f>H1770-F1770</f>
      </c>
      <c r="J1770" s="78" t="str">
        <f>G1770-E1770</f>
      </c>
    </row>
    <row r="1771">
      <c r="A1771" t="s">
        <v>263</v>
      </c>
      <c r="B1771" t="s">
        <v>426</v>
      </c>
      <c r="C1771" s="72" t="n">
        <v>2043</v>
      </c>
      <c r="D1771" t="s">
        <v>193</v>
      </c>
      <c r="E1771" s="73" t="n">
        <v>618067.777651289</v>
      </c>
      <c r="F1771" s="74" t="n">
        <v>365693.867729331</v>
      </c>
      <c r="G1771" s="75" t="n">
        <v>623953.356494139</v>
      </c>
      <c r="H1771" s="76" t="n">
        <v>367959.059248153</v>
      </c>
      <c r="I1771" s="77" t="str">
        <f>H1771-F1771</f>
      </c>
      <c r="J1771" s="78" t="str">
        <f>G1771-E1771</f>
      </c>
    </row>
    <row r="1772">
      <c r="A1772" t="s">
        <v>263</v>
      </c>
      <c r="B1772" t="s">
        <v>426</v>
      </c>
      <c r="C1772" s="72" t="n">
        <v>2043</v>
      </c>
      <c r="D1772" t="s">
        <v>424</v>
      </c>
      <c r="E1772" s="73" t="n">
        <v>43234.5961108993</v>
      </c>
      <c r="F1772" s="74" t="n">
        <v>7634.73300351195</v>
      </c>
      <c r="G1772" s="75" t="n">
        <v>43232.1385441846</v>
      </c>
      <c r="H1772" s="76" t="n">
        <v>7634.63809790975</v>
      </c>
      <c r="I1772" s="77" t="str">
        <f>H1772-F1772</f>
      </c>
      <c r="J1772" s="78" t="str">
        <f>G1772-E1772</f>
      </c>
    </row>
    <row r="1773">
      <c r="A1773" t="s">
        <v>263</v>
      </c>
      <c r="B1773" t="s">
        <v>426</v>
      </c>
      <c r="C1773" s="72" t="n">
        <v>2044</v>
      </c>
      <c r="D1773" t="s">
        <v>176</v>
      </c>
      <c r="E1773" s="73" t="n">
        <v>21246.5906668082</v>
      </c>
      <c r="F1773" s="74" t="n">
        <v>14871.5349387062</v>
      </c>
      <c r="G1773" s="75" t="n">
        <v>21220.2473713984</v>
      </c>
      <c r="H1773" s="76" t="n">
        <v>14861.4315691186</v>
      </c>
      <c r="I1773" s="77" t="str">
        <f>H1773-F1773</f>
      </c>
      <c r="J1773" s="78" t="str">
        <f>G1773-E1773</f>
      </c>
    </row>
    <row r="1774">
      <c r="A1774" t="s">
        <v>263</v>
      </c>
      <c r="B1774" t="s">
        <v>426</v>
      </c>
      <c r="C1774" s="72" t="n">
        <v>2044</v>
      </c>
      <c r="D1774" t="s">
        <v>238</v>
      </c>
      <c r="E1774" s="73" t="n">
        <v>1207304.30956967</v>
      </c>
      <c r="F1774" s="74" t="n">
        <v>279620.060142866</v>
      </c>
      <c r="G1774" s="75" t="n">
        <v>1218988.4670045</v>
      </c>
      <c r="H1774" s="76" t="n">
        <v>280506.441535508</v>
      </c>
      <c r="I1774" s="77" t="str">
        <f>H1774-F1774</f>
      </c>
      <c r="J1774" s="78" t="str">
        <f>G1774-E1774</f>
      </c>
    </row>
    <row r="1775">
      <c r="A1775" t="s">
        <v>263</v>
      </c>
      <c r="B1775" t="s">
        <v>426</v>
      </c>
      <c r="C1775" s="72" t="n">
        <v>2044</v>
      </c>
      <c r="D1775" t="s">
        <v>184</v>
      </c>
      <c r="E1775" s="73" t="n">
        <v>149845.616409188</v>
      </c>
      <c r="F1775" s="74" t="n">
        <v>101162.427841256</v>
      </c>
      <c r="G1775" s="75" t="n">
        <v>149696.213967301</v>
      </c>
      <c r="H1775" s="76" t="n">
        <v>101112.290089553</v>
      </c>
      <c r="I1775" s="77" t="str">
        <f>H1775-F1775</f>
      </c>
      <c r="J1775" s="78" t="str">
        <f>G1775-E1775</f>
      </c>
    </row>
    <row r="1776">
      <c r="A1776" t="s">
        <v>263</v>
      </c>
      <c r="B1776" t="s">
        <v>426</v>
      </c>
      <c r="C1776" s="72" t="n">
        <v>2044</v>
      </c>
      <c r="D1776" t="s">
        <v>187</v>
      </c>
      <c r="E1776" s="73" t="n">
        <v>475141.399023282</v>
      </c>
      <c r="F1776" s="74" t="n">
        <v>441718.074536807</v>
      </c>
      <c r="G1776" s="75" t="n">
        <v>477581.314836645</v>
      </c>
      <c r="H1776" s="76" t="n">
        <v>443800.637197395</v>
      </c>
      <c r="I1776" s="77" t="str">
        <f>H1776-F1776</f>
      </c>
      <c r="J1776" s="78" t="str">
        <f>G1776-E1776</f>
      </c>
    </row>
    <row r="1777">
      <c r="A1777" t="s">
        <v>263</v>
      </c>
      <c r="B1777" t="s">
        <v>426</v>
      </c>
      <c r="C1777" s="72" t="n">
        <v>2044</v>
      </c>
      <c r="D1777" t="s">
        <v>190</v>
      </c>
      <c r="E1777" s="73" t="n">
        <v>808406.912071612</v>
      </c>
      <c r="F1777" s="74" t="n">
        <v>516323.172175501</v>
      </c>
      <c r="G1777" s="75" t="n">
        <v>820742.370121934</v>
      </c>
      <c r="H1777" s="76" t="n">
        <v>521420.170330997</v>
      </c>
      <c r="I1777" s="77" t="str">
        <f>H1777-F1777</f>
      </c>
      <c r="J1777" s="78" t="str">
        <f>G1777-E1777</f>
      </c>
    </row>
    <row r="1778">
      <c r="A1778" t="s">
        <v>263</v>
      </c>
      <c r="B1778" t="s">
        <v>426</v>
      </c>
      <c r="C1778" s="72" t="n">
        <v>2044</v>
      </c>
      <c r="D1778" t="s">
        <v>193</v>
      </c>
      <c r="E1778" s="73" t="n">
        <v>628913.981665246</v>
      </c>
      <c r="F1778" s="74" t="n">
        <v>375465.666843593</v>
      </c>
      <c r="G1778" s="75" t="n">
        <v>635024.546467649</v>
      </c>
      <c r="H1778" s="76" t="n">
        <v>377918.589898958</v>
      </c>
      <c r="I1778" s="77" t="str">
        <f>H1778-F1778</f>
      </c>
      <c r="J1778" s="78" t="str">
        <f>G1778-E1778</f>
      </c>
    </row>
    <row r="1779">
      <c r="A1779" t="s">
        <v>263</v>
      </c>
      <c r="B1779" t="s">
        <v>426</v>
      </c>
      <c r="C1779" s="72" t="n">
        <v>2044</v>
      </c>
      <c r="D1779" t="s">
        <v>424</v>
      </c>
      <c r="E1779" s="73" t="n">
        <v>43205.4572394363</v>
      </c>
      <c r="F1779" s="74" t="n">
        <v>7652.83563681906</v>
      </c>
      <c r="G1779" s="75" t="n">
        <v>43202.6300388595</v>
      </c>
      <c r="H1779" s="76" t="n">
        <v>7652.72182573668</v>
      </c>
      <c r="I1779" s="77" t="str">
        <f>H1779-F1779</f>
      </c>
      <c r="J1779" s="78" t="str">
        <f>G1779-E1779</f>
      </c>
    </row>
    <row r="1780">
      <c r="A1780" t="s">
        <v>263</v>
      </c>
      <c r="B1780" t="s">
        <v>426</v>
      </c>
      <c r="C1780" s="72" t="n">
        <v>2045</v>
      </c>
      <c r="D1780" t="s">
        <v>176</v>
      </c>
      <c r="E1780" s="73" t="n">
        <v>21748.0274395864</v>
      </c>
      <c r="F1780" s="74" t="n">
        <v>15160.2337165267</v>
      </c>
      <c r="G1780" s="75" t="n">
        <v>21717.6165215297</v>
      </c>
      <c r="H1780" s="76" t="n">
        <v>15148.2979562423</v>
      </c>
      <c r="I1780" s="77" t="str">
        <f>H1780-F1780</f>
      </c>
      <c r="J1780" s="78" t="str">
        <f>G1780-E1780</f>
      </c>
    </row>
    <row r="1781">
      <c r="A1781" t="s">
        <v>263</v>
      </c>
      <c r="B1781" t="s">
        <v>426</v>
      </c>
      <c r="C1781" s="72" t="n">
        <v>2045</v>
      </c>
      <c r="D1781" t="s">
        <v>238</v>
      </c>
      <c r="E1781" s="73" t="n">
        <v>1212684.2715817</v>
      </c>
      <c r="F1781" s="74" t="n">
        <v>286949.333596836</v>
      </c>
      <c r="G1781" s="75" t="n">
        <v>1224668.96644768</v>
      </c>
      <c r="H1781" s="76" t="n">
        <v>287925.043222784</v>
      </c>
      <c r="I1781" s="77" t="str">
        <f>H1781-F1781</f>
      </c>
      <c r="J1781" s="78" t="str">
        <f>G1781-E1781</f>
      </c>
    </row>
    <row r="1782">
      <c r="A1782" t="s">
        <v>263</v>
      </c>
      <c r="B1782" t="s">
        <v>426</v>
      </c>
      <c r="C1782" s="72" t="n">
        <v>2045</v>
      </c>
      <c r="D1782" t="s">
        <v>184</v>
      </c>
      <c r="E1782" s="73" t="n">
        <v>152509.254547521</v>
      </c>
      <c r="F1782" s="74" t="n">
        <v>102994.461779166</v>
      </c>
      <c r="G1782" s="75" t="n">
        <v>152338.052815886</v>
      </c>
      <c r="H1782" s="76" t="n">
        <v>102935.314985138</v>
      </c>
      <c r="I1782" s="77" t="str">
        <f>H1782-F1782</f>
      </c>
      <c r="J1782" s="78" t="str">
        <f>G1782-E1782</f>
      </c>
    </row>
    <row r="1783">
      <c r="A1783" t="s">
        <v>263</v>
      </c>
      <c r="B1783" t="s">
        <v>426</v>
      </c>
      <c r="C1783" s="72" t="n">
        <v>2045</v>
      </c>
      <c r="D1783" t="s">
        <v>187</v>
      </c>
      <c r="E1783" s="73" t="n">
        <v>481214.780087356</v>
      </c>
      <c r="F1783" s="74" t="n">
        <v>447551.299824455</v>
      </c>
      <c r="G1783" s="75" t="n">
        <v>483723.516122198</v>
      </c>
      <c r="H1783" s="76" t="n">
        <v>449717.558047709</v>
      </c>
      <c r="I1783" s="77" t="str">
        <f>H1783-F1783</f>
      </c>
      <c r="J1783" s="78" t="str">
        <f>G1783-E1783</f>
      </c>
    </row>
    <row r="1784">
      <c r="A1784" t="s">
        <v>263</v>
      </c>
      <c r="B1784" t="s">
        <v>426</v>
      </c>
      <c r="C1784" s="72" t="n">
        <v>2045</v>
      </c>
      <c r="D1784" t="s">
        <v>190</v>
      </c>
      <c r="E1784" s="73" t="n">
        <v>818700.914241163</v>
      </c>
      <c r="F1784" s="74" t="n">
        <v>524508.21660597</v>
      </c>
      <c r="G1784" s="75" t="n">
        <v>831470.210098177</v>
      </c>
      <c r="H1784" s="76" t="n">
        <v>529994.226959208</v>
      </c>
      <c r="I1784" s="77" t="str">
        <f>H1784-F1784</f>
      </c>
      <c r="J1784" s="78" t="str">
        <f>G1784-E1784</f>
      </c>
    </row>
    <row r="1785">
      <c r="A1785" t="s">
        <v>263</v>
      </c>
      <c r="B1785" t="s">
        <v>426</v>
      </c>
      <c r="C1785" s="72" t="n">
        <v>2045</v>
      </c>
      <c r="D1785" t="s">
        <v>193</v>
      </c>
      <c r="E1785" s="73" t="n">
        <v>639411.505101601</v>
      </c>
      <c r="F1785" s="74" t="n">
        <v>385112.009567766</v>
      </c>
      <c r="G1785" s="75" t="n">
        <v>645730.44769896</v>
      </c>
      <c r="H1785" s="76" t="n">
        <v>387750.678781898</v>
      </c>
      <c r="I1785" s="77" t="str">
        <f>H1785-F1785</f>
      </c>
      <c r="J1785" s="78" t="str">
        <f>G1785-E1785</f>
      </c>
    </row>
    <row r="1786">
      <c r="A1786" t="s">
        <v>263</v>
      </c>
      <c r="B1786" t="s">
        <v>426</v>
      </c>
      <c r="C1786" s="72" t="n">
        <v>2045</v>
      </c>
      <c r="D1786" t="s">
        <v>424</v>
      </c>
      <c r="E1786" s="73" t="n">
        <v>43193.8258844151</v>
      </c>
      <c r="F1786" s="74" t="n">
        <v>7672.20312643166</v>
      </c>
      <c r="G1786" s="75" t="n">
        <v>43190.6037513161</v>
      </c>
      <c r="H1786" s="76" t="n">
        <v>7672.06822678464</v>
      </c>
      <c r="I1786" s="77" t="str">
        <f>H1786-F1786</f>
      </c>
      <c r="J1786" s="78" t="str">
        <f>G1786-E1786</f>
      </c>
    </row>
    <row r="1787">
      <c r="A1787" t="s">
        <v>263</v>
      </c>
      <c r="B1787" t="s">
        <v>426</v>
      </c>
      <c r="C1787" s="72" t="n">
        <v>2046</v>
      </c>
      <c r="D1787" t="s">
        <v>176</v>
      </c>
      <c r="E1787" s="73" t="n">
        <v>22245.8007794986</v>
      </c>
      <c r="F1787" s="74" t="n">
        <v>15450.8559239676</v>
      </c>
      <c r="G1787" s="75" t="n">
        <v>22210.9745219107</v>
      </c>
      <c r="H1787" s="76" t="n">
        <v>15436.8918612077</v>
      </c>
      <c r="I1787" s="77" t="str">
        <f>H1787-F1787</f>
      </c>
      <c r="J1787" s="78" t="str">
        <f>G1787-E1787</f>
      </c>
    </row>
    <row r="1788">
      <c r="A1788" t="s">
        <v>263</v>
      </c>
      <c r="B1788" t="s">
        <v>426</v>
      </c>
      <c r="C1788" s="72" t="n">
        <v>2046</v>
      </c>
      <c r="D1788" t="s">
        <v>238</v>
      </c>
      <c r="E1788" s="73" t="n">
        <v>1217865.90112792</v>
      </c>
      <c r="F1788" s="74" t="n">
        <v>294098.702026314</v>
      </c>
      <c r="G1788" s="75" t="n">
        <v>1230125.0687767</v>
      </c>
      <c r="H1788" s="76" t="n">
        <v>295165.877208802</v>
      </c>
      <c r="I1788" s="77" t="str">
        <f>H1788-F1788</f>
      </c>
      <c r="J1788" s="78" t="str">
        <f>G1788-E1788</f>
      </c>
    </row>
    <row r="1789">
      <c r="A1789" t="s">
        <v>263</v>
      </c>
      <c r="B1789" t="s">
        <v>426</v>
      </c>
      <c r="C1789" s="72" t="n">
        <v>2046</v>
      </c>
      <c r="D1789" t="s">
        <v>184</v>
      </c>
      <c r="E1789" s="73" t="n">
        <v>155113.805034484</v>
      </c>
      <c r="F1789" s="74" t="n">
        <v>104800.153748499</v>
      </c>
      <c r="G1789" s="75" t="n">
        <v>154919.185199882</v>
      </c>
      <c r="H1789" s="76" t="n">
        <v>104731.133984312</v>
      </c>
      <c r="I1789" s="77" t="str">
        <f>H1789-F1789</f>
      </c>
      <c r="J1789" s="78" t="str">
        <f>G1789-E1789</f>
      </c>
    </row>
    <row r="1790">
      <c r="A1790" t="s">
        <v>263</v>
      </c>
      <c r="B1790" t="s">
        <v>426</v>
      </c>
      <c r="C1790" s="72" t="n">
        <v>2046</v>
      </c>
      <c r="D1790" t="s">
        <v>187</v>
      </c>
      <c r="E1790" s="73" t="n">
        <v>486989.983950654</v>
      </c>
      <c r="F1790" s="74" t="n">
        <v>453067.750101775</v>
      </c>
      <c r="G1790" s="75" t="n">
        <v>489559.569488497</v>
      </c>
      <c r="H1790" s="76" t="n">
        <v>455310.080020589</v>
      </c>
      <c r="I1790" s="77" t="str">
        <f>H1790-F1790</f>
      </c>
      <c r="J1790" s="78" t="str">
        <f>G1790-E1790</f>
      </c>
    </row>
    <row r="1791">
      <c r="A1791" t="s">
        <v>263</v>
      </c>
      <c r="B1791" t="s">
        <v>426</v>
      </c>
      <c r="C1791" s="72" t="n">
        <v>2046</v>
      </c>
      <c r="D1791" t="s">
        <v>190</v>
      </c>
      <c r="E1791" s="73" t="n">
        <v>828843.477666073</v>
      </c>
      <c r="F1791" s="74" t="n">
        <v>532570.061931174</v>
      </c>
      <c r="G1791" s="75" t="n">
        <v>842022.211146035</v>
      </c>
      <c r="H1791" s="76" t="n">
        <v>538440.168228285</v>
      </c>
      <c r="I1791" s="77" t="str">
        <f>H1791-F1791</f>
      </c>
      <c r="J1791" s="78" t="str">
        <f>G1791-E1791</f>
      </c>
    </row>
    <row r="1792">
      <c r="A1792" t="s">
        <v>263</v>
      </c>
      <c r="B1792" t="s">
        <v>426</v>
      </c>
      <c r="C1792" s="72" t="n">
        <v>2046</v>
      </c>
      <c r="D1792" t="s">
        <v>193</v>
      </c>
      <c r="E1792" s="73" t="n">
        <v>649513.157351363</v>
      </c>
      <c r="F1792" s="74" t="n">
        <v>394610.710261375</v>
      </c>
      <c r="G1792" s="75" t="n">
        <v>656023.203848247</v>
      </c>
      <c r="H1792" s="76" t="n">
        <v>397431.950602612</v>
      </c>
      <c r="I1792" s="77" t="str">
        <f>H1792-F1792</f>
      </c>
      <c r="J1792" s="78" t="str">
        <f>G1792-E1792</f>
      </c>
    </row>
    <row r="1793">
      <c r="A1793" t="s">
        <v>263</v>
      </c>
      <c r="B1793" t="s">
        <v>426</v>
      </c>
      <c r="C1793" s="72" t="n">
        <v>2046</v>
      </c>
      <c r="D1793" t="s">
        <v>424</v>
      </c>
      <c r="E1793" s="73" t="n">
        <v>43199.9529998385</v>
      </c>
      <c r="F1793" s="74" t="n">
        <v>7693.71528741542</v>
      </c>
      <c r="G1793" s="75" t="n">
        <v>43196.3103231123</v>
      </c>
      <c r="H1793" s="76" t="n">
        <v>7693.55704865625</v>
      </c>
      <c r="I1793" s="77" t="str">
        <f>H1793-F1793</f>
      </c>
      <c r="J1793" s="78" t="str">
        <f>G1793-E1793</f>
      </c>
    </row>
    <row r="1794">
      <c r="A1794" t="s">
        <v>263</v>
      </c>
      <c r="B1794" t="s">
        <v>426</v>
      </c>
      <c r="C1794" s="72" t="n">
        <v>2047</v>
      </c>
      <c r="D1794" t="s">
        <v>176</v>
      </c>
      <c r="E1794" s="73" t="n">
        <v>22739.2609484129</v>
      </c>
      <c r="F1794" s="74" t="n">
        <v>15744.6882790267</v>
      </c>
      <c r="G1794" s="75" t="n">
        <v>22699.6629629007</v>
      </c>
      <c r="H1794" s="76" t="n">
        <v>15728.4854947303</v>
      </c>
      <c r="I1794" s="77" t="str">
        <f>H1794-F1794</f>
      </c>
      <c r="J1794" s="78" t="str">
        <f>G1794-E1794</f>
      </c>
    </row>
    <row r="1795">
      <c r="A1795" t="s">
        <v>263</v>
      </c>
      <c r="B1795" t="s">
        <v>426</v>
      </c>
      <c r="C1795" s="72" t="n">
        <v>2047</v>
      </c>
      <c r="D1795" t="s">
        <v>238</v>
      </c>
      <c r="E1795" s="73" t="n">
        <v>1222766.50588929</v>
      </c>
      <c r="F1795" s="74" t="n">
        <v>301020.232738734</v>
      </c>
      <c r="G1795" s="75" t="n">
        <v>1235274.66521773</v>
      </c>
      <c r="H1795" s="76" t="n">
        <v>302180.550312501</v>
      </c>
      <c r="I1795" s="77" t="str">
        <f>H1795-F1795</f>
      </c>
      <c r="J1795" s="78" t="str">
        <f>G1795-E1795</f>
      </c>
    </row>
    <row r="1796">
      <c r="A1796" t="s">
        <v>263</v>
      </c>
      <c r="B1796" t="s">
        <v>426</v>
      </c>
      <c r="C1796" s="72" t="n">
        <v>2047</v>
      </c>
      <c r="D1796" t="s">
        <v>184</v>
      </c>
      <c r="E1796" s="73" t="n">
        <v>157655.609787192</v>
      </c>
      <c r="F1796" s="74" t="n">
        <v>106567.453581287</v>
      </c>
      <c r="G1796" s="75" t="n">
        <v>157435.937342911</v>
      </c>
      <c r="H1796" s="76" t="n">
        <v>106487.677760342</v>
      </c>
      <c r="I1796" s="77" t="str">
        <f>H1796-F1796</f>
      </c>
      <c r="J1796" s="78" t="str">
        <f>G1796-E1796</f>
      </c>
    </row>
    <row r="1797">
      <c r="A1797" t="s">
        <v>263</v>
      </c>
      <c r="B1797" t="s">
        <v>426</v>
      </c>
      <c r="C1797" s="72" t="n">
        <v>2047</v>
      </c>
      <c r="D1797" t="s">
        <v>187</v>
      </c>
      <c r="E1797" s="73" t="n">
        <v>492425.07381002</v>
      </c>
      <c r="F1797" s="74" t="n">
        <v>458228.89439157</v>
      </c>
      <c r="G1797" s="75" t="n">
        <v>495047.331680699</v>
      </c>
      <c r="H1797" s="76" t="n">
        <v>460539.427749469</v>
      </c>
      <c r="I1797" s="77" t="str">
        <f>H1797-F1797</f>
      </c>
      <c r="J1797" s="78" t="str">
        <f>G1797-E1797</f>
      </c>
    </row>
    <row r="1798">
      <c r="A1798" t="s">
        <v>263</v>
      </c>
      <c r="B1798" t="s">
        <v>426</v>
      </c>
      <c r="C1798" s="72" t="n">
        <v>2047</v>
      </c>
      <c r="D1798" t="s">
        <v>190</v>
      </c>
      <c r="E1798" s="73" t="n">
        <v>838792.917409496</v>
      </c>
      <c r="F1798" s="74" t="n">
        <v>540643.628329157</v>
      </c>
      <c r="G1798" s="75" t="n">
        <v>852357.036896631</v>
      </c>
      <c r="H1798" s="76" t="n">
        <v>546892.884748123</v>
      </c>
      <c r="I1798" s="77" t="str">
        <f>H1798-F1798</f>
      </c>
      <c r="J1798" s="78" t="str">
        <f>G1798-E1798</f>
      </c>
    </row>
    <row r="1799">
      <c r="A1799" t="s">
        <v>263</v>
      </c>
      <c r="B1799" t="s">
        <v>426</v>
      </c>
      <c r="C1799" s="72" t="n">
        <v>2047</v>
      </c>
      <c r="D1799" t="s">
        <v>193</v>
      </c>
      <c r="E1799" s="73" t="n">
        <v>659276.1840665</v>
      </c>
      <c r="F1799" s="74" t="n">
        <v>403938.882687177</v>
      </c>
      <c r="G1799" s="75" t="n">
        <v>665960.530537607</v>
      </c>
      <c r="H1799" s="76" t="n">
        <v>406938.309858621</v>
      </c>
      <c r="I1799" s="77" t="str">
        <f>H1799-F1799</f>
      </c>
      <c r="J1799" s="78" t="str">
        <f>G1799-E1799</f>
      </c>
    </row>
    <row r="1800">
      <c r="A1800" t="s">
        <v>263</v>
      </c>
      <c r="B1800" t="s">
        <v>426</v>
      </c>
      <c r="C1800" s="72" t="n">
        <v>2047</v>
      </c>
      <c r="D1800" t="s">
        <v>424</v>
      </c>
      <c r="E1800" s="73" t="n">
        <v>43221.7235492194</v>
      </c>
      <c r="F1800" s="74" t="n">
        <v>7716.4484099021</v>
      </c>
      <c r="G1800" s="75" t="n">
        <v>43217.6341923504</v>
      </c>
      <c r="H1800" s="76" t="n">
        <v>7716.26452507886</v>
      </c>
      <c r="I1800" s="77" t="str">
        <f>H1800-F1800</f>
      </c>
      <c r="J1800" s="78" t="str">
        <f>G1800-E1800</f>
      </c>
    </row>
    <row r="1801">
      <c r="A1801" t="s">
        <v>263</v>
      </c>
      <c r="B1801" t="s">
        <v>426</v>
      </c>
      <c r="C1801" s="72" t="n">
        <v>2048</v>
      </c>
      <c r="D1801" t="s">
        <v>176</v>
      </c>
      <c r="E1801" s="73" t="n">
        <v>23224.50382626</v>
      </c>
      <c r="F1801" s="74" t="n">
        <v>16043.8685897033</v>
      </c>
      <c r="G1801" s="75" t="n">
        <v>23179.7775298232</v>
      </c>
      <c r="H1801" s="76" t="n">
        <v>16025.2187605858</v>
      </c>
      <c r="I1801" s="77" t="str">
        <f>H1801-F1801</f>
      </c>
      <c r="J1801" s="78" t="str">
        <f>G1801-E1801</f>
      </c>
    </row>
    <row r="1802">
      <c r="A1802" t="s">
        <v>263</v>
      </c>
      <c r="B1802" t="s">
        <v>426</v>
      </c>
      <c r="C1802" s="72" t="n">
        <v>2048</v>
      </c>
      <c r="D1802" t="s">
        <v>238</v>
      </c>
      <c r="E1802" s="73" t="n">
        <v>1227475.07322253</v>
      </c>
      <c r="F1802" s="74" t="n">
        <v>307709.448948171</v>
      </c>
      <c r="G1802" s="75" t="n">
        <v>1240209.10376068</v>
      </c>
      <c r="H1802" s="76" t="n">
        <v>308964.310377282</v>
      </c>
      <c r="I1802" s="77" t="str">
        <f>H1802-F1802</f>
      </c>
      <c r="J1802" s="78" t="str">
        <f>G1802-E1802</f>
      </c>
    </row>
    <row r="1803">
      <c r="A1803" t="s">
        <v>263</v>
      </c>
      <c r="B1803" t="s">
        <v>426</v>
      </c>
      <c r="C1803" s="72" t="n">
        <v>2048</v>
      </c>
      <c r="D1803" t="s">
        <v>184</v>
      </c>
      <c r="E1803" s="73" t="n">
        <v>160123.398273829</v>
      </c>
      <c r="F1803" s="74" t="n">
        <v>108296.730430367</v>
      </c>
      <c r="G1803" s="75" t="n">
        <v>159877.069557409</v>
      </c>
      <c r="H1803" s="76" t="n">
        <v>108205.309376064</v>
      </c>
      <c r="I1803" s="77" t="str">
        <f>H1803-F1803</f>
      </c>
      <c r="J1803" s="78" t="str">
        <f>G1803-E1803</f>
      </c>
    </row>
    <row r="1804">
      <c r="A1804" t="s">
        <v>263</v>
      </c>
      <c r="B1804" t="s">
        <v>426</v>
      </c>
      <c r="C1804" s="72" t="n">
        <v>2048</v>
      </c>
      <c r="D1804" t="s">
        <v>187</v>
      </c>
      <c r="E1804" s="73" t="n">
        <v>497584.688705643</v>
      </c>
      <c r="F1804" s="74" t="n">
        <v>463186.840441528</v>
      </c>
      <c r="G1804" s="75" t="n">
        <v>500251.963676638</v>
      </c>
      <c r="H1804" s="76" t="n">
        <v>465558.478994868</v>
      </c>
      <c r="I1804" s="77" t="str">
        <f>H1804-F1804</f>
      </c>
      <c r="J1804" s="78" t="str">
        <f>G1804-E1804</f>
      </c>
    </row>
    <row r="1805">
      <c r="A1805" t="s">
        <v>263</v>
      </c>
      <c r="B1805" t="s">
        <v>426</v>
      </c>
      <c r="C1805" s="72" t="n">
        <v>2048</v>
      </c>
      <c r="D1805" t="s">
        <v>190</v>
      </c>
      <c r="E1805" s="73" t="n">
        <v>848496.035827324</v>
      </c>
      <c r="F1805" s="74" t="n">
        <v>548598.477828454</v>
      </c>
      <c r="G1805" s="75" t="n">
        <v>862421.197666068</v>
      </c>
      <c r="H1805" s="76" t="n">
        <v>555219.254274076</v>
      </c>
      <c r="I1805" s="77" t="str">
        <f>H1805-F1805</f>
      </c>
      <c r="J1805" s="78" t="str">
        <f>G1805-E1805</f>
      </c>
    </row>
    <row r="1806">
      <c r="A1806" t="s">
        <v>263</v>
      </c>
      <c r="B1806" t="s">
        <v>426</v>
      </c>
      <c r="C1806" s="72" t="n">
        <v>2048</v>
      </c>
      <c r="D1806" t="s">
        <v>193</v>
      </c>
      <c r="E1806" s="73" t="n">
        <v>668696.005439641</v>
      </c>
      <c r="F1806" s="74" t="n">
        <v>413049.268903087</v>
      </c>
      <c r="G1806" s="75" t="n">
        <v>675538.067131439</v>
      </c>
      <c r="H1806" s="76" t="n">
        <v>416221.145643516</v>
      </c>
      <c r="I1806" s="77" t="str">
        <f>H1806-F1806</f>
      </c>
      <c r="J1806" s="78" t="str">
        <f>G1806-E1806</f>
      </c>
    </row>
    <row r="1807">
      <c r="A1807" t="s">
        <v>263</v>
      </c>
      <c r="B1807" t="s">
        <v>426</v>
      </c>
      <c r="C1807" s="72" t="n">
        <v>2048</v>
      </c>
      <c r="D1807" t="s">
        <v>424</v>
      </c>
      <c r="E1807" s="73" t="n">
        <v>43251.6778305407</v>
      </c>
      <c r="F1807" s="74" t="n">
        <v>7741.18018464353</v>
      </c>
      <c r="G1807" s="75" t="n">
        <v>43247.1165682685</v>
      </c>
      <c r="H1807" s="76" t="n">
        <v>7740.96823230914</v>
      </c>
      <c r="I1807" s="77" t="str">
        <f>H1807-F1807</f>
      </c>
      <c r="J1807" s="78" t="str">
        <f>G1807-E1807</f>
      </c>
    </row>
    <row r="1808">
      <c r="A1808" t="s">
        <v>263</v>
      </c>
      <c r="B1808" t="s">
        <v>426</v>
      </c>
      <c r="C1808" s="72" t="n">
        <v>2049</v>
      </c>
      <c r="D1808" t="s">
        <v>176</v>
      </c>
      <c r="E1808" s="73" t="n">
        <v>23700.5642228908</v>
      </c>
      <c r="F1808" s="74" t="n">
        <v>16343.9197484037</v>
      </c>
      <c r="G1808" s="75" t="n">
        <v>23650.3614840449</v>
      </c>
      <c r="H1808" s="76" t="n">
        <v>16322.61151708</v>
      </c>
      <c r="I1808" s="77" t="str">
        <f>H1808-F1808</f>
      </c>
      <c r="J1808" s="78" t="str">
        <f>G1808-E1808</f>
      </c>
    </row>
    <row r="1809">
      <c r="A1809" t="s">
        <v>263</v>
      </c>
      <c r="B1809" t="s">
        <v>426</v>
      </c>
      <c r="C1809" s="72" t="n">
        <v>2049</v>
      </c>
      <c r="D1809" t="s">
        <v>238</v>
      </c>
      <c r="E1809" s="73" t="n">
        <v>1232020.03338196</v>
      </c>
      <c r="F1809" s="74" t="n">
        <v>314178.161511022</v>
      </c>
      <c r="G1809" s="75" t="n">
        <v>1244958.37630862</v>
      </c>
      <c r="H1809" s="76" t="n">
        <v>315528.654574656</v>
      </c>
      <c r="I1809" s="77" t="str">
        <f>H1809-F1809</f>
      </c>
      <c r="J1809" s="78" t="str">
        <f>G1809-E1809</f>
      </c>
    </row>
    <row r="1810">
      <c r="A1810" t="s">
        <v>263</v>
      </c>
      <c r="B1810" t="s">
        <v>426</v>
      </c>
      <c r="C1810" s="72" t="n">
        <v>2049</v>
      </c>
      <c r="D1810" t="s">
        <v>184</v>
      </c>
      <c r="E1810" s="73" t="n">
        <v>162512.669188188</v>
      </c>
      <c r="F1810" s="74" t="n">
        <v>109986.318967632</v>
      </c>
      <c r="G1810" s="75" t="n">
        <v>162238.134685625</v>
      </c>
      <c r="H1810" s="76" t="n">
        <v>109882.371148655</v>
      </c>
      <c r="I1810" s="77" t="str">
        <f>H1810-F1810</f>
      </c>
      <c r="J1810" s="78" t="str">
        <f>G1810-E1810</f>
      </c>
    </row>
    <row r="1811">
      <c r="A1811" t="s">
        <v>263</v>
      </c>
      <c r="B1811" t="s">
        <v>426</v>
      </c>
      <c r="C1811" s="72" t="n">
        <v>2049</v>
      </c>
      <c r="D1811" t="s">
        <v>187</v>
      </c>
      <c r="E1811" s="73" t="n">
        <v>502510.815326536</v>
      </c>
      <c r="F1811" s="74" t="n">
        <v>467957.990859026</v>
      </c>
      <c r="G1811" s="75" t="n">
        <v>505215.900508139</v>
      </c>
      <c r="H1811" s="76" t="n">
        <v>470383.880162835</v>
      </c>
      <c r="I1811" s="77" t="str">
        <f>H1811-F1811</f>
      </c>
      <c r="J1811" s="78" t="str">
        <f>G1811-E1811</f>
      </c>
    </row>
    <row r="1812">
      <c r="A1812" t="s">
        <v>263</v>
      </c>
      <c r="B1812" t="s">
        <v>426</v>
      </c>
      <c r="C1812" s="72" t="n">
        <v>2049</v>
      </c>
      <c r="D1812" t="s">
        <v>190</v>
      </c>
      <c r="E1812" s="73" t="n">
        <v>857779.964713605</v>
      </c>
      <c r="F1812" s="74" t="n">
        <v>556355.465695399</v>
      </c>
      <c r="G1812" s="75" t="n">
        <v>872039.412561908</v>
      </c>
      <c r="H1812" s="76" t="n">
        <v>563337.765593671</v>
      </c>
      <c r="I1812" s="77" t="str">
        <f>H1812-F1812</f>
      </c>
      <c r="J1812" s="78" t="str">
        <f>G1812-E1812</f>
      </c>
    </row>
    <row r="1813">
      <c r="A1813" t="s">
        <v>263</v>
      </c>
      <c r="B1813" t="s">
        <v>426</v>
      </c>
      <c r="C1813" s="72" t="n">
        <v>2049</v>
      </c>
      <c r="D1813" t="s">
        <v>193</v>
      </c>
      <c r="E1813" s="73" t="n">
        <v>677815.467134841</v>
      </c>
      <c r="F1813" s="74" t="n">
        <v>421874.122675364</v>
      </c>
      <c r="G1813" s="75" t="n">
        <v>684799.519243418</v>
      </c>
      <c r="H1813" s="76" t="n">
        <v>425211.294806661</v>
      </c>
      <c r="I1813" s="77" t="str">
        <f>H1813-F1813</f>
      </c>
      <c r="J1813" s="78" t="str">
        <f>G1813-E1813</f>
      </c>
    </row>
    <row r="1814">
      <c r="A1814" t="s">
        <v>263</v>
      </c>
      <c r="B1814" t="s">
        <v>426</v>
      </c>
      <c r="C1814" s="72" t="n">
        <v>2049</v>
      </c>
      <c r="D1814" t="s">
        <v>424</v>
      </c>
      <c r="E1814" s="73" t="n">
        <v>43292.750949395</v>
      </c>
      <c r="F1814" s="74" t="n">
        <v>7764.66758992714</v>
      </c>
      <c r="G1814" s="75" t="n">
        <v>43287.6941181752</v>
      </c>
      <c r="H1814" s="76" t="n">
        <v>7764.42505773382</v>
      </c>
      <c r="I1814" s="77" t="str">
        <f>H1814-F1814</f>
      </c>
      <c r="J1814" s="78" t="str">
        <f>G1814-E1814</f>
      </c>
    </row>
    <row r="1815">
      <c r="A1815" t="s">
        <v>263</v>
      </c>
      <c r="B1815" t="s">
        <v>426</v>
      </c>
      <c r="C1815" s="72" t="n">
        <v>2050</v>
      </c>
      <c r="D1815" t="s">
        <v>176</v>
      </c>
      <c r="E1815" s="73" t="n">
        <v>24166.4483488832</v>
      </c>
      <c r="F1815" s="74" t="n">
        <v>16643.1012525276</v>
      </c>
      <c r="G1815" s="75" t="n">
        <v>24110.4306261692</v>
      </c>
      <c r="H1815" s="76" t="n">
        <v>16618.9237091261</v>
      </c>
      <c r="I1815" s="77" t="str">
        <f>H1815-F1815</f>
      </c>
      <c r="J1815" s="78" t="str">
        <f>G1815-E1815</f>
      </c>
    </row>
    <row r="1816">
      <c r="A1816" t="s">
        <v>263</v>
      </c>
      <c r="B1816" t="s">
        <v>426</v>
      </c>
      <c r="C1816" s="72" t="n">
        <v>2050</v>
      </c>
      <c r="D1816" t="s">
        <v>238</v>
      </c>
      <c r="E1816" s="73" t="n">
        <v>1236452.05313652</v>
      </c>
      <c r="F1816" s="74" t="n">
        <v>320419.234659034</v>
      </c>
      <c r="G1816" s="75" t="n">
        <v>1249574.98129843</v>
      </c>
      <c r="H1816" s="76" t="n">
        <v>321866.145423905</v>
      </c>
      <c r="I1816" s="77" t="str">
        <f>H1816-F1816</f>
      </c>
      <c r="J1816" s="78" t="str">
        <f>G1816-E1816</f>
      </c>
    </row>
    <row r="1817">
      <c r="A1817" t="s">
        <v>263</v>
      </c>
      <c r="B1817" t="s">
        <v>426</v>
      </c>
      <c r="C1817" s="72" t="n">
        <v>2050</v>
      </c>
      <c r="D1817" t="s">
        <v>184</v>
      </c>
      <c r="E1817" s="73" t="n">
        <v>164831.188334445</v>
      </c>
      <c r="F1817" s="74" t="n">
        <v>111613.587547765</v>
      </c>
      <c r="G1817" s="75" t="n">
        <v>164526.94959842</v>
      </c>
      <c r="H1817" s="76" t="n">
        <v>111496.260054028</v>
      </c>
      <c r="I1817" s="77" t="str">
        <f>H1817-F1817</f>
      </c>
      <c r="J1817" s="78" t="str">
        <f>G1817-E1817</f>
      </c>
    </row>
    <row r="1818">
      <c r="A1818" t="s">
        <v>263</v>
      </c>
      <c r="B1818" t="s">
        <v>426</v>
      </c>
      <c r="C1818" s="72" t="n">
        <v>2050</v>
      </c>
      <c r="D1818" t="s">
        <v>187</v>
      </c>
      <c r="E1818" s="73" t="n">
        <v>507187.991531581</v>
      </c>
      <c r="F1818" s="74" t="n">
        <v>472420.44425365</v>
      </c>
      <c r="G1818" s="75" t="n">
        <v>509923.794653266</v>
      </c>
      <c r="H1818" s="76" t="n">
        <v>474893.254554943</v>
      </c>
      <c r="I1818" s="77" t="str">
        <f>H1818-F1818</f>
      </c>
      <c r="J1818" s="78" t="str">
        <f>G1818-E1818</f>
      </c>
    </row>
    <row r="1819">
      <c r="A1819" t="s">
        <v>263</v>
      </c>
      <c r="B1819" t="s">
        <v>426</v>
      </c>
      <c r="C1819" s="72" t="n">
        <v>2050</v>
      </c>
      <c r="D1819" t="s">
        <v>190</v>
      </c>
      <c r="E1819" s="73" t="n">
        <v>866652.318170015</v>
      </c>
      <c r="F1819" s="74" t="n">
        <v>563971.465600349</v>
      </c>
      <c r="G1819" s="75" t="n">
        <v>881220.210178615</v>
      </c>
      <c r="H1819" s="76" t="n">
        <v>571305.130665456</v>
      </c>
      <c r="I1819" s="77" t="str">
        <f>H1819-F1819</f>
      </c>
      <c r="J1819" s="78" t="str">
        <f>G1819-E1819</f>
      </c>
    </row>
    <row r="1820">
      <c r="A1820" t="s">
        <v>263</v>
      </c>
      <c r="B1820" t="s">
        <v>426</v>
      </c>
      <c r="C1820" s="72" t="n">
        <v>2050</v>
      </c>
      <c r="D1820" t="s">
        <v>193</v>
      </c>
      <c r="E1820" s="73" t="n">
        <v>686721.60960152</v>
      </c>
      <c r="F1820" s="74" t="n">
        <v>430433.420362704</v>
      </c>
      <c r="G1820" s="75" t="n">
        <v>693833.375810026</v>
      </c>
      <c r="H1820" s="76" t="n">
        <v>433928.116842437</v>
      </c>
      <c r="I1820" s="77" t="str">
        <f>H1820-F1820</f>
      </c>
      <c r="J1820" s="78" t="str">
        <f>G1820-E1820</f>
      </c>
    </row>
    <row r="1821">
      <c r="A1821" t="s">
        <v>263</v>
      </c>
      <c r="B1821" t="s">
        <v>426</v>
      </c>
      <c r="C1821" s="72" t="n">
        <v>2050</v>
      </c>
      <c r="D1821" t="s">
        <v>424</v>
      </c>
      <c r="E1821" s="73" t="n">
        <v>43342.908617679</v>
      </c>
      <c r="F1821" s="74" t="n">
        <v>7785.86818682136</v>
      </c>
      <c r="G1821" s="75" t="n">
        <v>43337.3340718481</v>
      </c>
      <c r="H1821" s="76" t="n">
        <v>7785.59251624651</v>
      </c>
      <c r="I1821" s="77" t="str">
        <f>H1821-F1821</f>
      </c>
      <c r="J1821" s="78" t="str">
        <f>G1821-E1821</f>
      </c>
    </row>
    <row r="1822">
      <c r="A1822" t="s">
        <v>249</v>
      </c>
      <c r="B1822" t="s">
        <v>251</v>
      </c>
      <c r="C1822" s="72" t="n">
        <v>2025</v>
      </c>
      <c r="D1822" t="s">
        <v>176</v>
      </c>
      <c r="E1822" s="73" t="n">
        <v>12347.3896757033</v>
      </c>
      <c r="F1822" s="74" t="n">
        <v>8975.30849722876</v>
      </c>
      <c r="G1822" s="75" t="n">
        <v>12347.3896757033</v>
      </c>
      <c r="H1822" s="76" t="n">
        <v>8975.30849722876</v>
      </c>
      <c r="I1822" s="77" t="str">
        <f>H1822-F1822</f>
      </c>
      <c r="J1822" s="78" t="str">
        <f>G1822-E1822</f>
      </c>
    </row>
    <row r="1823">
      <c r="A1823" t="s">
        <v>249</v>
      </c>
      <c r="B1823" t="s">
        <v>251</v>
      </c>
      <c r="C1823" s="72" t="n">
        <v>2025</v>
      </c>
      <c r="D1823" t="s">
        <v>238</v>
      </c>
      <c r="E1823" s="73" t="n">
        <v>1026043.97207164</v>
      </c>
      <c r="F1823" s="74" t="n">
        <v>129403.022830672</v>
      </c>
      <c r="G1823" s="75" t="n">
        <v>1026043.97207164</v>
      </c>
      <c r="H1823" s="76" t="n">
        <v>129403.022830672</v>
      </c>
      <c r="I1823" s="77" t="str">
        <f>H1823-F1823</f>
      </c>
      <c r="J1823" s="78" t="str">
        <f>G1823-E1823</f>
      </c>
    </row>
    <row r="1824">
      <c r="A1824" t="s">
        <v>249</v>
      </c>
      <c r="B1824" t="s">
        <v>251</v>
      </c>
      <c r="C1824" s="72" t="n">
        <v>2025</v>
      </c>
      <c r="D1824" t="s">
        <v>184</v>
      </c>
      <c r="E1824" s="73" t="n">
        <v>91684.5090142746</v>
      </c>
      <c r="F1824" s="74" t="n">
        <v>63318.7518252021</v>
      </c>
      <c r="G1824" s="75" t="n">
        <v>91684.5090142746</v>
      </c>
      <c r="H1824" s="76" t="n">
        <v>63318.7518252021</v>
      </c>
      <c r="I1824" s="77" t="str">
        <f>H1824-F1824</f>
      </c>
      <c r="J1824" s="78" t="str">
        <f>G1824-E1824</f>
      </c>
    </row>
    <row r="1825">
      <c r="A1825" t="s">
        <v>249</v>
      </c>
      <c r="B1825" t="s">
        <v>251</v>
      </c>
      <c r="C1825" s="72" t="n">
        <v>2025</v>
      </c>
      <c r="D1825" t="s">
        <v>187</v>
      </c>
      <c r="E1825" s="73" t="n">
        <v>327817.992111529</v>
      </c>
      <c r="F1825" s="74" t="n">
        <v>300216.82861998</v>
      </c>
      <c r="G1825" s="75" t="n">
        <v>327817.992111529</v>
      </c>
      <c r="H1825" s="76" t="n">
        <v>300216.82861998</v>
      </c>
      <c r="I1825" s="77" t="str">
        <f>H1825-F1825</f>
      </c>
      <c r="J1825" s="78" t="str">
        <f>G1825-E1825</f>
      </c>
    </row>
    <row r="1826">
      <c r="A1826" t="s">
        <v>249</v>
      </c>
      <c r="B1826" t="s">
        <v>251</v>
      </c>
      <c r="C1826" s="72" t="n">
        <v>2025</v>
      </c>
      <c r="D1826" t="s">
        <v>190</v>
      </c>
      <c r="E1826" s="73" t="n">
        <v>563964.128928848</v>
      </c>
      <c r="F1826" s="74" t="n">
        <v>321188.162987932</v>
      </c>
      <c r="G1826" s="75" t="n">
        <v>563964.128928848</v>
      </c>
      <c r="H1826" s="76" t="n">
        <v>321188.162987932</v>
      </c>
      <c r="I1826" s="77" t="str">
        <f>H1826-F1826</f>
      </c>
      <c r="J1826" s="78" t="str">
        <f>G1826-E1826</f>
      </c>
    </row>
    <row r="1827">
      <c r="A1827" t="s">
        <v>249</v>
      </c>
      <c r="B1827" t="s">
        <v>251</v>
      </c>
      <c r="C1827" s="72" t="n">
        <v>2025</v>
      </c>
      <c r="D1827" t="s">
        <v>193</v>
      </c>
      <c r="E1827" s="73" t="n">
        <v>396205.912797568</v>
      </c>
      <c r="F1827" s="74" t="n">
        <v>191954.713579597</v>
      </c>
      <c r="G1827" s="75" t="n">
        <v>396205.912797568</v>
      </c>
      <c r="H1827" s="76" t="n">
        <v>191954.713579597</v>
      </c>
      <c r="I1827" s="77" t="str">
        <f>H1827-F1827</f>
      </c>
      <c r="J1827" s="78" t="str">
        <f>G1827-E1827</f>
      </c>
    </row>
    <row r="1828">
      <c r="A1828" t="s">
        <v>249</v>
      </c>
      <c r="B1828" t="s">
        <v>251</v>
      </c>
      <c r="C1828" s="72" t="n">
        <v>2025</v>
      </c>
      <c r="D1828" t="s">
        <v>424</v>
      </c>
      <c r="E1828" s="73" t="n">
        <v>44024.8557845561</v>
      </c>
      <c r="F1828" s="74" t="n">
        <v>6961.02866951274</v>
      </c>
      <c r="G1828" s="75" t="n">
        <v>44024.8557845561</v>
      </c>
      <c r="H1828" s="76" t="n">
        <v>6961.02866951274</v>
      </c>
      <c r="I1828" s="77" t="str">
        <f>H1828-F1828</f>
      </c>
      <c r="J1828" s="78" t="str">
        <f>G1828-E1828</f>
      </c>
    </row>
    <row r="1829">
      <c r="A1829" t="s">
        <v>249</v>
      </c>
      <c r="B1829" t="s">
        <v>251</v>
      </c>
      <c r="C1829" s="72" t="n">
        <v>2026</v>
      </c>
      <c r="D1829" t="s">
        <v>176</v>
      </c>
      <c r="E1829" s="73" t="n">
        <v>12812.507871628</v>
      </c>
      <c r="F1829" s="74" t="n">
        <v>9308.26420910955</v>
      </c>
      <c r="G1829" s="75" t="n">
        <v>12812.507871628</v>
      </c>
      <c r="H1829" s="76" t="n">
        <v>9308.26420910955</v>
      </c>
      <c r="I1829" s="77" t="str">
        <f>H1829-F1829</f>
      </c>
      <c r="J1829" s="78" t="str">
        <f>G1829-E1829</f>
      </c>
    </row>
    <row r="1830">
      <c r="A1830" t="s">
        <v>249</v>
      </c>
      <c r="B1830" t="s">
        <v>251</v>
      </c>
      <c r="C1830" s="72" t="n">
        <v>2026</v>
      </c>
      <c r="D1830" t="s">
        <v>238</v>
      </c>
      <c r="E1830" s="73" t="n">
        <v>1040956.74283153</v>
      </c>
      <c r="F1830" s="74" t="n">
        <v>137191.896136923</v>
      </c>
      <c r="G1830" s="75" t="n">
        <v>1040956.74283153</v>
      </c>
      <c r="H1830" s="76" t="n">
        <v>137191.896136923</v>
      </c>
      <c r="I1830" s="77" t="str">
        <f>H1830-F1830</f>
      </c>
      <c r="J1830" s="78" t="str">
        <f>G1830-E1830</f>
      </c>
    </row>
    <row r="1831">
      <c r="A1831" t="s">
        <v>249</v>
      </c>
      <c r="B1831" t="s">
        <v>251</v>
      </c>
      <c r="C1831" s="72" t="n">
        <v>2026</v>
      </c>
      <c r="D1831" t="s">
        <v>184</v>
      </c>
      <c r="E1831" s="73" t="n">
        <v>95077.1833035265</v>
      </c>
      <c r="F1831" s="74" t="n">
        <v>65164.4704134017</v>
      </c>
      <c r="G1831" s="75" t="n">
        <v>95077.1833035265</v>
      </c>
      <c r="H1831" s="76" t="n">
        <v>65164.4704134017</v>
      </c>
      <c r="I1831" s="77" t="str">
        <f>H1831-F1831</f>
      </c>
      <c r="J1831" s="78" t="str">
        <f>G1831-E1831</f>
      </c>
    </row>
    <row r="1832">
      <c r="A1832" t="s">
        <v>249</v>
      </c>
      <c r="B1832" t="s">
        <v>251</v>
      </c>
      <c r="C1832" s="72" t="n">
        <v>2026</v>
      </c>
      <c r="D1832" t="s">
        <v>187</v>
      </c>
      <c r="E1832" s="73" t="n">
        <v>336875.423495605</v>
      </c>
      <c r="F1832" s="74" t="n">
        <v>308606.943045308</v>
      </c>
      <c r="G1832" s="75" t="n">
        <v>336875.423495605</v>
      </c>
      <c r="H1832" s="76" t="n">
        <v>308606.943045308</v>
      </c>
      <c r="I1832" s="77" t="str">
        <f>H1832-F1832</f>
      </c>
      <c r="J1832" s="78" t="str">
        <f>G1832-E1832</f>
      </c>
    </row>
    <row r="1833">
      <c r="A1833" t="s">
        <v>249</v>
      </c>
      <c r="B1833" t="s">
        <v>251</v>
      </c>
      <c r="C1833" s="72" t="n">
        <v>2026</v>
      </c>
      <c r="D1833" t="s">
        <v>190</v>
      </c>
      <c r="E1833" s="73" t="n">
        <v>580111.541957649</v>
      </c>
      <c r="F1833" s="74" t="n">
        <v>332896.185768311</v>
      </c>
      <c r="G1833" s="75" t="n">
        <v>580111.541957649</v>
      </c>
      <c r="H1833" s="76" t="n">
        <v>332896.185768311</v>
      </c>
      <c r="I1833" s="77" t="str">
        <f>H1833-F1833</f>
      </c>
      <c r="J1833" s="78" t="str">
        <f>G1833-E1833</f>
      </c>
    </row>
    <row r="1834">
      <c r="A1834" t="s">
        <v>249</v>
      </c>
      <c r="B1834" t="s">
        <v>251</v>
      </c>
      <c r="C1834" s="72" t="n">
        <v>2026</v>
      </c>
      <c r="D1834" t="s">
        <v>193</v>
      </c>
      <c r="E1834" s="73" t="n">
        <v>409829.87281699</v>
      </c>
      <c r="F1834" s="74" t="n">
        <v>202008.199783237</v>
      </c>
      <c r="G1834" s="75" t="n">
        <v>409829.87281699</v>
      </c>
      <c r="H1834" s="76" t="n">
        <v>202008.199783237</v>
      </c>
      <c r="I1834" s="77" t="str">
        <f>H1834-F1834</f>
      </c>
      <c r="J1834" s="78" t="str">
        <f>G1834-E1834</f>
      </c>
    </row>
    <row r="1835">
      <c r="A1835" t="s">
        <v>249</v>
      </c>
      <c r="B1835" t="s">
        <v>251</v>
      </c>
      <c r="C1835" s="72" t="n">
        <v>2026</v>
      </c>
      <c r="D1835" t="s">
        <v>424</v>
      </c>
      <c r="E1835" s="73" t="n">
        <v>44219.1707517653</v>
      </c>
      <c r="F1835" s="74" t="n">
        <v>7023.77126872287</v>
      </c>
      <c r="G1835" s="75" t="n">
        <v>44219.1707517653</v>
      </c>
      <c r="H1835" s="76" t="n">
        <v>7023.77126872287</v>
      </c>
      <c r="I1835" s="77" t="str">
        <f>H1835-F1835</f>
      </c>
      <c r="J1835" s="78" t="str">
        <f>G1835-E1835</f>
      </c>
    </row>
    <row r="1836">
      <c r="A1836" t="s">
        <v>249</v>
      </c>
      <c r="B1836" t="s">
        <v>251</v>
      </c>
      <c r="C1836" s="72" t="n">
        <v>2027</v>
      </c>
      <c r="D1836" t="s">
        <v>176</v>
      </c>
      <c r="E1836" s="73" t="n">
        <v>13273.481772584</v>
      </c>
      <c r="F1836" s="74" t="n">
        <v>9640.71530777017</v>
      </c>
      <c r="G1836" s="75" t="n">
        <v>13273.481772584</v>
      </c>
      <c r="H1836" s="76" t="n">
        <v>9640.71530777017</v>
      </c>
      <c r="I1836" s="77" t="str">
        <f>H1836-F1836</f>
      </c>
      <c r="J1836" s="78" t="str">
        <f>G1836-E1836</f>
      </c>
    </row>
    <row r="1837">
      <c r="A1837" t="s">
        <v>249</v>
      </c>
      <c r="B1837" t="s">
        <v>251</v>
      </c>
      <c r="C1837" s="72" t="n">
        <v>2027</v>
      </c>
      <c r="D1837" t="s">
        <v>238</v>
      </c>
      <c r="E1837" s="73" t="n">
        <v>1053079.2462831</v>
      </c>
      <c r="F1837" s="74" t="n">
        <v>145087.130776418</v>
      </c>
      <c r="G1837" s="75" t="n">
        <v>1055255.40879996</v>
      </c>
      <c r="H1837" s="76" t="n">
        <v>145087.130776418</v>
      </c>
      <c r="I1837" s="77" t="str">
        <f>H1837-F1837</f>
      </c>
      <c r="J1837" s="78" t="str">
        <f>G1837-E1837</f>
      </c>
    </row>
    <row r="1838">
      <c r="A1838" t="s">
        <v>249</v>
      </c>
      <c r="B1838" t="s">
        <v>251</v>
      </c>
      <c r="C1838" s="72" t="n">
        <v>2027</v>
      </c>
      <c r="D1838" t="s">
        <v>184</v>
      </c>
      <c r="E1838" s="73" t="n">
        <v>98448.8278839669</v>
      </c>
      <c r="F1838" s="74" t="n">
        <v>67068.0169086102</v>
      </c>
      <c r="G1838" s="75" t="n">
        <v>98448.8278839669</v>
      </c>
      <c r="H1838" s="76" t="n">
        <v>67068.0169086102</v>
      </c>
      <c r="I1838" s="77" t="str">
        <f>H1838-F1838</f>
      </c>
      <c r="J1838" s="78" t="str">
        <f>G1838-E1838</f>
      </c>
    </row>
    <row r="1839">
      <c r="A1839" t="s">
        <v>249</v>
      </c>
      <c r="B1839" t="s">
        <v>251</v>
      </c>
      <c r="C1839" s="72" t="n">
        <v>2027</v>
      </c>
      <c r="D1839" t="s">
        <v>187</v>
      </c>
      <c r="E1839" s="73" t="n">
        <v>345542.995724287</v>
      </c>
      <c r="F1839" s="74" t="n">
        <v>317119.553552555</v>
      </c>
      <c r="G1839" s="75" t="n">
        <v>345936.706716403</v>
      </c>
      <c r="H1839" s="76" t="n">
        <v>317119.553552555</v>
      </c>
      <c r="I1839" s="77" t="str">
        <f>H1839-F1839</f>
      </c>
      <c r="J1839" s="78" t="str">
        <f>G1839-E1839</f>
      </c>
    </row>
    <row r="1840">
      <c r="A1840" t="s">
        <v>249</v>
      </c>
      <c r="B1840" t="s">
        <v>251</v>
      </c>
      <c r="C1840" s="72" t="n">
        <v>2027</v>
      </c>
      <c r="D1840" t="s">
        <v>190</v>
      </c>
      <c r="E1840" s="73" t="n">
        <v>594226.514540244</v>
      </c>
      <c r="F1840" s="74" t="n">
        <v>344517.274659827</v>
      </c>
      <c r="G1840" s="75" t="n">
        <v>596148.832334676</v>
      </c>
      <c r="H1840" s="76" t="n">
        <v>344517.274659827</v>
      </c>
      <c r="I1840" s="77" t="str">
        <f>H1840-F1840</f>
      </c>
      <c r="J1840" s="78" t="str">
        <f>G1840-E1840</f>
      </c>
    </row>
    <row r="1841">
      <c r="A1841" t="s">
        <v>249</v>
      </c>
      <c r="B1841" t="s">
        <v>251</v>
      </c>
      <c r="C1841" s="72" t="n">
        <v>2027</v>
      </c>
      <c r="D1841" t="s">
        <v>193</v>
      </c>
      <c r="E1841" s="73" t="n">
        <v>422571.584728299</v>
      </c>
      <c r="F1841" s="74" t="n">
        <v>211995.488024171</v>
      </c>
      <c r="G1841" s="75" t="n">
        <v>423485.101321999</v>
      </c>
      <c r="H1841" s="76" t="n">
        <v>211995.488024171</v>
      </c>
      <c r="I1841" s="77" t="str">
        <f>H1841-F1841</f>
      </c>
      <c r="J1841" s="78" t="str">
        <f>G1841-E1841</f>
      </c>
    </row>
    <row r="1842">
      <c r="A1842" t="s">
        <v>249</v>
      </c>
      <c r="B1842" t="s">
        <v>251</v>
      </c>
      <c r="C1842" s="72" t="n">
        <v>2027</v>
      </c>
      <c r="D1842" t="s">
        <v>424</v>
      </c>
      <c r="E1842" s="73" t="n">
        <v>44384.2018393689</v>
      </c>
      <c r="F1842" s="74" t="n">
        <v>7080.05700568168</v>
      </c>
      <c r="G1842" s="75" t="n">
        <v>44384.2018393689</v>
      </c>
      <c r="H1842" s="76" t="n">
        <v>7080.05700568168</v>
      </c>
      <c r="I1842" s="77" t="str">
        <f>H1842-F1842</f>
      </c>
      <c r="J1842" s="78" t="str">
        <f>G1842-E1842</f>
      </c>
    </row>
    <row r="1843">
      <c r="A1843" t="s">
        <v>249</v>
      </c>
      <c r="B1843" t="s">
        <v>251</v>
      </c>
      <c r="C1843" s="72" t="n">
        <v>2028</v>
      </c>
      <c r="D1843" t="s">
        <v>176</v>
      </c>
      <c r="E1843" s="73" t="n">
        <v>13729.5005000864</v>
      </c>
      <c r="F1843" s="74" t="n">
        <v>9971.45472163389</v>
      </c>
      <c r="G1843" s="75" t="n">
        <v>13729.5005000864</v>
      </c>
      <c r="H1843" s="76" t="n">
        <v>9971.45472163389</v>
      </c>
      <c r="I1843" s="77" t="str">
        <f>H1843-F1843</f>
      </c>
      <c r="J1843" s="78" t="str">
        <f>G1843-E1843</f>
      </c>
    </row>
    <row r="1844">
      <c r="A1844" t="s">
        <v>249</v>
      </c>
      <c r="B1844" t="s">
        <v>251</v>
      </c>
      <c r="C1844" s="72" t="n">
        <v>2028</v>
      </c>
      <c r="D1844" t="s">
        <v>238</v>
      </c>
      <c r="E1844" s="73" t="n">
        <v>1064746.39834343</v>
      </c>
      <c r="F1844" s="74" t="n">
        <v>153063.096083349</v>
      </c>
      <c r="G1844" s="75" t="n">
        <v>1069005.07088018</v>
      </c>
      <c r="H1844" s="76" t="n">
        <v>153077.867387244</v>
      </c>
      <c r="I1844" s="77" t="str">
        <f>H1844-F1844</f>
      </c>
      <c r="J1844" s="78" t="str">
        <f>G1844-E1844</f>
      </c>
    </row>
    <row r="1845">
      <c r="A1845" t="s">
        <v>249</v>
      </c>
      <c r="B1845" t="s">
        <v>251</v>
      </c>
      <c r="C1845" s="72" t="n">
        <v>2028</v>
      </c>
      <c r="D1845" t="s">
        <v>184</v>
      </c>
      <c r="E1845" s="73" t="n">
        <v>101797.96761407</v>
      </c>
      <c r="F1845" s="74" t="n">
        <v>69019.933123165</v>
      </c>
      <c r="G1845" s="75" t="n">
        <v>101797.96761407</v>
      </c>
      <c r="H1845" s="76" t="n">
        <v>69019.933123165</v>
      </c>
      <c r="I1845" s="77" t="str">
        <f>H1845-F1845</f>
      </c>
      <c r="J1845" s="78" t="str">
        <f>G1845-E1845</f>
      </c>
    </row>
    <row r="1846">
      <c r="A1846" t="s">
        <v>249</v>
      </c>
      <c r="B1846" t="s">
        <v>251</v>
      </c>
      <c r="C1846" s="72" t="n">
        <v>2028</v>
      </c>
      <c r="D1846" t="s">
        <v>187</v>
      </c>
      <c r="E1846" s="73" t="n">
        <v>354183.594539667</v>
      </c>
      <c r="F1846" s="74" t="n">
        <v>325516.092290318</v>
      </c>
      <c r="G1846" s="75" t="n">
        <v>354965.535819133</v>
      </c>
      <c r="H1846" s="76" t="n">
        <v>325690.683016893</v>
      </c>
      <c r="I1846" s="77" t="str">
        <f>H1846-F1846</f>
      </c>
      <c r="J1846" s="78" t="str">
        <f>G1846-E1846</f>
      </c>
    </row>
    <row r="1847">
      <c r="A1847" t="s">
        <v>249</v>
      </c>
      <c r="B1847" t="s">
        <v>251</v>
      </c>
      <c r="C1847" s="72" t="n">
        <v>2028</v>
      </c>
      <c r="D1847" t="s">
        <v>190</v>
      </c>
      <c r="E1847" s="73" t="n">
        <v>608219.326177216</v>
      </c>
      <c r="F1847" s="74" t="n">
        <v>355947.809047567</v>
      </c>
      <c r="G1847" s="75" t="n">
        <v>612031.659444751</v>
      </c>
      <c r="H1847" s="76" t="n">
        <v>356073.571438059</v>
      </c>
      <c r="I1847" s="77" t="str">
        <f>H1847-F1847</f>
      </c>
      <c r="J1847" s="78" t="str">
        <f>G1847-E1847</f>
      </c>
    </row>
    <row r="1848">
      <c r="A1848" t="s">
        <v>249</v>
      </c>
      <c r="B1848" t="s">
        <v>251</v>
      </c>
      <c r="C1848" s="72" t="n">
        <v>2028</v>
      </c>
      <c r="D1848" t="s">
        <v>193</v>
      </c>
      <c r="E1848" s="73" t="n">
        <v>435338.266945719</v>
      </c>
      <c r="F1848" s="74" t="n">
        <v>221836.569080749</v>
      </c>
      <c r="G1848" s="75" t="n">
        <v>437159.755191958</v>
      </c>
      <c r="H1848" s="76" t="n">
        <v>221908.958563303</v>
      </c>
      <c r="I1848" s="77" t="str">
        <f>H1848-F1848</f>
      </c>
      <c r="J1848" s="78" t="str">
        <f>G1848-E1848</f>
      </c>
    </row>
    <row r="1849">
      <c r="A1849" t="s">
        <v>249</v>
      </c>
      <c r="B1849" t="s">
        <v>251</v>
      </c>
      <c r="C1849" s="72" t="n">
        <v>2028</v>
      </c>
      <c r="D1849" t="s">
        <v>424</v>
      </c>
      <c r="E1849" s="73" t="n">
        <v>44510.0649629929</v>
      </c>
      <c r="F1849" s="74" t="n">
        <v>7131.07016356498</v>
      </c>
      <c r="G1849" s="75" t="n">
        <v>44510.0649629929</v>
      </c>
      <c r="H1849" s="76" t="n">
        <v>7131.07016356498</v>
      </c>
      <c r="I1849" s="77" t="str">
        <f>H1849-F1849</f>
      </c>
      <c r="J1849" s="78" t="str">
        <f>G1849-E1849</f>
      </c>
    </row>
    <row r="1850">
      <c r="A1850" t="s">
        <v>249</v>
      </c>
      <c r="B1850" t="s">
        <v>251</v>
      </c>
      <c r="C1850" s="72" t="n">
        <v>2029</v>
      </c>
      <c r="D1850" t="s">
        <v>176</v>
      </c>
      <c r="E1850" s="73" t="n">
        <v>14181.5696494156</v>
      </c>
      <c r="F1850" s="74" t="n">
        <v>10301.2295792609</v>
      </c>
      <c r="G1850" s="75" t="n">
        <v>14181.4236375467</v>
      </c>
      <c r="H1850" s="76" t="n">
        <v>10301.2295792609</v>
      </c>
      <c r="I1850" s="77" t="str">
        <f>H1850-F1850</f>
      </c>
      <c r="J1850" s="78" t="str">
        <f>G1850-E1850</f>
      </c>
    </row>
    <row r="1851">
      <c r="A1851" t="s">
        <v>249</v>
      </c>
      <c r="B1851" t="s">
        <v>251</v>
      </c>
      <c r="C1851" s="72" t="n">
        <v>2029</v>
      </c>
      <c r="D1851" t="s">
        <v>238</v>
      </c>
      <c r="E1851" s="73" t="n">
        <v>1076006.69422029</v>
      </c>
      <c r="F1851" s="74" t="n">
        <v>161116.807515128</v>
      </c>
      <c r="G1851" s="75" t="n">
        <v>1082252.39423074</v>
      </c>
      <c r="H1851" s="76" t="n">
        <v>161161.062132093</v>
      </c>
      <c r="I1851" s="77" t="str">
        <f>H1851-F1851</f>
      </c>
      <c r="J1851" s="78" t="str">
        <f>G1851-E1851</f>
      </c>
    </row>
    <row r="1852">
      <c r="A1852" t="s">
        <v>249</v>
      </c>
      <c r="B1852" t="s">
        <v>251</v>
      </c>
      <c r="C1852" s="72" t="n">
        <v>2029</v>
      </c>
      <c r="D1852" t="s">
        <v>184</v>
      </c>
      <c r="E1852" s="73" t="n">
        <v>105115.547982458</v>
      </c>
      <c r="F1852" s="74" t="n">
        <v>71042.0544294395</v>
      </c>
      <c r="G1852" s="75" t="n">
        <v>105114.693344183</v>
      </c>
      <c r="H1852" s="76" t="n">
        <v>71042.0544294395</v>
      </c>
      <c r="I1852" s="77" t="str">
        <f>H1852-F1852</f>
      </c>
      <c r="J1852" s="78" t="str">
        <f>G1852-E1852</f>
      </c>
    </row>
    <row r="1853">
      <c r="A1853" t="s">
        <v>249</v>
      </c>
      <c r="B1853" t="s">
        <v>251</v>
      </c>
      <c r="C1853" s="72" t="n">
        <v>2029</v>
      </c>
      <c r="D1853" t="s">
        <v>187</v>
      </c>
      <c r="E1853" s="73" t="n">
        <v>362733.315360766</v>
      </c>
      <c r="F1853" s="74" t="n">
        <v>333872.825727705</v>
      </c>
      <c r="G1853" s="75" t="n">
        <v>363896.204247168</v>
      </c>
      <c r="H1853" s="76" t="n">
        <v>334292.677138926</v>
      </c>
      <c r="I1853" s="77" t="str">
        <f>H1853-F1853</f>
      </c>
      <c r="J1853" s="78" t="str">
        <f>G1853-E1853</f>
      </c>
    </row>
    <row r="1854">
      <c r="A1854" t="s">
        <v>249</v>
      </c>
      <c r="B1854" t="s">
        <v>251</v>
      </c>
      <c r="C1854" s="72" t="n">
        <v>2029</v>
      </c>
      <c r="D1854" t="s">
        <v>190</v>
      </c>
      <c r="E1854" s="73" t="n">
        <v>622062.36733159</v>
      </c>
      <c r="F1854" s="74" t="n">
        <v>367209.423990331</v>
      </c>
      <c r="G1854" s="75" t="n">
        <v>627726.336898794</v>
      </c>
      <c r="H1854" s="76" t="n">
        <v>367575.22274735</v>
      </c>
      <c r="I1854" s="77" t="str">
        <f>H1854-F1854</f>
      </c>
      <c r="J1854" s="78" t="str">
        <f>G1854-E1854</f>
      </c>
    </row>
    <row r="1855">
      <c r="A1855" t="s">
        <v>249</v>
      </c>
      <c r="B1855" t="s">
        <v>251</v>
      </c>
      <c r="C1855" s="72" t="n">
        <v>2029</v>
      </c>
      <c r="D1855" t="s">
        <v>193</v>
      </c>
      <c r="E1855" s="73" t="n">
        <v>448066.931463932</v>
      </c>
      <c r="F1855" s="74" t="n">
        <v>231504.780538101</v>
      </c>
      <c r="G1855" s="75" t="n">
        <v>450786.134013569</v>
      </c>
      <c r="H1855" s="76" t="n">
        <v>231708.01887569</v>
      </c>
      <c r="I1855" s="77" t="str">
        <f>H1855-F1855</f>
      </c>
      <c r="J1855" s="78" t="str">
        <f>G1855-E1855</f>
      </c>
    </row>
    <row r="1856">
      <c r="A1856" t="s">
        <v>249</v>
      </c>
      <c r="B1856" t="s">
        <v>251</v>
      </c>
      <c r="C1856" s="72" t="n">
        <v>2029</v>
      </c>
      <c r="D1856" t="s">
        <v>424</v>
      </c>
      <c r="E1856" s="73" t="n">
        <v>44600.2791171898</v>
      </c>
      <c r="F1856" s="74" t="n">
        <v>7178.21931597252</v>
      </c>
      <c r="G1856" s="75" t="n">
        <v>44600.2614435955</v>
      </c>
      <c r="H1856" s="76" t="n">
        <v>7178.21931597252</v>
      </c>
      <c r="I1856" s="77" t="str">
        <f>H1856-F1856</f>
      </c>
      <c r="J1856" s="78" t="str">
        <f>G1856-E1856</f>
      </c>
    </row>
    <row r="1857">
      <c r="A1857" t="s">
        <v>249</v>
      </c>
      <c r="B1857" t="s">
        <v>251</v>
      </c>
      <c r="C1857" s="72" t="n">
        <v>2030</v>
      </c>
      <c r="D1857" t="s">
        <v>176</v>
      </c>
      <c r="E1857" s="73" t="n">
        <v>14631.4587093128</v>
      </c>
      <c r="F1857" s="74" t="n">
        <v>10630.2991564943</v>
      </c>
      <c r="G1857" s="75" t="n">
        <v>14630.9263575645</v>
      </c>
      <c r="H1857" s="76" t="n">
        <v>10630.2702680602</v>
      </c>
      <c r="I1857" s="77" t="str">
        <f>H1857-F1857</f>
      </c>
      <c r="J1857" s="78" t="str">
        <f>G1857-E1857</f>
      </c>
    </row>
    <row r="1858">
      <c r="A1858" t="s">
        <v>249</v>
      </c>
      <c r="B1858" t="s">
        <v>251</v>
      </c>
      <c r="C1858" s="72" t="n">
        <v>2030</v>
      </c>
      <c r="D1858" t="s">
        <v>238</v>
      </c>
      <c r="E1858" s="73" t="n">
        <v>1086820.23931699</v>
      </c>
      <c r="F1858" s="74" t="n">
        <v>169226.616220815</v>
      </c>
      <c r="G1858" s="75" t="n">
        <v>1094956.84444967</v>
      </c>
      <c r="H1858" s="76" t="n">
        <v>169314.834038038</v>
      </c>
      <c r="I1858" s="77" t="str">
        <f>H1858-F1858</f>
      </c>
      <c r="J1858" s="78" t="str">
        <f>G1858-E1858</f>
      </c>
    </row>
    <row r="1859">
      <c r="A1859" t="s">
        <v>249</v>
      </c>
      <c r="B1859" t="s">
        <v>251</v>
      </c>
      <c r="C1859" s="72" t="n">
        <v>2030</v>
      </c>
      <c r="D1859" t="s">
        <v>184</v>
      </c>
      <c r="E1859" s="73" t="n">
        <v>108396.910001763</v>
      </c>
      <c r="F1859" s="74" t="n">
        <v>73120.9328793244</v>
      </c>
      <c r="G1859" s="75" t="n">
        <v>108393.77376612</v>
      </c>
      <c r="H1859" s="76" t="n">
        <v>73120.8011068864</v>
      </c>
      <c r="I1859" s="77" t="str">
        <f>H1859-F1859</f>
      </c>
      <c r="J1859" s="78" t="str">
        <f>G1859-E1859</f>
      </c>
    </row>
    <row r="1860">
      <c r="A1860" t="s">
        <v>249</v>
      </c>
      <c r="B1860" t="s">
        <v>251</v>
      </c>
      <c r="C1860" s="72" t="n">
        <v>2030</v>
      </c>
      <c r="D1860" t="s">
        <v>187</v>
      </c>
      <c r="E1860" s="73" t="n">
        <v>371206.722911907</v>
      </c>
      <c r="F1860" s="74" t="n">
        <v>342186.90533281</v>
      </c>
      <c r="G1860" s="75" t="n">
        <v>372741.795461264</v>
      </c>
      <c r="H1860" s="76" t="n">
        <v>342889.635366394</v>
      </c>
      <c r="I1860" s="77" t="str">
        <f>H1860-F1860</f>
      </c>
      <c r="J1860" s="78" t="str">
        <f>G1860-E1860</f>
      </c>
    </row>
    <row r="1861">
      <c r="A1861" t="s">
        <v>249</v>
      </c>
      <c r="B1861" t="s">
        <v>251</v>
      </c>
      <c r="C1861" s="72" t="n">
        <v>2030</v>
      </c>
      <c r="D1861" t="s">
        <v>190</v>
      </c>
      <c r="E1861" s="73" t="n">
        <v>635682.045325499</v>
      </c>
      <c r="F1861" s="74" t="n">
        <v>378231.620968473</v>
      </c>
      <c r="G1861" s="75" t="n">
        <v>643154.211305628</v>
      </c>
      <c r="H1861" s="76" t="n">
        <v>378940.231267445</v>
      </c>
      <c r="I1861" s="77" t="str">
        <f>H1861-F1861</f>
      </c>
      <c r="J1861" s="78" t="str">
        <f>G1861-E1861</f>
      </c>
    </row>
    <row r="1862">
      <c r="A1862" t="s">
        <v>249</v>
      </c>
      <c r="B1862" t="s">
        <v>251</v>
      </c>
      <c r="C1862" s="72" t="n">
        <v>2030</v>
      </c>
      <c r="D1862" t="s">
        <v>193</v>
      </c>
      <c r="E1862" s="73" t="n">
        <v>460757.24617338</v>
      </c>
      <c r="F1862" s="74" t="n">
        <v>240926.984576384</v>
      </c>
      <c r="G1862" s="75" t="n">
        <v>464360.518103772</v>
      </c>
      <c r="H1862" s="76" t="n">
        <v>241310.309903655</v>
      </c>
      <c r="I1862" s="77" t="str">
        <f>H1862-F1862</f>
      </c>
      <c r="J1862" s="78" t="str">
        <f>G1862-E1862</f>
      </c>
    </row>
    <row r="1863">
      <c r="A1863" t="s">
        <v>249</v>
      </c>
      <c r="B1863" t="s">
        <v>251</v>
      </c>
      <c r="C1863" s="72" t="n">
        <v>2030</v>
      </c>
      <c r="D1863" t="s">
        <v>424</v>
      </c>
      <c r="E1863" s="73" t="n">
        <v>44647.3332740344</v>
      </c>
      <c r="F1863" s="74" t="n">
        <v>7223.1105965221</v>
      </c>
      <c r="G1863" s="75" t="n">
        <v>44647.268915283</v>
      </c>
      <c r="H1863" s="76" t="n">
        <v>7223.11031474236</v>
      </c>
      <c r="I1863" s="77" t="str">
        <f>H1863-F1863</f>
      </c>
      <c r="J1863" s="78" t="str">
        <f>G1863-E1863</f>
      </c>
    </row>
    <row r="1864">
      <c r="A1864" t="s">
        <v>249</v>
      </c>
      <c r="B1864" t="s">
        <v>251</v>
      </c>
      <c r="C1864" s="72" t="n">
        <v>2031</v>
      </c>
      <c r="D1864" t="s">
        <v>176</v>
      </c>
      <c r="E1864" s="73" t="n">
        <v>15081.6167153886</v>
      </c>
      <c r="F1864" s="74" t="n">
        <v>10955.5510336083</v>
      </c>
      <c r="G1864" s="75" t="n">
        <v>15080.3825495532</v>
      </c>
      <c r="H1864" s="76" t="n">
        <v>10955.4255331558</v>
      </c>
      <c r="I1864" s="77" t="str">
        <f>H1864-F1864</f>
      </c>
      <c r="J1864" s="78" t="str">
        <f>G1864-E1864</f>
      </c>
    </row>
    <row r="1865">
      <c r="A1865" t="s">
        <v>249</v>
      </c>
      <c r="B1865" t="s">
        <v>251</v>
      </c>
      <c r="C1865" s="72" t="n">
        <v>2031</v>
      </c>
      <c r="D1865" t="s">
        <v>238</v>
      </c>
      <c r="E1865" s="73" t="n">
        <v>1097095.23739528</v>
      </c>
      <c r="F1865" s="74" t="n">
        <v>177364.619942905</v>
      </c>
      <c r="G1865" s="75" t="n">
        <v>1107027.69162894</v>
      </c>
      <c r="H1865" s="76" t="n">
        <v>177510.906196669</v>
      </c>
      <c r="I1865" s="77" t="str">
        <f>H1865-F1865</f>
      </c>
      <c r="J1865" s="78" t="str">
        <f>G1865-E1865</f>
      </c>
    </row>
    <row r="1866">
      <c r="A1866" t="s">
        <v>249</v>
      </c>
      <c r="B1866" t="s">
        <v>251</v>
      </c>
      <c r="C1866" s="72" t="n">
        <v>2031</v>
      </c>
      <c r="D1866" t="s">
        <v>184</v>
      </c>
      <c r="E1866" s="73" t="n">
        <v>111640.249545851</v>
      </c>
      <c r="F1866" s="74" t="n">
        <v>75230.7992711206</v>
      </c>
      <c r="G1866" s="75" t="n">
        <v>111632.947554352</v>
      </c>
      <c r="H1866" s="76" t="n">
        <v>75230.219664338</v>
      </c>
      <c r="I1866" s="77" t="str">
        <f>H1866-F1866</f>
      </c>
      <c r="J1866" s="78" t="str">
        <f>G1866-E1866</f>
      </c>
    </row>
    <row r="1867">
      <c r="A1867" t="s">
        <v>249</v>
      </c>
      <c r="B1867" t="s">
        <v>251</v>
      </c>
      <c r="C1867" s="72" t="n">
        <v>2031</v>
      </c>
      <c r="D1867" t="s">
        <v>187</v>
      </c>
      <c r="E1867" s="73" t="n">
        <v>379573.19212066</v>
      </c>
      <c r="F1867" s="74" t="n">
        <v>350426.509090455</v>
      </c>
      <c r="G1867" s="75" t="n">
        <v>381470.266781021</v>
      </c>
      <c r="H1867" s="76" t="n">
        <v>351432.518672951</v>
      </c>
      <c r="I1867" s="77" t="str">
        <f>H1867-F1867</f>
      </c>
      <c r="J1867" s="78" t="str">
        <f>G1867-E1867</f>
      </c>
    </row>
    <row r="1868">
      <c r="A1868" t="s">
        <v>249</v>
      </c>
      <c r="B1868" t="s">
        <v>251</v>
      </c>
      <c r="C1868" s="72" t="n">
        <v>2031</v>
      </c>
      <c r="D1868" t="s">
        <v>190</v>
      </c>
      <c r="E1868" s="73" t="n">
        <v>649048.819957765</v>
      </c>
      <c r="F1868" s="74" t="n">
        <v>389038.065809069</v>
      </c>
      <c r="G1868" s="75" t="n">
        <v>658282.149268814</v>
      </c>
      <c r="H1868" s="76" t="n">
        <v>390181.003020302</v>
      </c>
      <c r="I1868" s="77" t="str">
        <f>H1868-F1868</f>
      </c>
      <c r="J1868" s="78" t="str">
        <f>G1868-E1868</f>
      </c>
    </row>
    <row r="1869">
      <c r="A1869" t="s">
        <v>249</v>
      </c>
      <c r="B1869" t="s">
        <v>251</v>
      </c>
      <c r="C1869" s="72" t="n">
        <v>2031</v>
      </c>
      <c r="D1869" t="s">
        <v>193</v>
      </c>
      <c r="E1869" s="73" t="n">
        <v>473308.14790192</v>
      </c>
      <c r="F1869" s="74" t="n">
        <v>250210.350119428</v>
      </c>
      <c r="G1869" s="75" t="n">
        <v>477778.146047482</v>
      </c>
      <c r="H1869" s="76" t="n">
        <v>250815.782662592</v>
      </c>
      <c r="I1869" s="77" t="str">
        <f>H1869-F1869</f>
      </c>
      <c r="J1869" s="78" t="str">
        <f>G1869-E1869</f>
      </c>
    </row>
    <row r="1870">
      <c r="A1870" t="s">
        <v>249</v>
      </c>
      <c r="B1870" t="s">
        <v>251</v>
      </c>
      <c r="C1870" s="72" t="n">
        <v>2031</v>
      </c>
      <c r="D1870" t="s">
        <v>424</v>
      </c>
      <c r="E1870" s="73" t="n">
        <v>44640.4958504299</v>
      </c>
      <c r="F1870" s="74" t="n">
        <v>7266.76725504414</v>
      </c>
      <c r="G1870" s="75" t="n">
        <v>44640.3472954778</v>
      </c>
      <c r="H1870" s="76" t="n">
        <v>7266.76600020754</v>
      </c>
      <c r="I1870" s="77" t="str">
        <f>H1870-F1870</f>
      </c>
      <c r="J1870" s="78" t="str">
        <f>G1870-E1870</f>
      </c>
    </row>
    <row r="1871">
      <c r="A1871" t="s">
        <v>249</v>
      </c>
      <c r="B1871" t="s">
        <v>251</v>
      </c>
      <c r="C1871" s="72" t="n">
        <v>2032</v>
      </c>
      <c r="D1871" t="s">
        <v>176</v>
      </c>
      <c r="E1871" s="73" t="n">
        <v>15533.5726170684</v>
      </c>
      <c r="F1871" s="74" t="n">
        <v>11274.8268322743</v>
      </c>
      <c r="G1871" s="75" t="n">
        <v>15531.2601955666</v>
      </c>
      <c r="H1871" s="76" t="n">
        <v>11274.4954497352</v>
      </c>
      <c r="I1871" s="77" t="str">
        <f>H1871-F1871</f>
      </c>
      <c r="J1871" s="78" t="str">
        <f>G1871-E1871</f>
      </c>
    </row>
    <row r="1872">
      <c r="A1872" t="s">
        <v>249</v>
      </c>
      <c r="B1872" t="s">
        <v>251</v>
      </c>
      <c r="C1872" s="72" t="n">
        <v>2032</v>
      </c>
      <c r="D1872" t="s">
        <v>238</v>
      </c>
      <c r="E1872" s="73" t="n">
        <v>1106841.52347501</v>
      </c>
      <c r="F1872" s="74" t="n">
        <v>185508.03506276</v>
      </c>
      <c r="G1872" s="75" t="n">
        <v>1118477.32749824</v>
      </c>
      <c r="H1872" s="76" t="n">
        <v>185725.999058801</v>
      </c>
      <c r="I1872" s="77" t="str">
        <f>H1872-F1872</f>
      </c>
      <c r="J1872" s="78" t="str">
        <f>G1872-E1872</f>
      </c>
    </row>
    <row r="1873">
      <c r="A1873" t="s">
        <v>249</v>
      </c>
      <c r="B1873" t="s">
        <v>251</v>
      </c>
      <c r="C1873" s="72" t="n">
        <v>2032</v>
      </c>
      <c r="D1873" t="s">
        <v>184</v>
      </c>
      <c r="E1873" s="73" t="n">
        <v>114848.946361751</v>
      </c>
      <c r="F1873" s="74" t="n">
        <v>77354.608149598</v>
      </c>
      <c r="G1873" s="75" t="n">
        <v>114835.221802653</v>
      </c>
      <c r="H1873" s="76" t="n">
        <v>77353.0610239329</v>
      </c>
      <c r="I1873" s="77" t="str">
        <f>H1873-F1873</f>
      </c>
      <c r="J1873" s="78" t="str">
        <f>G1873-E1873</f>
      </c>
    </row>
    <row r="1874">
      <c r="A1874" t="s">
        <v>249</v>
      </c>
      <c r="B1874" t="s">
        <v>251</v>
      </c>
      <c r="C1874" s="72" t="n">
        <v>2032</v>
      </c>
      <c r="D1874" t="s">
        <v>187</v>
      </c>
      <c r="E1874" s="73" t="n">
        <v>387751.099087259</v>
      </c>
      <c r="F1874" s="74" t="n">
        <v>358515.289826805</v>
      </c>
      <c r="G1874" s="75" t="n">
        <v>389998.376688754</v>
      </c>
      <c r="H1874" s="76" t="n">
        <v>359834.546852866</v>
      </c>
      <c r="I1874" s="77" t="str">
        <f>H1874-F1874</f>
      </c>
      <c r="J1874" s="78" t="str">
        <f>G1874-E1874</f>
      </c>
    </row>
    <row r="1875">
      <c r="A1875" t="s">
        <v>249</v>
      </c>
      <c r="B1875" t="s">
        <v>251</v>
      </c>
      <c r="C1875" s="72" t="n">
        <v>2032</v>
      </c>
      <c r="D1875" t="s">
        <v>190</v>
      </c>
      <c r="E1875" s="73" t="n">
        <v>662188.359041237</v>
      </c>
      <c r="F1875" s="74" t="n">
        <v>399660.296604421</v>
      </c>
      <c r="G1875" s="75" t="n">
        <v>673133.888273266</v>
      </c>
      <c r="H1875" s="76" t="n">
        <v>401318.286193472</v>
      </c>
      <c r="I1875" s="77" t="str">
        <f>H1875-F1875</f>
      </c>
      <c r="J1875" s="78" t="str">
        <f>G1875-E1875</f>
      </c>
    </row>
    <row r="1876">
      <c r="A1876" t="s">
        <v>249</v>
      </c>
      <c r="B1876" t="s">
        <v>251</v>
      </c>
      <c r="C1876" s="72" t="n">
        <v>2032</v>
      </c>
      <c r="D1876" t="s">
        <v>193</v>
      </c>
      <c r="E1876" s="73" t="n">
        <v>485589.462826312</v>
      </c>
      <c r="F1876" s="74" t="n">
        <v>259483.329154001</v>
      </c>
      <c r="G1876" s="75" t="n">
        <v>490904.70344578</v>
      </c>
      <c r="H1876" s="76" t="n">
        <v>260346.937343717</v>
      </c>
      <c r="I1876" s="77" t="str">
        <f>H1876-F1876</f>
      </c>
      <c r="J1876" s="78" t="str">
        <f>G1876-E1876</f>
      </c>
    </row>
    <row r="1877">
      <c r="A1877" t="s">
        <v>249</v>
      </c>
      <c r="B1877" t="s">
        <v>251</v>
      </c>
      <c r="C1877" s="72" t="n">
        <v>2032</v>
      </c>
      <c r="D1877" t="s">
        <v>424</v>
      </c>
      <c r="E1877" s="73" t="n">
        <v>44583.5222409661</v>
      </c>
      <c r="F1877" s="74" t="n">
        <v>7308.69295162752</v>
      </c>
      <c r="G1877" s="75" t="n">
        <v>44583.2455015959</v>
      </c>
      <c r="H1877" s="76" t="n">
        <v>7308.68956833998</v>
      </c>
      <c r="I1877" s="77" t="str">
        <f>H1877-F1877</f>
      </c>
      <c r="J1877" s="78" t="str">
        <f>G1877-E1877</f>
      </c>
    </row>
    <row r="1878">
      <c r="A1878" t="s">
        <v>249</v>
      </c>
      <c r="B1878" t="s">
        <v>251</v>
      </c>
      <c r="C1878" s="72" t="n">
        <v>2033</v>
      </c>
      <c r="D1878" t="s">
        <v>176</v>
      </c>
      <c r="E1878" s="73" t="n">
        <v>15987.5364403804</v>
      </c>
      <c r="F1878" s="74" t="n">
        <v>11587.619574624</v>
      </c>
      <c r="G1878" s="75" t="n">
        <v>15983.7175379286</v>
      </c>
      <c r="H1878" s="76" t="n">
        <v>11586.9335708044</v>
      </c>
      <c r="I1878" s="77" t="str">
        <f>H1878-F1878</f>
      </c>
      <c r="J1878" s="78" t="str">
        <f>G1878-E1878</f>
      </c>
    </row>
    <row r="1879">
      <c r="A1879" t="s">
        <v>249</v>
      </c>
      <c r="B1879" t="s">
        <v>251</v>
      </c>
      <c r="C1879" s="72" t="n">
        <v>2033</v>
      </c>
      <c r="D1879" t="s">
        <v>238</v>
      </c>
      <c r="E1879" s="73" t="n">
        <v>1115985.66805372</v>
      </c>
      <c r="F1879" s="74" t="n">
        <v>193650.507837664</v>
      </c>
      <c r="G1879" s="75" t="n">
        <v>1129233.47845058</v>
      </c>
      <c r="H1879" s="76" t="n">
        <v>193953.224223645</v>
      </c>
      <c r="I1879" s="77" t="str">
        <f>H1879-F1879</f>
      </c>
      <c r="J1879" s="78" t="str">
        <f>G1879-E1879</f>
      </c>
    </row>
    <row r="1880">
      <c r="A1880" t="s">
        <v>249</v>
      </c>
      <c r="B1880" t="s">
        <v>251</v>
      </c>
      <c r="C1880" s="72" t="n">
        <v>2033</v>
      </c>
      <c r="D1880" t="s">
        <v>184</v>
      </c>
      <c r="E1880" s="73" t="n">
        <v>118021.435219739</v>
      </c>
      <c r="F1880" s="74" t="n">
        <v>79483.7146960009</v>
      </c>
      <c r="G1880" s="75" t="n">
        <v>117998.738437442</v>
      </c>
      <c r="H1880" s="76" t="n">
        <v>79480.4761690429</v>
      </c>
      <c r="I1880" s="77" t="str">
        <f>H1880-F1880</f>
      </c>
      <c r="J1880" s="78" t="str">
        <f>G1880-E1880</f>
      </c>
    </row>
    <row r="1881">
      <c r="A1881" t="s">
        <v>249</v>
      </c>
      <c r="B1881" t="s">
        <v>251</v>
      </c>
      <c r="C1881" s="72" t="n">
        <v>2033</v>
      </c>
      <c r="D1881" t="s">
        <v>187</v>
      </c>
      <c r="E1881" s="73" t="n">
        <v>395769.621572836</v>
      </c>
      <c r="F1881" s="74" t="n">
        <v>366416.327949907</v>
      </c>
      <c r="G1881" s="75" t="n">
        <v>398354.344992358</v>
      </c>
      <c r="H1881" s="76" t="n">
        <v>368051.624575443</v>
      </c>
      <c r="I1881" s="77" t="str">
        <f>H1881-F1881</f>
      </c>
      <c r="J1881" s="78" t="str">
        <f>G1881-E1881</f>
      </c>
    </row>
    <row r="1882">
      <c r="A1882" t="s">
        <v>249</v>
      </c>
      <c r="B1882" t="s">
        <v>251</v>
      </c>
      <c r="C1882" s="72" t="n">
        <v>2033</v>
      </c>
      <c r="D1882" t="s">
        <v>190</v>
      </c>
      <c r="E1882" s="73" t="n">
        <v>675029.40001218</v>
      </c>
      <c r="F1882" s="74" t="n">
        <v>410103.490236297</v>
      </c>
      <c r="G1882" s="75" t="n">
        <v>687634.699546926</v>
      </c>
      <c r="H1882" s="76" t="n">
        <v>412348.075678578</v>
      </c>
      <c r="I1882" s="77" t="str">
        <f>H1882-F1882</f>
      </c>
      <c r="J1882" s="78" t="str">
        <f>G1882-E1882</f>
      </c>
    </row>
    <row r="1883">
      <c r="A1883" t="s">
        <v>249</v>
      </c>
      <c r="B1883" t="s">
        <v>251</v>
      </c>
      <c r="C1883" s="72" t="n">
        <v>2033</v>
      </c>
      <c r="D1883" t="s">
        <v>193</v>
      </c>
      <c r="E1883" s="73" t="n">
        <v>497614.774905342</v>
      </c>
      <c r="F1883" s="74" t="n">
        <v>268731.160336456</v>
      </c>
      <c r="G1883" s="75" t="n">
        <v>503751.109420694</v>
      </c>
      <c r="H1883" s="76" t="n">
        <v>269883.407599987</v>
      </c>
      <c r="I1883" s="77" t="str">
        <f>H1883-F1883</f>
      </c>
      <c r="J1883" s="78" t="str">
        <f>G1883-E1883</f>
      </c>
    </row>
    <row r="1884">
      <c r="A1884" t="s">
        <v>249</v>
      </c>
      <c r="B1884" t="s">
        <v>251</v>
      </c>
      <c r="C1884" s="72" t="n">
        <v>2033</v>
      </c>
      <c r="D1884" t="s">
        <v>424</v>
      </c>
      <c r="E1884" s="73" t="n">
        <v>44484.13752008</v>
      </c>
      <c r="F1884" s="74" t="n">
        <v>7348.08127941037</v>
      </c>
      <c r="G1884" s="75" t="n">
        <v>44483.6835898413</v>
      </c>
      <c r="H1884" s="76" t="n">
        <v>7348.07414732206</v>
      </c>
      <c r="I1884" s="77" t="str">
        <f>H1884-F1884</f>
      </c>
      <c r="J1884" s="78" t="str">
        <f>G1884-E1884</f>
      </c>
    </row>
    <row r="1885">
      <c r="A1885" t="s">
        <v>249</v>
      </c>
      <c r="B1885" t="s">
        <v>251</v>
      </c>
      <c r="C1885" s="72" t="n">
        <v>2034</v>
      </c>
      <c r="D1885" t="s">
        <v>176</v>
      </c>
      <c r="E1885" s="73" t="n">
        <v>16442.7253529401</v>
      </c>
      <c r="F1885" s="74" t="n">
        <v>11897.6080240073</v>
      </c>
      <c r="G1885" s="75" t="n">
        <v>16436.9312806497</v>
      </c>
      <c r="H1885" s="76" t="n">
        <v>11896.3823187386</v>
      </c>
      <c r="I1885" s="77" t="str">
        <f>H1885-F1885</f>
      </c>
      <c r="J1885" s="78" t="str">
        <f>G1885-E1885</f>
      </c>
    </row>
    <row r="1886">
      <c r="A1886" t="s">
        <v>249</v>
      </c>
      <c r="B1886" t="s">
        <v>251</v>
      </c>
      <c r="C1886" s="72" t="n">
        <v>2034</v>
      </c>
      <c r="D1886" t="s">
        <v>238</v>
      </c>
      <c r="E1886" s="73" t="n">
        <v>1124589.56512644</v>
      </c>
      <c r="F1886" s="74" t="n">
        <v>201747.310724424</v>
      </c>
      <c r="G1886" s="75" t="n">
        <v>1139357.01951607</v>
      </c>
      <c r="H1886" s="76" t="n">
        <v>202147.27044605</v>
      </c>
      <c r="I1886" s="77" t="str">
        <f>H1886-F1886</f>
      </c>
      <c r="J1886" s="78" t="str">
        <f>G1886-E1886</f>
      </c>
    </row>
    <row r="1887">
      <c r="A1887" t="s">
        <v>249</v>
      </c>
      <c r="B1887" t="s">
        <v>251</v>
      </c>
      <c r="C1887" s="72" t="n">
        <v>2034</v>
      </c>
      <c r="D1887" t="s">
        <v>184</v>
      </c>
      <c r="E1887" s="73" t="n">
        <v>121139.907259736</v>
      </c>
      <c r="F1887" s="74" t="n">
        <v>81600.791988025</v>
      </c>
      <c r="G1887" s="75" t="n">
        <v>121105.471839437</v>
      </c>
      <c r="H1887" s="76" t="n">
        <v>81594.9482339212</v>
      </c>
      <c r="I1887" s="77" t="str">
        <f>H1887-F1887</f>
      </c>
      <c r="J1887" s="78" t="str">
        <f>G1887-E1887</f>
      </c>
    </row>
    <row r="1888">
      <c r="A1888" t="s">
        <v>249</v>
      </c>
      <c r="B1888" t="s">
        <v>251</v>
      </c>
      <c r="C1888" s="72" t="n">
        <v>2034</v>
      </c>
      <c r="D1888" t="s">
        <v>187</v>
      </c>
      <c r="E1888" s="73" t="n">
        <v>403651.23113537</v>
      </c>
      <c r="F1888" s="74" t="n">
        <v>374078.859458802</v>
      </c>
      <c r="G1888" s="75" t="n">
        <v>406559.867353788</v>
      </c>
      <c r="H1888" s="76" t="n">
        <v>376028.132278335</v>
      </c>
      <c r="I1888" s="77" t="str">
        <f>H1888-F1888</f>
      </c>
      <c r="J1888" s="78" t="str">
        <f>G1888-E1888</f>
      </c>
    </row>
    <row r="1889">
      <c r="A1889" t="s">
        <v>249</v>
      </c>
      <c r="B1889" t="s">
        <v>251</v>
      </c>
      <c r="C1889" s="72" t="n">
        <v>2034</v>
      </c>
      <c r="D1889" t="s">
        <v>190</v>
      </c>
      <c r="E1889" s="73" t="n">
        <v>687483.998338884</v>
      </c>
      <c r="F1889" s="74" t="n">
        <v>420365.462158456</v>
      </c>
      <c r="G1889" s="75" t="n">
        <v>701691.677358768</v>
      </c>
      <c r="H1889" s="76" t="n">
        <v>423259.100590806</v>
      </c>
      <c r="I1889" s="77" t="str">
        <f>H1889-F1889</f>
      </c>
      <c r="J1889" s="78" t="str">
        <f>G1889-E1889</f>
      </c>
    </row>
    <row r="1890">
      <c r="A1890" t="s">
        <v>249</v>
      </c>
      <c r="B1890" t="s">
        <v>251</v>
      </c>
      <c r="C1890" s="72" t="n">
        <v>2034</v>
      </c>
      <c r="D1890" t="s">
        <v>193</v>
      </c>
      <c r="E1890" s="73" t="n">
        <v>509474.786270971</v>
      </c>
      <c r="F1890" s="74" t="n">
        <v>278018.369073665</v>
      </c>
      <c r="G1890" s="75" t="n">
        <v>516406.53850878</v>
      </c>
      <c r="H1890" s="76" t="n">
        <v>279484.980285229</v>
      </c>
      <c r="I1890" s="77" t="str">
        <f>H1890-F1890</f>
      </c>
      <c r="J1890" s="78" t="str">
        <f>G1890-E1890</f>
      </c>
    </row>
    <row r="1891">
      <c r="A1891" t="s">
        <v>249</v>
      </c>
      <c r="B1891" t="s">
        <v>251</v>
      </c>
      <c r="C1891" s="72" t="n">
        <v>2034</v>
      </c>
      <c r="D1891" t="s">
        <v>424</v>
      </c>
      <c r="E1891" s="73" t="n">
        <v>44355.868283039</v>
      </c>
      <c r="F1891" s="74" t="n">
        <v>7385.05388428711</v>
      </c>
      <c r="G1891" s="75" t="n">
        <v>44355.184450179</v>
      </c>
      <c r="H1891" s="76" t="n">
        <v>7385.04094675217</v>
      </c>
      <c r="I1891" s="77" t="str">
        <f>H1891-F1891</f>
      </c>
      <c r="J1891" s="78" t="str">
        <f>G1891-E1891</f>
      </c>
    </row>
    <row r="1892">
      <c r="A1892" t="s">
        <v>249</v>
      </c>
      <c r="B1892" t="s">
        <v>251</v>
      </c>
      <c r="C1892" s="72" t="n">
        <v>2035</v>
      </c>
      <c r="D1892" t="s">
        <v>176</v>
      </c>
      <c r="E1892" s="73" t="n">
        <v>16900.4843474114</v>
      </c>
      <c r="F1892" s="74" t="n">
        <v>12205.0397229405</v>
      </c>
      <c r="G1892" s="75" t="n">
        <v>16892.2141390053</v>
      </c>
      <c r="H1892" s="76" t="n">
        <v>12203.0577178634</v>
      </c>
      <c r="I1892" s="77" t="str">
        <f>H1892-F1892</f>
      </c>
      <c r="J1892" s="78" t="str">
        <f>G1892-E1892</f>
      </c>
    </row>
    <row r="1893">
      <c r="A1893" t="s">
        <v>249</v>
      </c>
      <c r="B1893" t="s">
        <v>251</v>
      </c>
      <c r="C1893" s="72" t="n">
        <v>2035</v>
      </c>
      <c r="D1893" t="s">
        <v>238</v>
      </c>
      <c r="E1893" s="73" t="n">
        <v>1132775.98305425</v>
      </c>
      <c r="F1893" s="74" t="n">
        <v>209781.928449953</v>
      </c>
      <c r="G1893" s="75" t="n">
        <v>1148972.16574985</v>
      </c>
      <c r="H1893" s="76" t="n">
        <v>210290.980527925</v>
      </c>
      <c r="I1893" s="77" t="str">
        <f>H1893-F1893</f>
      </c>
      <c r="J1893" s="78" t="str">
        <f>G1893-E1893</f>
      </c>
    </row>
    <row r="1894">
      <c r="A1894" t="s">
        <v>249</v>
      </c>
      <c r="B1894" t="s">
        <v>251</v>
      </c>
      <c r="C1894" s="72" t="n">
        <v>2035</v>
      </c>
      <c r="D1894" t="s">
        <v>184</v>
      </c>
      <c r="E1894" s="73" t="n">
        <v>124197.302120857</v>
      </c>
      <c r="F1894" s="74" t="n">
        <v>83704.6494126531</v>
      </c>
      <c r="G1894" s="75" t="n">
        <v>124148.207195844</v>
      </c>
      <c r="H1894" s="76" t="n">
        <v>83695.1178728798</v>
      </c>
      <c r="I1894" s="77" t="str">
        <f>H1894-F1894</f>
      </c>
      <c r="J1894" s="78" t="str">
        <f>G1894-E1894</f>
      </c>
    </row>
    <row r="1895">
      <c r="A1895" t="s">
        <v>249</v>
      </c>
      <c r="B1895" t="s">
        <v>251</v>
      </c>
      <c r="C1895" s="72" t="n">
        <v>2035</v>
      </c>
      <c r="D1895" t="s">
        <v>187</v>
      </c>
      <c r="E1895" s="73" t="n">
        <v>411315.480548848</v>
      </c>
      <c r="F1895" s="74" t="n">
        <v>381530.918605868</v>
      </c>
      <c r="G1895" s="75" t="n">
        <v>414533.160603145</v>
      </c>
      <c r="H1895" s="76" t="n">
        <v>383788.762526672</v>
      </c>
      <c r="I1895" s="77" t="str">
        <f>H1895-F1895</f>
      </c>
      <c r="J1895" s="78" t="str">
        <f>G1895-E1895</f>
      </c>
    </row>
    <row r="1896">
      <c r="A1896" t="s">
        <v>249</v>
      </c>
      <c r="B1896" t="s">
        <v>251</v>
      </c>
      <c r="C1896" s="72" t="n">
        <v>2035</v>
      </c>
      <c r="D1896" t="s">
        <v>190</v>
      </c>
      <c r="E1896" s="73" t="n">
        <v>699581.199551966</v>
      </c>
      <c r="F1896" s="74" t="n">
        <v>430485.342063546</v>
      </c>
      <c r="G1896" s="75" t="n">
        <v>715331.788822102</v>
      </c>
      <c r="H1896" s="76" t="n">
        <v>434082.031551195</v>
      </c>
      <c r="I1896" s="77" t="str">
        <f>H1896-F1896</f>
      </c>
      <c r="J1896" s="78" t="str">
        <f>G1896-E1896</f>
      </c>
    </row>
    <row r="1897">
      <c r="A1897" t="s">
        <v>249</v>
      </c>
      <c r="B1897" t="s">
        <v>251</v>
      </c>
      <c r="C1897" s="72" t="n">
        <v>2035</v>
      </c>
      <c r="D1897" t="s">
        <v>193</v>
      </c>
      <c r="E1897" s="73" t="n">
        <v>521119.481500293</v>
      </c>
      <c r="F1897" s="74" t="n">
        <v>287348.200171857</v>
      </c>
      <c r="G1897" s="75" t="n">
        <v>528818.371883953</v>
      </c>
      <c r="H1897" s="76" t="n">
        <v>289150.802435983</v>
      </c>
      <c r="I1897" s="77" t="str">
        <f>H1897-F1897</f>
      </c>
      <c r="J1897" s="78" t="str">
        <f>G1897-E1897</f>
      </c>
    </row>
    <row r="1898">
      <c r="A1898" t="s">
        <v>249</v>
      </c>
      <c r="B1898" t="s">
        <v>251</v>
      </c>
      <c r="C1898" s="72" t="n">
        <v>2035</v>
      </c>
      <c r="D1898" t="s">
        <v>424</v>
      </c>
      <c r="E1898" s="73" t="n">
        <v>44207.6763875093</v>
      </c>
      <c r="F1898" s="74" t="n">
        <v>7420.00003990441</v>
      </c>
      <c r="G1898" s="75" t="n">
        <v>44206.7073067121</v>
      </c>
      <c r="H1898" s="76" t="n">
        <v>7419.97885519321</v>
      </c>
      <c r="I1898" s="77" t="str">
        <f>H1898-F1898</f>
      </c>
      <c r="J1898" s="78" t="str">
        <f>G1898-E1898</f>
      </c>
    </row>
    <row r="1899">
      <c r="A1899" t="s">
        <v>249</v>
      </c>
      <c r="B1899" t="s">
        <v>251</v>
      </c>
      <c r="C1899" s="72" t="n">
        <v>2036</v>
      </c>
      <c r="D1899" t="s">
        <v>176</v>
      </c>
      <c r="E1899" s="73" t="n">
        <v>17361.9292228998</v>
      </c>
      <c r="F1899" s="74" t="n">
        <v>12509.8838526717</v>
      </c>
      <c r="G1899" s="75" t="n">
        <v>17350.6546269342</v>
      </c>
      <c r="H1899" s="76" t="n">
        <v>12506.9021026876</v>
      </c>
      <c r="I1899" s="77" t="str">
        <f>H1899-F1899</f>
      </c>
      <c r="J1899" s="78" t="str">
        <f>G1899-E1899</f>
      </c>
    </row>
    <row r="1900">
      <c r="A1900" t="s">
        <v>249</v>
      </c>
      <c r="B1900" t="s">
        <v>251</v>
      </c>
      <c r="C1900" s="72" t="n">
        <v>2036</v>
      </c>
      <c r="D1900" t="s">
        <v>238</v>
      </c>
      <c r="E1900" s="73" t="n">
        <v>1140727.7593362</v>
      </c>
      <c r="F1900" s="74" t="n">
        <v>217741.372589034</v>
      </c>
      <c r="G1900" s="75" t="n">
        <v>1158266.13775829</v>
      </c>
      <c r="H1900" s="76" t="n">
        <v>218370.687575925</v>
      </c>
      <c r="I1900" s="77" t="str">
        <f>H1900-F1900</f>
      </c>
      <c r="J1900" s="78" t="str">
        <f>G1900-E1900</f>
      </c>
    </row>
    <row r="1901">
      <c r="A1901" t="s">
        <v>249</v>
      </c>
      <c r="B1901" t="s">
        <v>251</v>
      </c>
      <c r="C1901" s="72" t="n">
        <v>2036</v>
      </c>
      <c r="D1901" t="s">
        <v>184</v>
      </c>
      <c r="E1901" s="73" t="n">
        <v>127205.24199917</v>
      </c>
      <c r="F1901" s="74" t="n">
        <v>85780.0101820847</v>
      </c>
      <c r="G1901" s="75" t="n">
        <v>127138.451085333</v>
      </c>
      <c r="H1901" s="76" t="n">
        <v>85765.5647353171</v>
      </c>
      <c r="I1901" s="77" t="str">
        <f>H1901-F1901</f>
      </c>
      <c r="J1901" s="78" t="str">
        <f>G1901-E1901</f>
      </c>
    </row>
    <row r="1902">
      <c r="A1902" t="s">
        <v>249</v>
      </c>
      <c r="B1902" t="s">
        <v>251</v>
      </c>
      <c r="C1902" s="72" t="n">
        <v>2036</v>
      </c>
      <c r="D1902" t="s">
        <v>187</v>
      </c>
      <c r="E1902" s="73" t="n">
        <v>418721.789050508</v>
      </c>
      <c r="F1902" s="74" t="n">
        <v>388727.966070585</v>
      </c>
      <c r="G1902" s="75" t="n">
        <v>422232.659922133</v>
      </c>
      <c r="H1902" s="76" t="n">
        <v>391285.955739587</v>
      </c>
      <c r="I1902" s="77" t="str">
        <f>H1902-F1902</f>
      </c>
      <c r="J1902" s="78" t="str">
        <f>G1902-E1902</f>
      </c>
    </row>
    <row r="1903">
      <c r="A1903" t="s">
        <v>249</v>
      </c>
      <c r="B1903" t="s">
        <v>251</v>
      </c>
      <c r="C1903" s="72" t="n">
        <v>2036</v>
      </c>
      <c r="D1903" t="s">
        <v>190</v>
      </c>
      <c r="E1903" s="73" t="n">
        <v>711299.794126011</v>
      </c>
      <c r="F1903" s="74" t="n">
        <v>440402.682375517</v>
      </c>
      <c r="G1903" s="75" t="n">
        <v>728531.610160843</v>
      </c>
      <c r="H1903" s="76" t="n">
        <v>444747.907566169</v>
      </c>
      <c r="I1903" s="77" t="str">
        <f>H1903-F1903</f>
      </c>
      <c r="J1903" s="78" t="str">
        <f>G1903-E1903</f>
      </c>
    </row>
    <row r="1904">
      <c r="A1904" t="s">
        <v>249</v>
      </c>
      <c r="B1904" t="s">
        <v>251</v>
      </c>
      <c r="C1904" s="72" t="n">
        <v>2036</v>
      </c>
      <c r="D1904" t="s">
        <v>193</v>
      </c>
      <c r="E1904" s="73" t="n">
        <v>532615.04261388</v>
      </c>
      <c r="F1904" s="74" t="n">
        <v>296723.006522571</v>
      </c>
      <c r="G1904" s="75" t="n">
        <v>541052.28077363</v>
      </c>
      <c r="H1904" s="76" t="n">
        <v>298879.611309733</v>
      </c>
      <c r="I1904" s="77" t="str">
        <f>H1904-F1904</f>
      </c>
      <c r="J1904" s="78" t="str">
        <f>G1904-E1904</f>
      </c>
    </row>
    <row r="1905">
      <c r="A1905" t="s">
        <v>249</v>
      </c>
      <c r="B1905" t="s">
        <v>251</v>
      </c>
      <c r="C1905" s="72" t="n">
        <v>2036</v>
      </c>
      <c r="D1905" t="s">
        <v>424</v>
      </c>
      <c r="E1905" s="73" t="n">
        <v>44051.3097488237</v>
      </c>
      <c r="F1905" s="74" t="n">
        <v>7453.36732503671</v>
      </c>
      <c r="G1905" s="75" t="n">
        <v>44049.9983782722</v>
      </c>
      <c r="H1905" s="76" t="n">
        <v>7453.3351271514</v>
      </c>
      <c r="I1905" s="77" t="str">
        <f>H1905-F1905</f>
      </c>
      <c r="J1905" s="78" t="str">
        <f>G1905-E1905</f>
      </c>
    </row>
    <row r="1906">
      <c r="A1906" t="s">
        <v>249</v>
      </c>
      <c r="B1906" t="s">
        <v>251</v>
      </c>
      <c r="C1906" s="72" t="n">
        <v>2037</v>
      </c>
      <c r="D1906" t="s">
        <v>176</v>
      </c>
      <c r="E1906" s="73" t="n">
        <v>17827.3344866993</v>
      </c>
      <c r="F1906" s="74" t="n">
        <v>12811.7478461</v>
      </c>
      <c r="G1906" s="75" t="n">
        <v>17812.5035281772</v>
      </c>
      <c r="H1906" s="76" t="n">
        <v>12807.5012683992</v>
      </c>
      <c r="I1906" s="77" t="str">
        <f>H1906-F1906</f>
      </c>
      <c r="J1906" s="78" t="str">
        <f>G1906-E1906</f>
      </c>
    </row>
    <row r="1907">
      <c r="A1907" t="s">
        <v>249</v>
      </c>
      <c r="B1907" t="s">
        <v>251</v>
      </c>
      <c r="C1907" s="72" t="n">
        <v>2037</v>
      </c>
      <c r="D1907" t="s">
        <v>238</v>
      </c>
      <c r="E1907" s="73" t="n">
        <v>1148566.13764268</v>
      </c>
      <c r="F1907" s="74" t="n">
        <v>225613.265613828</v>
      </c>
      <c r="G1907" s="75" t="n">
        <v>1167364.66541375</v>
      </c>
      <c r="H1907" s="76" t="n">
        <v>226373.365626062</v>
      </c>
      <c r="I1907" s="77" t="str">
        <f>H1907-F1907</f>
      </c>
      <c r="J1907" s="78" t="str">
        <f>G1907-E1907</f>
      </c>
    </row>
    <row r="1908">
      <c r="A1908" t="s">
        <v>249</v>
      </c>
      <c r="B1908" t="s">
        <v>251</v>
      </c>
      <c r="C1908" s="72" t="n">
        <v>2037</v>
      </c>
      <c r="D1908" t="s">
        <v>184</v>
      </c>
      <c r="E1908" s="73" t="n">
        <v>130179.727812407</v>
      </c>
      <c r="F1908" s="74" t="n">
        <v>87806.5771434103</v>
      </c>
      <c r="G1908" s="75" t="n">
        <v>130092.112965313</v>
      </c>
      <c r="H1908" s="76" t="n">
        <v>87785.8739142287</v>
      </c>
      <c r="I1908" s="77" t="str">
        <f>H1908-F1908</f>
      </c>
      <c r="J1908" s="78" t="str">
        <f>G1908-E1908</f>
      </c>
    </row>
    <row r="1909">
      <c r="A1909" t="s">
        <v>249</v>
      </c>
      <c r="B1909" t="s">
        <v>251</v>
      </c>
      <c r="C1909" s="72" t="n">
        <v>2037</v>
      </c>
      <c r="D1909" t="s">
        <v>187</v>
      </c>
      <c r="E1909" s="73" t="n">
        <v>425886.857640326</v>
      </c>
      <c r="F1909" s="74" t="n">
        <v>395626.593728306</v>
      </c>
      <c r="G1909" s="75" t="n">
        <v>429674.679324948</v>
      </c>
      <c r="H1909" s="76" t="n">
        <v>398473.813386608</v>
      </c>
      <c r="I1909" s="77" t="str">
        <f>H1909-F1909</f>
      </c>
      <c r="J1909" s="78" t="str">
        <f>G1909-E1909</f>
      </c>
    </row>
    <row r="1910">
      <c r="A1910" t="s">
        <v>249</v>
      </c>
      <c r="B1910" t="s">
        <v>251</v>
      </c>
      <c r="C1910" s="72" t="n">
        <v>2037</v>
      </c>
      <c r="D1910" t="s">
        <v>190</v>
      </c>
      <c r="E1910" s="73" t="n">
        <v>722612.193382498</v>
      </c>
      <c r="F1910" s="74" t="n">
        <v>450037.332607437</v>
      </c>
      <c r="G1910" s="75" t="n">
        <v>741261.427234993</v>
      </c>
      <c r="H1910" s="76" t="n">
        <v>455168.184528758</v>
      </c>
      <c r="I1910" s="77" t="str">
        <f>H1910-F1910</f>
      </c>
      <c r="J1910" s="78" t="str">
        <f>G1910-E1910</f>
      </c>
    </row>
    <row r="1911">
      <c r="A1911" t="s">
        <v>249</v>
      </c>
      <c r="B1911" t="s">
        <v>251</v>
      </c>
      <c r="C1911" s="72" t="n">
        <v>2037</v>
      </c>
      <c r="D1911" t="s">
        <v>193</v>
      </c>
      <c r="E1911" s="73" t="n">
        <v>544110.199915155</v>
      </c>
      <c r="F1911" s="74" t="n">
        <v>306140.5089482</v>
      </c>
      <c r="G1911" s="75" t="n">
        <v>553258.517761357</v>
      </c>
      <c r="H1911" s="76" t="n">
        <v>308666.043562302</v>
      </c>
      <c r="I1911" s="77" t="str">
        <f>H1911-F1911</f>
      </c>
      <c r="J1911" s="78" t="str">
        <f>G1911-E1911</f>
      </c>
    </row>
    <row r="1912">
      <c r="A1912" t="s">
        <v>249</v>
      </c>
      <c r="B1912" t="s">
        <v>251</v>
      </c>
      <c r="C1912" s="72" t="n">
        <v>2037</v>
      </c>
      <c r="D1912" t="s">
        <v>424</v>
      </c>
      <c r="E1912" s="73" t="n">
        <v>43888.2079927576</v>
      </c>
      <c r="F1912" s="74" t="n">
        <v>7485.6856996692</v>
      </c>
      <c r="G1912" s="75" t="n">
        <v>43886.4966397613</v>
      </c>
      <c r="H1912" s="76" t="n">
        <v>7485.63945861012</v>
      </c>
      <c r="I1912" s="77" t="str">
        <f>H1912-F1912</f>
      </c>
      <c r="J1912" s="78" t="str">
        <f>G1912-E1912</f>
      </c>
    </row>
    <row r="1913">
      <c r="A1913" t="s">
        <v>249</v>
      </c>
      <c r="B1913" t="s">
        <v>251</v>
      </c>
      <c r="C1913" s="72" t="n">
        <v>2038</v>
      </c>
      <c r="D1913" t="s">
        <v>176</v>
      </c>
      <c r="E1913" s="73" t="n">
        <v>18297.5773793642</v>
      </c>
      <c r="F1913" s="74" t="n">
        <v>13114.0523405195</v>
      </c>
      <c r="G1913" s="75" t="n">
        <v>18278.6195315823</v>
      </c>
      <c r="H1913" s="76" t="n">
        <v>13108.2586821674</v>
      </c>
      <c r="I1913" s="77" t="str">
        <f>H1913-F1913</f>
      </c>
      <c r="J1913" s="78" t="str">
        <f>G1913-E1913</f>
      </c>
    </row>
    <row r="1914">
      <c r="A1914" t="s">
        <v>249</v>
      </c>
      <c r="B1914" t="s">
        <v>251</v>
      </c>
      <c r="C1914" s="72" t="n">
        <v>2038</v>
      </c>
      <c r="D1914" t="s">
        <v>238</v>
      </c>
      <c r="E1914" s="73" t="n">
        <v>1156313.57921961</v>
      </c>
      <c r="F1914" s="74" t="n">
        <v>233385.466479777</v>
      </c>
      <c r="G1914" s="75" t="n">
        <v>1176286.23006217</v>
      </c>
      <c r="H1914" s="76" t="n">
        <v>234286.302403295</v>
      </c>
      <c r="I1914" s="77" t="str">
        <f>H1914-F1914</f>
      </c>
      <c r="J1914" s="78" t="str">
        <f>G1914-E1914</f>
      </c>
    </row>
    <row r="1915">
      <c r="A1915" t="s">
        <v>249</v>
      </c>
      <c r="B1915" t="s">
        <v>251</v>
      </c>
      <c r="C1915" s="72" t="n">
        <v>2038</v>
      </c>
      <c r="D1915" t="s">
        <v>184</v>
      </c>
      <c r="E1915" s="73" t="n">
        <v>133116.378508527</v>
      </c>
      <c r="F1915" s="74" t="n">
        <v>89791.3083457533</v>
      </c>
      <c r="G1915" s="75" t="n">
        <v>133004.77137127</v>
      </c>
      <c r="H1915" s="76" t="n">
        <v>89762.9085046272</v>
      </c>
      <c r="I1915" s="77" t="str">
        <f>H1915-F1915</f>
      </c>
      <c r="J1915" s="78" t="str">
        <f>G1915-E1915</f>
      </c>
    </row>
    <row r="1916">
      <c r="A1916" t="s">
        <v>249</v>
      </c>
      <c r="B1916" t="s">
        <v>251</v>
      </c>
      <c r="C1916" s="72" t="n">
        <v>2038</v>
      </c>
      <c r="D1916" t="s">
        <v>187</v>
      </c>
      <c r="E1916" s="73" t="n">
        <v>432830.204096082</v>
      </c>
      <c r="F1916" s="74" t="n">
        <v>402260.717132299</v>
      </c>
      <c r="G1916" s="75" t="n">
        <v>436878.359538317</v>
      </c>
      <c r="H1916" s="76" t="n">
        <v>405384.957772321</v>
      </c>
      <c r="I1916" s="77" t="str">
        <f>H1916-F1916</f>
      </c>
      <c r="J1916" s="78" t="str">
        <f>G1916-E1916</f>
      </c>
    </row>
    <row r="1917">
      <c r="A1917" t="s">
        <v>249</v>
      </c>
      <c r="B1917" t="s">
        <v>251</v>
      </c>
      <c r="C1917" s="72" t="n">
        <v>2038</v>
      </c>
      <c r="D1917" t="s">
        <v>190</v>
      </c>
      <c r="E1917" s="73" t="n">
        <v>733560.010313052</v>
      </c>
      <c r="F1917" s="74" t="n">
        <v>459397.432052246</v>
      </c>
      <c r="G1917" s="75" t="n">
        <v>753560.822146793</v>
      </c>
      <c r="H1917" s="76" t="n">
        <v>465342.91786371</v>
      </c>
      <c r="I1917" s="77" t="str">
        <f>H1917-F1917</f>
      </c>
      <c r="J1917" s="78" t="str">
        <f>G1917-E1917</f>
      </c>
    </row>
    <row r="1918">
      <c r="A1918" t="s">
        <v>249</v>
      </c>
      <c r="B1918" t="s">
        <v>251</v>
      </c>
      <c r="C1918" s="72" t="n">
        <v>2038</v>
      </c>
      <c r="D1918" t="s">
        <v>193</v>
      </c>
      <c r="E1918" s="73" t="n">
        <v>555573.263026681</v>
      </c>
      <c r="F1918" s="74" t="n">
        <v>315554.628249467</v>
      </c>
      <c r="G1918" s="75" t="n">
        <v>565403.758799385</v>
      </c>
      <c r="H1918" s="76" t="n">
        <v>318461.022248122</v>
      </c>
      <c r="I1918" s="77" t="str">
        <f>H1918-F1918</f>
      </c>
      <c r="J1918" s="78" t="str">
        <f>G1918-E1918</f>
      </c>
    </row>
    <row r="1919">
      <c r="A1919" t="s">
        <v>249</v>
      </c>
      <c r="B1919" t="s">
        <v>251</v>
      </c>
      <c r="C1919" s="72" t="n">
        <v>2038</v>
      </c>
      <c r="D1919" t="s">
        <v>424</v>
      </c>
      <c r="E1919" s="73" t="n">
        <v>43732.9141155919</v>
      </c>
      <c r="F1919" s="74" t="n">
        <v>7517.83390608637</v>
      </c>
      <c r="G1919" s="75" t="n">
        <v>43730.7448506382</v>
      </c>
      <c r="H1919" s="76" t="n">
        <v>7517.77035327065</v>
      </c>
      <c r="I1919" s="77" t="str">
        <f>H1919-F1919</f>
      </c>
      <c r="J1919" s="78" t="str">
        <f>G1919-E1919</f>
      </c>
    </row>
    <row r="1920">
      <c r="A1920" t="s">
        <v>249</v>
      </c>
      <c r="B1920" t="s">
        <v>251</v>
      </c>
      <c r="C1920" s="72" t="n">
        <v>2039</v>
      </c>
      <c r="D1920" t="s">
        <v>176</v>
      </c>
      <c r="E1920" s="73" t="n">
        <v>18775.769919951</v>
      </c>
      <c r="F1920" s="74" t="n">
        <v>13412.3060964976</v>
      </c>
      <c r="G1920" s="75" t="n">
        <v>18752.090499403</v>
      </c>
      <c r="H1920" s="76" t="n">
        <v>13404.6696202756</v>
      </c>
      <c r="I1920" s="77" t="str">
        <f>H1920-F1920</f>
      </c>
      <c r="J1920" s="78" t="str">
        <f>G1920-E1920</f>
      </c>
    </row>
    <row r="1921">
      <c r="A1921" t="s">
        <v>249</v>
      </c>
      <c r="B1921" t="s">
        <v>251</v>
      </c>
      <c r="C1921" s="72" t="n">
        <v>2039</v>
      </c>
      <c r="D1921" t="s">
        <v>238</v>
      </c>
      <c r="E1921" s="73" t="n">
        <v>1163674.82966846</v>
      </c>
      <c r="F1921" s="74" t="n">
        <v>241081.314739876</v>
      </c>
      <c r="G1921" s="75" t="n">
        <v>1184738.39184491</v>
      </c>
      <c r="H1921" s="76" t="n">
        <v>242132.191153164</v>
      </c>
      <c r="I1921" s="77" t="str">
        <f>H1921-F1921</f>
      </c>
      <c r="J1921" s="78" t="str">
        <f>G1921-E1921</f>
      </c>
    </row>
    <row r="1922">
      <c r="A1922" t="s">
        <v>249</v>
      </c>
      <c r="B1922" t="s">
        <v>251</v>
      </c>
      <c r="C1922" s="72" t="n">
        <v>2039</v>
      </c>
      <c r="D1922" t="s">
        <v>184</v>
      </c>
      <c r="E1922" s="73" t="n">
        <v>136010.916140902</v>
      </c>
      <c r="F1922" s="74" t="n">
        <v>91753.9864055316</v>
      </c>
      <c r="G1922" s="75" t="n">
        <v>135872.13136763</v>
      </c>
      <c r="H1922" s="76" t="n">
        <v>91716.3663536023</v>
      </c>
      <c r="I1922" s="77" t="str">
        <f>H1922-F1922</f>
      </c>
      <c r="J1922" s="78" t="str">
        <f>G1922-E1922</f>
      </c>
    </row>
    <row r="1923">
      <c r="A1923" t="s">
        <v>249</v>
      </c>
      <c r="B1923" t="s">
        <v>251</v>
      </c>
      <c r="C1923" s="72" t="n">
        <v>2039</v>
      </c>
      <c r="D1923" t="s">
        <v>187</v>
      </c>
      <c r="E1923" s="73" t="n">
        <v>439613.6106159</v>
      </c>
      <c r="F1923" s="74" t="n">
        <v>408731.69764514</v>
      </c>
      <c r="G1923" s="75" t="n">
        <v>443905.980748337</v>
      </c>
      <c r="H1923" s="76" t="n">
        <v>412120.21350488</v>
      </c>
      <c r="I1923" s="77" t="str">
        <f>H1923-F1923</f>
      </c>
      <c r="J1923" s="78" t="str">
        <f>G1923-E1923</f>
      </c>
    </row>
    <row r="1924">
      <c r="A1924" t="s">
        <v>249</v>
      </c>
      <c r="B1924" t="s">
        <v>251</v>
      </c>
      <c r="C1924" s="72" t="n">
        <v>2039</v>
      </c>
      <c r="D1924" t="s">
        <v>190</v>
      </c>
      <c r="E1924" s="73" t="n">
        <v>744237.694012551</v>
      </c>
      <c r="F1924" s="74" t="n">
        <v>468488.510769194</v>
      </c>
      <c r="G1924" s="75" t="n">
        <v>765528.467838857</v>
      </c>
      <c r="H1924" s="76" t="n">
        <v>475269.787528918</v>
      </c>
      <c r="I1924" s="77" t="str">
        <f>H1924-F1924</f>
      </c>
      <c r="J1924" s="78" t="str">
        <f>G1924-E1924</f>
      </c>
    </row>
    <row r="1925">
      <c r="A1925" t="s">
        <v>249</v>
      </c>
      <c r="B1925" t="s">
        <v>251</v>
      </c>
      <c r="C1925" s="72" t="n">
        <v>2039</v>
      </c>
      <c r="D1925" t="s">
        <v>193</v>
      </c>
      <c r="E1925" s="73" t="n">
        <v>566932.028996133</v>
      </c>
      <c r="F1925" s="74" t="n">
        <v>324949.900515885</v>
      </c>
      <c r="G1925" s="75" t="n">
        <v>577414.514396235</v>
      </c>
      <c r="H1925" s="76" t="n">
        <v>328246.401276368</v>
      </c>
      <c r="I1925" s="77" t="str">
        <f>H1925-F1925</f>
      </c>
      <c r="J1925" s="78" t="str">
        <f>G1925-E1925</f>
      </c>
    </row>
    <row r="1926">
      <c r="A1926" t="s">
        <v>249</v>
      </c>
      <c r="B1926" t="s">
        <v>251</v>
      </c>
      <c r="C1926" s="72" t="n">
        <v>2039</v>
      </c>
      <c r="D1926" t="s">
        <v>424</v>
      </c>
      <c r="E1926" s="73" t="n">
        <v>43591.5307313829</v>
      </c>
      <c r="F1926" s="74" t="n">
        <v>7547.64418734197</v>
      </c>
      <c r="G1926" s="75" t="n">
        <v>43588.845456637</v>
      </c>
      <c r="H1926" s="76" t="n">
        <v>7547.5598608641</v>
      </c>
      <c r="I1926" s="77" t="str">
        <f>H1926-F1926</f>
      </c>
      <c r="J1926" s="78" t="str">
        <f>G1926-E1926</f>
      </c>
    </row>
    <row r="1927">
      <c r="A1927" t="s">
        <v>249</v>
      </c>
      <c r="B1927" t="s">
        <v>251</v>
      </c>
      <c r="C1927" s="72" t="n">
        <v>2040</v>
      </c>
      <c r="D1927" t="s">
        <v>176</v>
      </c>
      <c r="E1927" s="73" t="n">
        <v>19264.7609472512</v>
      </c>
      <c r="F1927" s="74" t="n">
        <v>13708.76346073</v>
      </c>
      <c r="G1927" s="75" t="n">
        <v>19235.7365429273</v>
      </c>
      <c r="H1927" s="76" t="n">
        <v>13698.9721681132</v>
      </c>
      <c r="I1927" s="77" t="str">
        <f>H1927-F1927</f>
      </c>
      <c r="J1927" s="78" t="str">
        <f>G1927-E1927</f>
      </c>
    </row>
    <row r="1928">
      <c r="A1928" t="s">
        <v>249</v>
      </c>
      <c r="B1928" t="s">
        <v>251</v>
      </c>
      <c r="C1928" s="72" t="n">
        <v>2040</v>
      </c>
      <c r="D1928" t="s">
        <v>238</v>
      </c>
      <c r="E1928" s="73" t="n">
        <v>1170561.59645434</v>
      </c>
      <c r="F1928" s="74" t="n">
        <v>248684.897314356</v>
      </c>
      <c r="G1928" s="75" t="n">
        <v>1192634.43006365</v>
      </c>
      <c r="H1928" s="76" t="n">
        <v>249894.478827588</v>
      </c>
      <c r="I1928" s="77" t="str">
        <f>H1928-F1928</f>
      </c>
      <c r="J1928" s="78" t="str">
        <f>G1928-E1928</f>
      </c>
    </row>
    <row r="1929">
      <c r="A1929" t="s">
        <v>249</v>
      </c>
      <c r="B1929" t="s">
        <v>251</v>
      </c>
      <c r="C1929" s="72" t="n">
        <v>2040</v>
      </c>
      <c r="D1929" t="s">
        <v>184</v>
      </c>
      <c r="E1929" s="73" t="n">
        <v>138858.946568589</v>
      </c>
      <c r="F1929" s="74" t="n">
        <v>93685.3243450794</v>
      </c>
      <c r="G1929" s="75" t="n">
        <v>138689.796610277</v>
      </c>
      <c r="H1929" s="76" t="n">
        <v>93636.8967600593</v>
      </c>
      <c r="I1929" s="77" t="str">
        <f>H1929-F1929</f>
      </c>
      <c r="J1929" s="78" t="str">
        <f>G1929-E1929</f>
      </c>
    </row>
    <row r="1930">
      <c r="A1930" t="s">
        <v>249</v>
      </c>
      <c r="B1930" t="s">
        <v>251</v>
      </c>
      <c r="C1930" s="72" t="n">
        <v>2040</v>
      </c>
      <c r="D1930" t="s">
        <v>187</v>
      </c>
      <c r="E1930" s="73" t="n">
        <v>446320.463364283</v>
      </c>
      <c r="F1930" s="74" t="n">
        <v>414981.971649083</v>
      </c>
      <c r="G1930" s="75" t="n">
        <v>450841.764596063</v>
      </c>
      <c r="H1930" s="76" t="n">
        <v>418620.908948174</v>
      </c>
      <c r="I1930" s="77" t="str">
        <f>H1930-F1930</f>
      </c>
      <c r="J1930" s="78" t="str">
        <f>G1930-E1930</f>
      </c>
    </row>
    <row r="1931">
      <c r="A1931" t="s">
        <v>249</v>
      </c>
      <c r="B1931" t="s">
        <v>251</v>
      </c>
      <c r="C1931" s="72" t="n">
        <v>2040</v>
      </c>
      <c r="D1931" t="s">
        <v>190</v>
      </c>
      <c r="E1931" s="73" t="n">
        <v>754570.89028888</v>
      </c>
      <c r="F1931" s="74" t="n">
        <v>477315.518885197</v>
      </c>
      <c r="G1931" s="75" t="n">
        <v>777088.496702091</v>
      </c>
      <c r="H1931" s="76" t="n">
        <v>484947.105425179</v>
      </c>
      <c r="I1931" s="77" t="str">
        <f>H1931-F1931</f>
      </c>
      <c r="J1931" s="78" t="str">
        <f>G1931-E1931</f>
      </c>
    </row>
    <row r="1932">
      <c r="A1932" t="s">
        <v>249</v>
      </c>
      <c r="B1932" t="s">
        <v>251</v>
      </c>
      <c r="C1932" s="72" t="n">
        <v>2040</v>
      </c>
      <c r="D1932" t="s">
        <v>193</v>
      </c>
      <c r="E1932" s="73" t="n">
        <v>578254.456864311</v>
      </c>
      <c r="F1932" s="74" t="n">
        <v>334345.526555732</v>
      </c>
      <c r="G1932" s="75" t="n">
        <v>589359.733832842</v>
      </c>
      <c r="H1932" s="76" t="n">
        <v>338039.010430446</v>
      </c>
      <c r="I1932" s="77" t="str">
        <f>H1932-F1932</f>
      </c>
      <c r="J1932" s="78" t="str">
        <f>G1932-E1932</f>
      </c>
    </row>
    <row r="1933">
      <c r="A1933" t="s">
        <v>249</v>
      </c>
      <c r="B1933" t="s">
        <v>251</v>
      </c>
      <c r="C1933" s="72" t="n">
        <v>2040</v>
      </c>
      <c r="D1933" t="s">
        <v>424</v>
      </c>
      <c r="E1933" s="73" t="n">
        <v>43468.1190406715</v>
      </c>
      <c r="F1933" s="74" t="n">
        <v>7573.83427412619</v>
      </c>
      <c r="G1933" s="75" t="n">
        <v>43464.8596818836</v>
      </c>
      <c r="H1933" s="76" t="n">
        <v>7573.72556082699</v>
      </c>
      <c r="I1933" s="77" t="str">
        <f>H1933-F1933</f>
      </c>
      <c r="J1933" s="78" t="str">
        <f>G1933-E1933</f>
      </c>
    </row>
    <row r="1934">
      <c r="A1934" t="s">
        <v>249</v>
      </c>
      <c r="B1934" t="s">
        <v>251</v>
      </c>
      <c r="C1934" s="72" t="n">
        <v>2041</v>
      </c>
      <c r="D1934" t="s">
        <v>176</v>
      </c>
      <c r="E1934" s="73" t="n">
        <v>19762.298891737</v>
      </c>
      <c r="F1934" s="74" t="n">
        <v>14003.8822060343</v>
      </c>
      <c r="G1934" s="75" t="n">
        <v>19727.283486384</v>
      </c>
      <c r="H1934" s="76" t="n">
        <v>13991.6066902828</v>
      </c>
      <c r="I1934" s="77" t="str">
        <f>H1934-F1934</f>
      </c>
      <c r="J1934" s="78" t="str">
        <f>G1934-E1934</f>
      </c>
    </row>
    <row r="1935">
      <c r="A1935" t="s">
        <v>249</v>
      </c>
      <c r="B1935" t="s">
        <v>251</v>
      </c>
      <c r="C1935" s="72" t="n">
        <v>2041</v>
      </c>
      <c r="D1935" t="s">
        <v>238</v>
      </c>
      <c r="E1935" s="73" t="n">
        <v>1176983.5247843</v>
      </c>
      <c r="F1935" s="74" t="n">
        <v>256222.568710054</v>
      </c>
      <c r="G1935" s="75" t="n">
        <v>1199988.17586749</v>
      </c>
      <c r="H1935" s="76" t="n">
        <v>257599.044002988</v>
      </c>
      <c r="I1935" s="77" t="str">
        <f>H1935-F1935</f>
      </c>
      <c r="J1935" s="78" t="str">
        <f>G1935-E1935</f>
      </c>
    </row>
    <row r="1936">
      <c r="A1936" t="s">
        <v>249</v>
      </c>
      <c r="B1936" t="s">
        <v>251</v>
      </c>
      <c r="C1936" s="72" t="n">
        <v>2041</v>
      </c>
      <c r="D1936" t="s">
        <v>184</v>
      </c>
      <c r="E1936" s="73" t="n">
        <v>141678.323358603</v>
      </c>
      <c r="F1936" s="74" t="n">
        <v>95587.8818624863</v>
      </c>
      <c r="G1936" s="75" t="n">
        <v>141475.570851386</v>
      </c>
      <c r="H1936" s="76" t="n">
        <v>95527.0063786807</v>
      </c>
      <c r="I1936" s="77" t="str">
        <f>H1936-F1936</f>
      </c>
      <c r="J1936" s="78" t="str">
        <f>G1936-E1936</f>
      </c>
    </row>
    <row r="1937">
      <c r="A1937" t="s">
        <v>249</v>
      </c>
      <c r="B1937" t="s">
        <v>251</v>
      </c>
      <c r="C1937" s="72" t="n">
        <v>2041</v>
      </c>
      <c r="D1937" t="s">
        <v>187</v>
      </c>
      <c r="E1937" s="73" t="n">
        <v>452962.951475373</v>
      </c>
      <c r="F1937" s="74" t="n">
        <v>421129.606359595</v>
      </c>
      <c r="G1937" s="75" t="n">
        <v>457698.128134802</v>
      </c>
      <c r="H1937" s="76" t="n">
        <v>425005.77720965</v>
      </c>
      <c r="I1937" s="77" t="str">
        <f>H1937-F1937</f>
      </c>
      <c r="J1937" s="78" t="str">
        <f>G1937-E1937</f>
      </c>
    </row>
    <row r="1938">
      <c r="A1938" t="s">
        <v>249</v>
      </c>
      <c r="B1938" t="s">
        <v>251</v>
      </c>
      <c r="C1938" s="72" t="n">
        <v>2041</v>
      </c>
      <c r="D1938" t="s">
        <v>190</v>
      </c>
      <c r="E1938" s="73" t="n">
        <v>764609.803582602</v>
      </c>
      <c r="F1938" s="74" t="n">
        <v>485900.203453186</v>
      </c>
      <c r="G1938" s="75" t="n">
        <v>788293.242756689</v>
      </c>
      <c r="H1938" s="76" t="n">
        <v>494390.873248259</v>
      </c>
      <c r="I1938" s="77" t="str">
        <f>H1938-F1938</f>
      </c>
      <c r="J1938" s="78" t="str">
        <f>G1938-E1938</f>
      </c>
    </row>
    <row r="1939">
      <c r="A1939" t="s">
        <v>249</v>
      </c>
      <c r="B1939" t="s">
        <v>251</v>
      </c>
      <c r="C1939" s="72" t="n">
        <v>2041</v>
      </c>
      <c r="D1939" t="s">
        <v>193</v>
      </c>
      <c r="E1939" s="73" t="n">
        <v>589458.062243352</v>
      </c>
      <c r="F1939" s="74" t="n">
        <v>343828.268700413</v>
      </c>
      <c r="G1939" s="75" t="n">
        <v>601155.340946961</v>
      </c>
      <c r="H1939" s="76" t="n">
        <v>347924.766327078</v>
      </c>
      <c r="I1939" s="77" t="str">
        <f>H1939-F1939</f>
      </c>
      <c r="J1939" s="78" t="str">
        <f>G1939-E1939</f>
      </c>
    </row>
    <row r="1940">
      <c r="A1940" t="s">
        <v>249</v>
      </c>
      <c r="B1940" t="s">
        <v>251</v>
      </c>
      <c r="C1940" s="72" t="n">
        <v>2041</v>
      </c>
      <c r="D1940" t="s">
        <v>424</v>
      </c>
      <c r="E1940" s="73" t="n">
        <v>43364.8266925717</v>
      </c>
      <c r="F1940" s="74" t="n">
        <v>7596.1322299209</v>
      </c>
      <c r="G1940" s="75" t="n">
        <v>43360.9356755525</v>
      </c>
      <c r="H1940" s="76" t="n">
        <v>7595.99533386821</v>
      </c>
      <c r="I1940" s="77" t="str">
        <f>H1940-F1940</f>
      </c>
      <c r="J1940" s="78" t="str">
        <f>G1940-E1940</f>
      </c>
    </row>
    <row r="1941">
      <c r="A1941" t="s">
        <v>249</v>
      </c>
      <c r="B1941" t="s">
        <v>251</v>
      </c>
      <c r="C1941" s="72" t="n">
        <v>2042</v>
      </c>
      <c r="D1941" t="s">
        <v>176</v>
      </c>
      <c r="E1941" s="73" t="n">
        <v>20263.9404098263</v>
      </c>
      <c r="F1941" s="74" t="n">
        <v>14299.7275936655</v>
      </c>
      <c r="G1941" s="75" t="n">
        <v>20222.2683991647</v>
      </c>
      <c r="H1941" s="76" t="n">
        <v>14284.6169088399</v>
      </c>
      <c r="I1941" s="77" t="str">
        <f>H1941-F1941</f>
      </c>
      <c r="J1941" s="78" t="str">
        <f>G1941-E1941</f>
      </c>
    </row>
    <row r="1942">
      <c r="A1942" t="s">
        <v>249</v>
      </c>
      <c r="B1942" t="s">
        <v>251</v>
      </c>
      <c r="C1942" s="72" t="n">
        <v>2042</v>
      </c>
      <c r="D1942" t="s">
        <v>238</v>
      </c>
      <c r="E1942" s="73" t="n">
        <v>1182938.03555948</v>
      </c>
      <c r="F1942" s="74" t="n">
        <v>263738.195274547</v>
      </c>
      <c r="G1942" s="75" t="n">
        <v>1206799.58929471</v>
      </c>
      <c r="H1942" s="76" t="n">
        <v>265289.409116733</v>
      </c>
      <c r="I1942" s="77" t="str">
        <f>H1942-F1942</f>
      </c>
      <c r="J1942" s="78" t="str">
        <f>G1942-E1942</f>
      </c>
    </row>
    <row r="1943">
      <c r="A1943" t="s">
        <v>249</v>
      </c>
      <c r="B1943" t="s">
        <v>251</v>
      </c>
      <c r="C1943" s="72" t="n">
        <v>2042</v>
      </c>
      <c r="D1943" t="s">
        <v>184</v>
      </c>
      <c r="E1943" s="73" t="n">
        <v>144487.765610793</v>
      </c>
      <c r="F1943" s="74" t="n">
        <v>97481.1798160308</v>
      </c>
      <c r="G1943" s="75" t="n">
        <v>144248.066926011</v>
      </c>
      <c r="H1943" s="76" t="n">
        <v>97406.1569770963</v>
      </c>
      <c r="I1943" s="77" t="str">
        <f>H1943-F1943</f>
      </c>
      <c r="J1943" s="78" t="str">
        <f>G1943-E1943</f>
      </c>
    </row>
    <row r="1944">
      <c r="A1944" t="s">
        <v>249</v>
      </c>
      <c r="B1944" t="s">
        <v>251</v>
      </c>
      <c r="C1944" s="72" t="n">
        <v>2042</v>
      </c>
      <c r="D1944" t="s">
        <v>187</v>
      </c>
      <c r="E1944" s="73" t="n">
        <v>459552.867723871</v>
      </c>
      <c r="F1944" s="74" t="n">
        <v>427295.960420891</v>
      </c>
      <c r="G1944" s="75" t="n">
        <v>464487.038990191</v>
      </c>
      <c r="H1944" s="76" t="n">
        <v>431397.042999706</v>
      </c>
      <c r="I1944" s="77" t="str">
        <f>H1944-F1944</f>
      </c>
      <c r="J1944" s="78" t="str">
        <f>G1944-E1944</f>
      </c>
    </row>
    <row r="1945">
      <c r="A1945" t="s">
        <v>249</v>
      </c>
      <c r="B1945" t="s">
        <v>251</v>
      </c>
      <c r="C1945" s="72" t="n">
        <v>2042</v>
      </c>
      <c r="D1945" t="s">
        <v>190</v>
      </c>
      <c r="E1945" s="73" t="n">
        <v>774434.94171738</v>
      </c>
      <c r="F1945" s="74" t="n">
        <v>494250.568291038</v>
      </c>
      <c r="G1945" s="75" t="n">
        <v>799225.499121645</v>
      </c>
      <c r="H1945" s="76" t="n">
        <v>503603.803809569</v>
      </c>
      <c r="I1945" s="77" t="str">
        <f>H1945-F1945</f>
      </c>
      <c r="J1945" s="78" t="str">
        <f>G1945-E1945</f>
      </c>
    </row>
    <row r="1946">
      <c r="A1946" t="s">
        <v>249</v>
      </c>
      <c r="B1946" t="s">
        <v>251</v>
      </c>
      <c r="C1946" s="72" t="n">
        <v>2042</v>
      </c>
      <c r="D1946" t="s">
        <v>193</v>
      </c>
      <c r="E1946" s="73" t="n">
        <v>600408.719124341</v>
      </c>
      <c r="F1946" s="74" t="n">
        <v>353426.509205128</v>
      </c>
      <c r="G1946" s="75" t="n">
        <v>612664.177038008</v>
      </c>
      <c r="H1946" s="76" t="n">
        <v>357930.939504437</v>
      </c>
      <c r="I1946" s="77" t="str">
        <f>H1946-F1946</f>
      </c>
      <c r="J1946" s="78" t="str">
        <f>G1946-E1946</f>
      </c>
    </row>
    <row r="1947">
      <c r="A1947" t="s">
        <v>249</v>
      </c>
      <c r="B1947" t="s">
        <v>251</v>
      </c>
      <c r="C1947" s="72" t="n">
        <v>2042</v>
      </c>
      <c r="D1947" t="s">
        <v>424</v>
      </c>
      <c r="E1947" s="73" t="n">
        <v>43283.3084369298</v>
      </c>
      <c r="F1947" s="74" t="n">
        <v>7616.76192465748</v>
      </c>
      <c r="G1947" s="75" t="n">
        <v>43278.7284816073</v>
      </c>
      <c r="H1947" s="76" t="n">
        <v>7616.59280355029</v>
      </c>
      <c r="I1947" s="77" t="str">
        <f>H1947-F1947</f>
      </c>
      <c r="J1947" s="78" t="str">
        <f>G1947-E1947</f>
      </c>
    </row>
    <row r="1948">
      <c r="A1948" t="s">
        <v>249</v>
      </c>
      <c r="B1948" t="s">
        <v>251</v>
      </c>
      <c r="C1948" s="72" t="n">
        <v>2043</v>
      </c>
      <c r="D1948" t="s">
        <v>176</v>
      </c>
      <c r="E1948" s="73" t="n">
        <v>20769.5777881519</v>
      </c>
      <c r="F1948" s="74" t="n">
        <v>14591.1968426013</v>
      </c>
      <c r="G1948" s="75" t="n">
        <v>20720.5482054553</v>
      </c>
      <c r="H1948" s="76" t="n">
        <v>14572.8831532714</v>
      </c>
      <c r="I1948" s="77" t="str">
        <f>H1948-F1948</f>
      </c>
      <c r="J1948" s="78" t="str">
        <f>G1948-E1948</f>
      </c>
    </row>
    <row r="1949">
      <c r="A1949" t="s">
        <v>249</v>
      </c>
      <c r="B1949" t="s">
        <v>251</v>
      </c>
      <c r="C1949" s="72" t="n">
        <v>2043</v>
      </c>
      <c r="D1949" t="s">
        <v>238</v>
      </c>
      <c r="E1949" s="73" t="n">
        <v>1188403.71629036</v>
      </c>
      <c r="F1949" s="74" t="n">
        <v>271217.304779866</v>
      </c>
      <c r="G1949" s="75" t="n">
        <v>1213049.26096591</v>
      </c>
      <c r="H1949" s="76" t="n">
        <v>272950.435419178</v>
      </c>
      <c r="I1949" s="77" t="str">
        <f>H1949-F1949</f>
      </c>
      <c r="J1949" s="78" t="str">
        <f>G1949-E1949</f>
      </c>
    </row>
    <row r="1950">
      <c r="A1950" t="s">
        <v>249</v>
      </c>
      <c r="B1950" t="s">
        <v>251</v>
      </c>
      <c r="C1950" s="72" t="n">
        <v>2043</v>
      </c>
      <c r="D1950" t="s">
        <v>184</v>
      </c>
      <c r="E1950" s="73" t="n">
        <v>147273.88420464</v>
      </c>
      <c r="F1950" s="74" t="n">
        <v>99362.3190100921</v>
      </c>
      <c r="G1950" s="75" t="n">
        <v>146993.814208207</v>
      </c>
      <c r="H1950" s="76" t="n">
        <v>99271.3911680729</v>
      </c>
      <c r="I1950" s="77" t="str">
        <f>H1950-F1950</f>
      </c>
      <c r="J1950" s="78" t="str">
        <f>G1950-E1950</f>
      </c>
    </row>
    <row r="1951">
      <c r="A1951" t="s">
        <v>249</v>
      </c>
      <c r="B1951" t="s">
        <v>251</v>
      </c>
      <c r="C1951" s="72" t="n">
        <v>2043</v>
      </c>
      <c r="D1951" t="s">
        <v>187</v>
      </c>
      <c r="E1951" s="73" t="n">
        <v>466037.089699608</v>
      </c>
      <c r="F1951" s="74" t="n">
        <v>433367.578090956</v>
      </c>
      <c r="G1951" s="75" t="n">
        <v>471154.839580669</v>
      </c>
      <c r="H1951" s="76" t="n">
        <v>437679.988471842</v>
      </c>
      <c r="I1951" s="77" t="str">
        <f>H1951-F1951</f>
      </c>
      <c r="J1951" s="78" t="str">
        <f>G1951-E1951</f>
      </c>
    </row>
    <row r="1952">
      <c r="A1952" t="s">
        <v>249</v>
      </c>
      <c r="B1952" t="s">
        <v>251</v>
      </c>
      <c r="C1952" s="72" t="n">
        <v>2043</v>
      </c>
      <c r="D1952" t="s">
        <v>190</v>
      </c>
      <c r="E1952" s="73" t="n">
        <v>784171.295032936</v>
      </c>
      <c r="F1952" s="74" t="n">
        <v>502395.384975706</v>
      </c>
      <c r="G1952" s="75" t="n">
        <v>810014.772834319</v>
      </c>
      <c r="H1952" s="76" t="n">
        <v>512610.449179313</v>
      </c>
      <c r="I1952" s="77" t="str">
        <f>H1952-F1952</f>
      </c>
      <c r="J1952" s="78" t="str">
        <f>G1952-E1952</f>
      </c>
    </row>
    <row r="1953">
      <c r="A1953" t="s">
        <v>249</v>
      </c>
      <c r="B1953" t="s">
        <v>251</v>
      </c>
      <c r="C1953" s="72" t="n">
        <v>2043</v>
      </c>
      <c r="D1953" t="s">
        <v>193</v>
      </c>
      <c r="E1953" s="73" t="n">
        <v>611172.41867575</v>
      </c>
      <c r="F1953" s="74" t="n">
        <v>363044.735974999</v>
      </c>
      <c r="G1953" s="75" t="n">
        <v>623953.356494139</v>
      </c>
      <c r="H1953" s="76" t="n">
        <v>367959.059248153</v>
      </c>
      <c r="I1953" s="77" t="str">
        <f>H1953-F1953</f>
      </c>
      <c r="J1953" s="78" t="str">
        <f>G1953-E1953</f>
      </c>
    </row>
    <row r="1954">
      <c r="A1954" t="s">
        <v>249</v>
      </c>
      <c r="B1954" t="s">
        <v>251</v>
      </c>
      <c r="C1954" s="72" t="n">
        <v>2043</v>
      </c>
      <c r="D1954" t="s">
        <v>424</v>
      </c>
      <c r="E1954" s="73" t="n">
        <v>43237.4646433662</v>
      </c>
      <c r="F1954" s="74" t="n">
        <v>7634.84371514852</v>
      </c>
      <c r="G1954" s="75" t="n">
        <v>43232.1385441846</v>
      </c>
      <c r="H1954" s="76" t="n">
        <v>7634.63809790975</v>
      </c>
      <c r="I1954" s="77" t="str">
        <f>H1954-F1954</f>
      </c>
      <c r="J1954" s="78" t="str">
        <f>G1954-E1954</f>
      </c>
    </row>
    <row r="1955">
      <c r="A1955" t="s">
        <v>249</v>
      </c>
      <c r="B1955" t="s">
        <v>251</v>
      </c>
      <c r="C1955" s="72" t="n">
        <v>2044</v>
      </c>
      <c r="D1955" t="s">
        <v>176</v>
      </c>
      <c r="E1955" s="73" t="n">
        <v>21277.3673369706</v>
      </c>
      <c r="F1955" s="74" t="n">
        <v>14883.3294397596</v>
      </c>
      <c r="G1955" s="75" t="n">
        <v>21220.2473713984</v>
      </c>
      <c r="H1955" s="76" t="n">
        <v>14861.4315691186</v>
      </c>
      <c r="I1955" s="77" t="str">
        <f>H1955-F1955</f>
      </c>
      <c r="J1955" s="78" t="str">
        <f>G1955-E1955</f>
      </c>
    </row>
    <row r="1956">
      <c r="A1956" t="s">
        <v>249</v>
      </c>
      <c r="B1956" t="s">
        <v>251</v>
      </c>
      <c r="C1956" s="72" t="n">
        <v>2044</v>
      </c>
      <c r="D1956" t="s">
        <v>238</v>
      </c>
      <c r="E1956" s="73" t="n">
        <v>1193623.60360725</v>
      </c>
      <c r="F1956" s="74" t="n">
        <v>278584.912870287</v>
      </c>
      <c r="G1956" s="75" t="n">
        <v>1218988.4670045</v>
      </c>
      <c r="H1956" s="76" t="n">
        <v>280506.441535508</v>
      </c>
      <c r="I1956" s="77" t="str">
        <f>H1956-F1956</f>
      </c>
      <c r="J1956" s="78" t="str">
        <f>G1956-E1956</f>
      </c>
    </row>
    <row r="1957">
      <c r="A1957" t="s">
        <v>249</v>
      </c>
      <c r="B1957" t="s">
        <v>251</v>
      </c>
      <c r="C1957" s="72" t="n">
        <v>2044</v>
      </c>
      <c r="D1957" t="s">
        <v>184</v>
      </c>
      <c r="E1957" s="73" t="n">
        <v>150020.142429407</v>
      </c>
      <c r="F1957" s="74" t="n">
        <v>101220.924516952</v>
      </c>
      <c r="G1957" s="75" t="n">
        <v>149696.213967301</v>
      </c>
      <c r="H1957" s="76" t="n">
        <v>101112.290089553</v>
      </c>
      <c r="I1957" s="77" t="str">
        <f>H1957-F1957</f>
      </c>
      <c r="J1957" s="78" t="str">
        <f>G1957-E1957</f>
      </c>
    </row>
    <row r="1958">
      <c r="A1958" t="s">
        <v>249</v>
      </c>
      <c r="B1958" t="s">
        <v>251</v>
      </c>
      <c r="C1958" s="72" t="n">
        <v>2044</v>
      </c>
      <c r="D1958" t="s">
        <v>187</v>
      </c>
      <c r="E1958" s="73" t="n">
        <v>472296.678489329</v>
      </c>
      <c r="F1958" s="74" t="n">
        <v>439291.266787122</v>
      </c>
      <c r="G1958" s="75" t="n">
        <v>477581.314836645</v>
      </c>
      <c r="H1958" s="76" t="n">
        <v>443800.637197395</v>
      </c>
      <c r="I1958" s="77" t="str">
        <f>H1958-F1958</f>
      </c>
      <c r="J1958" s="78" t="str">
        <f>G1958-E1958</f>
      </c>
    </row>
    <row r="1959">
      <c r="A1959" t="s">
        <v>249</v>
      </c>
      <c r="B1959" t="s">
        <v>251</v>
      </c>
      <c r="C1959" s="72" t="n">
        <v>2044</v>
      </c>
      <c r="D1959" t="s">
        <v>190</v>
      </c>
      <c r="E1959" s="73" t="n">
        <v>793896.737195662</v>
      </c>
      <c r="F1959" s="74" t="n">
        <v>510347.470902715</v>
      </c>
      <c r="G1959" s="75" t="n">
        <v>820742.370121934</v>
      </c>
      <c r="H1959" s="76" t="n">
        <v>521420.170330997</v>
      </c>
      <c r="I1959" s="77" t="str">
        <f>H1959-F1959</f>
      </c>
      <c r="J1959" s="78" t="str">
        <f>G1959-E1959</f>
      </c>
    </row>
    <row r="1960">
      <c r="A1960" t="s">
        <v>249</v>
      </c>
      <c r="B1960" t="s">
        <v>251</v>
      </c>
      <c r="C1960" s="72" t="n">
        <v>2044</v>
      </c>
      <c r="D1960" t="s">
        <v>193</v>
      </c>
      <c r="E1960" s="73" t="n">
        <v>621750.758997179</v>
      </c>
      <c r="F1960" s="74" t="n">
        <v>372595.419199757</v>
      </c>
      <c r="G1960" s="75" t="n">
        <v>635024.546467649</v>
      </c>
      <c r="H1960" s="76" t="n">
        <v>377918.589898958</v>
      </c>
      <c r="I1960" s="77" t="str">
        <f>H1960-F1960</f>
      </c>
      <c r="J1960" s="78" t="str">
        <f>G1960-E1960</f>
      </c>
    </row>
    <row r="1961">
      <c r="A1961" t="s">
        <v>249</v>
      </c>
      <c r="B1961" t="s">
        <v>251</v>
      </c>
      <c r="C1961" s="72" t="n">
        <v>2044</v>
      </c>
      <c r="D1961" t="s">
        <v>424</v>
      </c>
      <c r="E1961" s="73" t="n">
        <v>43208.7585656215</v>
      </c>
      <c r="F1961" s="74" t="n">
        <v>7652.96845541905</v>
      </c>
      <c r="G1961" s="75" t="n">
        <v>43202.6300388595</v>
      </c>
      <c r="H1961" s="76" t="n">
        <v>7652.72182573668</v>
      </c>
      <c r="I1961" s="77" t="str">
        <f>H1961-F1961</f>
      </c>
      <c r="J1961" s="78" t="str">
        <f>G1961-E1961</f>
      </c>
    </row>
    <row r="1962">
      <c r="A1962" t="s">
        <v>249</v>
      </c>
      <c r="B1962" t="s">
        <v>251</v>
      </c>
      <c r="C1962" s="72" t="n">
        <v>2045</v>
      </c>
      <c r="D1962" t="s">
        <v>176</v>
      </c>
      <c r="E1962" s="73" t="n">
        <v>21783.5719664229</v>
      </c>
      <c r="F1962" s="74" t="n">
        <v>15174.1732085048</v>
      </c>
      <c r="G1962" s="75" t="n">
        <v>21717.6165215297</v>
      </c>
      <c r="H1962" s="76" t="n">
        <v>15148.2979562423</v>
      </c>
      <c r="I1962" s="77" t="str">
        <f>H1962-F1962</f>
      </c>
      <c r="J1962" s="78" t="str">
        <f>G1962-E1962</f>
      </c>
    </row>
    <row r="1963">
      <c r="A1963" t="s">
        <v>249</v>
      </c>
      <c r="B1963" t="s">
        <v>251</v>
      </c>
      <c r="C1963" s="72" t="n">
        <v>2045</v>
      </c>
      <c r="D1963" t="s">
        <v>238</v>
      </c>
      <c r="E1963" s="73" t="n">
        <v>1198645.13337066</v>
      </c>
      <c r="F1963" s="74" t="n">
        <v>285809.435790335</v>
      </c>
      <c r="G1963" s="75" t="n">
        <v>1224668.96644768</v>
      </c>
      <c r="H1963" s="76" t="n">
        <v>287925.043222784</v>
      </c>
      <c r="I1963" s="77" t="str">
        <f>H1963-F1963</f>
      </c>
      <c r="J1963" s="78" t="str">
        <f>G1963-E1963</f>
      </c>
    </row>
    <row r="1964">
      <c r="A1964" t="s">
        <v>249</v>
      </c>
      <c r="B1964" t="s">
        <v>251</v>
      </c>
      <c r="C1964" s="72" t="n">
        <v>2045</v>
      </c>
      <c r="D1964" t="s">
        <v>184</v>
      </c>
      <c r="E1964" s="73" t="n">
        <v>152709.333218903</v>
      </c>
      <c r="F1964" s="74" t="n">
        <v>103063.496512158</v>
      </c>
      <c r="G1964" s="75" t="n">
        <v>152338.052815886</v>
      </c>
      <c r="H1964" s="76" t="n">
        <v>102935.314985138</v>
      </c>
      <c r="I1964" s="77" t="str">
        <f>H1964-F1964</f>
      </c>
      <c r="J1964" s="78" t="str">
        <f>G1964-E1964</f>
      </c>
    </row>
    <row r="1965">
      <c r="A1965" t="s">
        <v>249</v>
      </c>
      <c r="B1965" t="s">
        <v>251</v>
      </c>
      <c r="C1965" s="72" t="n">
        <v>2045</v>
      </c>
      <c r="D1965" t="s">
        <v>187</v>
      </c>
      <c r="E1965" s="73" t="n">
        <v>478289.025139506</v>
      </c>
      <c r="F1965" s="74" t="n">
        <v>445026.290554012</v>
      </c>
      <c r="G1965" s="75" t="n">
        <v>483723.516122198</v>
      </c>
      <c r="H1965" s="76" t="n">
        <v>449717.558047709</v>
      </c>
      <c r="I1965" s="77" t="str">
        <f>H1965-F1965</f>
      </c>
      <c r="J1965" s="78" t="str">
        <f>G1965-E1965</f>
      </c>
    </row>
    <row r="1966">
      <c r="A1966" t="s">
        <v>249</v>
      </c>
      <c r="B1966" t="s">
        <v>251</v>
      </c>
      <c r="C1966" s="72" t="n">
        <v>2045</v>
      </c>
      <c r="D1966" t="s">
        <v>190</v>
      </c>
      <c r="E1966" s="73" t="n">
        <v>803670.308151718</v>
      </c>
      <c r="F1966" s="74" t="n">
        <v>518072.755642803</v>
      </c>
      <c r="G1966" s="75" t="n">
        <v>831470.210098177</v>
      </c>
      <c r="H1966" s="76" t="n">
        <v>529994.226959208</v>
      </c>
      <c r="I1966" s="77" t="str">
        <f>H1966-F1966</f>
      </c>
      <c r="J1966" s="78" t="str">
        <f>G1966-E1966</f>
      </c>
    </row>
    <row r="1967">
      <c r="A1967" t="s">
        <v>249</v>
      </c>
      <c r="B1967" t="s">
        <v>251</v>
      </c>
      <c r="C1967" s="72" t="n">
        <v>2045</v>
      </c>
      <c r="D1967" t="s">
        <v>193</v>
      </c>
      <c r="E1967" s="73" t="n">
        <v>631999.549069916</v>
      </c>
      <c r="F1967" s="74" t="n">
        <v>382022.708507076</v>
      </c>
      <c r="G1967" s="75" t="n">
        <v>645730.44769896</v>
      </c>
      <c r="H1967" s="76" t="n">
        <v>387750.678781898</v>
      </c>
      <c r="I1967" s="77" t="str">
        <f>H1967-F1967</f>
      </c>
      <c r="J1967" s="78" t="str">
        <f>G1967-E1967</f>
      </c>
    </row>
    <row r="1968">
      <c r="A1968" t="s">
        <v>249</v>
      </c>
      <c r="B1968" t="s">
        <v>251</v>
      </c>
      <c r="C1968" s="72" t="n">
        <v>2045</v>
      </c>
      <c r="D1968" t="s">
        <v>424</v>
      </c>
      <c r="E1968" s="73" t="n">
        <v>43197.5899019354</v>
      </c>
      <c r="F1968" s="74" t="n">
        <v>7672.36061739167</v>
      </c>
      <c r="G1968" s="75" t="n">
        <v>43190.6037513161</v>
      </c>
      <c r="H1968" s="76" t="n">
        <v>7672.06822678464</v>
      </c>
      <c r="I1968" s="77" t="str">
        <f>H1968-F1968</f>
      </c>
      <c r="J1968" s="78" t="str">
        <f>G1968-E1968</f>
      </c>
    </row>
    <row r="1969">
      <c r="A1969" t="s">
        <v>249</v>
      </c>
      <c r="B1969" t="s">
        <v>251</v>
      </c>
      <c r="C1969" s="72" t="n">
        <v>2046</v>
      </c>
      <c r="D1969" t="s">
        <v>176</v>
      </c>
      <c r="E1969" s="73" t="n">
        <v>22286.5238859392</v>
      </c>
      <c r="F1969" s="74" t="n">
        <v>15467.1710793108</v>
      </c>
      <c r="G1969" s="75" t="n">
        <v>22210.9745219107</v>
      </c>
      <c r="H1969" s="76" t="n">
        <v>15436.8918612077</v>
      </c>
      <c r="I1969" s="77" t="str">
        <f>H1969-F1969</f>
      </c>
      <c r="J1969" s="78" t="str">
        <f>G1969-E1969</f>
      </c>
    </row>
    <row r="1970">
      <c r="A1970" t="s">
        <v>249</v>
      </c>
      <c r="B1970" t="s">
        <v>251</v>
      </c>
      <c r="C1970" s="72" t="n">
        <v>2046</v>
      </c>
      <c r="D1970" t="s">
        <v>238</v>
      </c>
      <c r="E1970" s="73" t="n">
        <v>1203498.61430699</v>
      </c>
      <c r="F1970" s="74" t="n">
        <v>292851.476935194</v>
      </c>
      <c r="G1970" s="75" t="n">
        <v>1230125.0687767</v>
      </c>
      <c r="H1970" s="76" t="n">
        <v>295165.877208802</v>
      </c>
      <c r="I1970" s="77" t="str">
        <f>H1970-F1970</f>
      </c>
      <c r="J1970" s="78" t="str">
        <f>G1970-E1970</f>
      </c>
    </row>
    <row r="1971">
      <c r="A1971" t="s">
        <v>249</v>
      </c>
      <c r="B1971" t="s">
        <v>251</v>
      </c>
      <c r="C1971" s="72" t="n">
        <v>2046</v>
      </c>
      <c r="D1971" t="s">
        <v>184</v>
      </c>
      <c r="E1971" s="73" t="n">
        <v>155341.3509765</v>
      </c>
      <c r="F1971" s="74" t="n">
        <v>104880.743400376</v>
      </c>
      <c r="G1971" s="75" t="n">
        <v>154919.185199882</v>
      </c>
      <c r="H1971" s="76" t="n">
        <v>104731.133984312</v>
      </c>
      <c r="I1971" s="77" t="str">
        <f>H1971-F1971</f>
      </c>
      <c r="J1971" s="78" t="str">
        <f>G1971-E1971</f>
      </c>
    </row>
    <row r="1972">
      <c r="A1972" t="s">
        <v>249</v>
      </c>
      <c r="B1972" t="s">
        <v>251</v>
      </c>
      <c r="C1972" s="72" t="n">
        <v>2046</v>
      </c>
      <c r="D1972" t="s">
        <v>187</v>
      </c>
      <c r="E1972" s="73" t="n">
        <v>483992.448483895</v>
      </c>
      <c r="F1972" s="74" t="n">
        <v>450453.376562246</v>
      </c>
      <c r="G1972" s="75" t="n">
        <v>489559.569488497</v>
      </c>
      <c r="H1972" s="76" t="n">
        <v>455310.080020589</v>
      </c>
      <c r="I1972" s="77" t="str">
        <f>H1972-F1972</f>
      </c>
      <c r="J1972" s="78" t="str">
        <f>G1972-E1972</f>
      </c>
    </row>
    <row r="1973">
      <c r="A1973" t="s">
        <v>249</v>
      </c>
      <c r="B1973" t="s">
        <v>251</v>
      </c>
      <c r="C1973" s="72" t="n">
        <v>2046</v>
      </c>
      <c r="D1973" t="s">
        <v>190</v>
      </c>
      <c r="E1973" s="73" t="n">
        <v>813320.551240139</v>
      </c>
      <c r="F1973" s="74" t="n">
        <v>525680.088805436</v>
      </c>
      <c r="G1973" s="75" t="n">
        <v>842022.211146035</v>
      </c>
      <c r="H1973" s="76" t="n">
        <v>538440.168228285</v>
      </c>
      <c r="I1973" s="77" t="str">
        <f>H1973-F1973</f>
      </c>
      <c r="J1973" s="78" t="str">
        <f>G1973-E1973</f>
      </c>
    </row>
    <row r="1974">
      <c r="A1974" t="s">
        <v>249</v>
      </c>
      <c r="B1974" t="s">
        <v>251</v>
      </c>
      <c r="C1974" s="72" t="n">
        <v>2046</v>
      </c>
      <c r="D1974" t="s">
        <v>193</v>
      </c>
      <c r="E1974" s="73" t="n">
        <v>641872.402212041</v>
      </c>
      <c r="F1974" s="74" t="n">
        <v>391305.809073488</v>
      </c>
      <c r="G1974" s="75" t="n">
        <v>656023.203848247</v>
      </c>
      <c r="H1974" s="76" t="n">
        <v>397431.950602612</v>
      </c>
      <c r="I1974" s="77" t="str">
        <f>H1974-F1974</f>
      </c>
      <c r="J1974" s="78" t="str">
        <f>G1974-E1974</f>
      </c>
    </row>
    <row r="1975">
      <c r="A1975" t="s">
        <v>249</v>
      </c>
      <c r="B1975" t="s">
        <v>251</v>
      </c>
      <c r="C1975" s="72" t="n">
        <v>2046</v>
      </c>
      <c r="D1975" t="s">
        <v>424</v>
      </c>
      <c r="E1975" s="73" t="n">
        <v>43204.2100075963</v>
      </c>
      <c r="F1975" s="74" t="n">
        <v>7693.9000975405</v>
      </c>
      <c r="G1975" s="75" t="n">
        <v>43196.3103231123</v>
      </c>
      <c r="H1975" s="76" t="n">
        <v>7693.55704865625</v>
      </c>
      <c r="I1975" s="77" t="str">
        <f>H1975-F1975</f>
      </c>
      <c r="J1975" s="78" t="str">
        <f>G1975-E1975</f>
      </c>
    </row>
    <row r="1976">
      <c r="A1976" t="s">
        <v>249</v>
      </c>
      <c r="B1976" t="s">
        <v>251</v>
      </c>
      <c r="C1976" s="72" t="n">
        <v>2047</v>
      </c>
      <c r="D1976" t="s">
        <v>176</v>
      </c>
      <c r="E1976" s="73" t="n">
        <v>22785.5840616662</v>
      </c>
      <c r="F1976" s="74" t="n">
        <v>15763.6270238447</v>
      </c>
      <c r="G1976" s="75" t="n">
        <v>22699.6629629007</v>
      </c>
      <c r="H1976" s="76" t="n">
        <v>15728.4854947303</v>
      </c>
      <c r="I1976" s="77" t="str">
        <f>H1976-F1976</f>
      </c>
      <c r="J1976" s="78" t="str">
        <f>G1976-E1976</f>
      </c>
    </row>
    <row r="1977">
      <c r="A1977" t="s">
        <v>249</v>
      </c>
      <c r="B1977" t="s">
        <v>251</v>
      </c>
      <c r="C1977" s="72" t="n">
        <v>2047</v>
      </c>
      <c r="D1977" t="s">
        <v>238</v>
      </c>
      <c r="E1977" s="73" t="n">
        <v>1208100.72081542</v>
      </c>
      <c r="F1977" s="74" t="n">
        <v>299663.638798315</v>
      </c>
      <c r="G1977" s="75" t="n">
        <v>1235274.66521773</v>
      </c>
      <c r="H1977" s="76" t="n">
        <v>302180.550312501</v>
      </c>
      <c r="I1977" s="77" t="str">
        <f>H1977-F1977</f>
      </c>
      <c r="J1977" s="78" t="str">
        <f>G1977-E1977</f>
      </c>
    </row>
    <row r="1978">
      <c r="A1978" t="s">
        <v>249</v>
      </c>
      <c r="B1978" t="s">
        <v>251</v>
      </c>
      <c r="C1978" s="72" t="n">
        <v>2047</v>
      </c>
      <c r="D1978" t="s">
        <v>184</v>
      </c>
      <c r="E1978" s="73" t="n">
        <v>157912.55869549</v>
      </c>
      <c r="F1978" s="74" t="n">
        <v>106660.638571364</v>
      </c>
      <c r="G1978" s="75" t="n">
        <v>157435.937342911</v>
      </c>
      <c r="H1978" s="76" t="n">
        <v>106487.677760342</v>
      </c>
      <c r="I1978" s="77" t="str">
        <f>H1978-F1978</f>
      </c>
      <c r="J1978" s="78" t="str">
        <f>G1978-E1978</f>
      </c>
    </row>
    <row r="1979">
      <c r="A1979" t="s">
        <v>249</v>
      </c>
      <c r="B1979" t="s">
        <v>251</v>
      </c>
      <c r="C1979" s="72" t="n">
        <v>2047</v>
      </c>
      <c r="D1979" t="s">
        <v>187</v>
      </c>
      <c r="E1979" s="73" t="n">
        <v>489365.260160609</v>
      </c>
      <c r="F1979" s="74" t="n">
        <v>455534.286249157</v>
      </c>
      <c r="G1979" s="75" t="n">
        <v>495047.331680699</v>
      </c>
      <c r="H1979" s="76" t="n">
        <v>460539.427749469</v>
      </c>
      <c r="I1979" s="77" t="str">
        <f>H1979-F1979</f>
      </c>
      <c r="J1979" s="78" t="str">
        <f>G1979-E1979</f>
      </c>
    </row>
    <row r="1980">
      <c r="A1980" t="s">
        <v>249</v>
      </c>
      <c r="B1980" t="s">
        <v>251</v>
      </c>
      <c r="C1980" s="72" t="n">
        <v>2047</v>
      </c>
      <c r="D1980" t="s">
        <v>190</v>
      </c>
      <c r="E1980" s="73" t="n">
        <v>822805.450694791</v>
      </c>
      <c r="F1980" s="74" t="n">
        <v>533304.422181943</v>
      </c>
      <c r="G1980" s="75" t="n">
        <v>852357.036896631</v>
      </c>
      <c r="H1980" s="76" t="n">
        <v>546892.884748123</v>
      </c>
      <c r="I1980" s="77" t="str">
        <f>H1980-F1980</f>
      </c>
      <c r="J1980" s="78" t="str">
        <f>G1980-E1980</f>
      </c>
    </row>
    <row r="1981">
      <c r="A1981" t="s">
        <v>249</v>
      </c>
      <c r="B1981" t="s">
        <v>251</v>
      </c>
      <c r="C1981" s="72" t="n">
        <v>2047</v>
      </c>
      <c r="D1981" t="s">
        <v>193</v>
      </c>
      <c r="E1981" s="73" t="n">
        <v>651426.0380031</v>
      </c>
      <c r="F1981" s="74" t="n">
        <v>400423.248622265</v>
      </c>
      <c r="G1981" s="75" t="n">
        <v>665960.530537607</v>
      </c>
      <c r="H1981" s="76" t="n">
        <v>406938.309858621</v>
      </c>
      <c r="I1981" s="77" t="str">
        <f>H1981-F1981</f>
      </c>
      <c r="J1981" s="78" t="str">
        <f>G1981-E1981</f>
      </c>
    </row>
    <row r="1982">
      <c r="A1982" t="s">
        <v>249</v>
      </c>
      <c r="B1982" t="s">
        <v>251</v>
      </c>
      <c r="C1982" s="72" t="n">
        <v>2047</v>
      </c>
      <c r="D1982" t="s">
        <v>424</v>
      </c>
      <c r="E1982" s="73" t="n">
        <v>43226.5045020395</v>
      </c>
      <c r="F1982" s="74" t="n">
        <v>7716.66325468059</v>
      </c>
      <c r="G1982" s="75" t="n">
        <v>43217.6341923504</v>
      </c>
      <c r="H1982" s="76" t="n">
        <v>7716.26452507886</v>
      </c>
      <c r="I1982" s="77" t="str">
        <f>H1982-F1982</f>
      </c>
      <c r="J1982" s="78" t="str">
        <f>G1982-E1982</f>
      </c>
    </row>
    <row r="1983">
      <c r="A1983" t="s">
        <v>249</v>
      </c>
      <c r="B1983" t="s">
        <v>251</v>
      </c>
      <c r="C1983" s="72" t="n">
        <v>2048</v>
      </c>
      <c r="D1983" t="s">
        <v>176</v>
      </c>
      <c r="E1983" s="73" t="n">
        <v>23276.8492154778</v>
      </c>
      <c r="F1983" s="74" t="n">
        <v>16065.6767211685</v>
      </c>
      <c r="G1983" s="75" t="n">
        <v>23179.7775298232</v>
      </c>
      <c r="H1983" s="76" t="n">
        <v>16025.2187605858</v>
      </c>
      <c r="I1983" s="77" t="str">
        <f>H1983-F1983</f>
      </c>
      <c r="J1983" s="78" t="str">
        <f>G1983-E1983</f>
      </c>
    </row>
    <row r="1984">
      <c r="A1984" t="s">
        <v>249</v>
      </c>
      <c r="B1984" t="s">
        <v>251</v>
      </c>
      <c r="C1984" s="72" t="n">
        <v>2048</v>
      </c>
      <c r="D1984" t="s">
        <v>238</v>
      </c>
      <c r="E1984" s="73" t="n">
        <v>1212537.72254409</v>
      </c>
      <c r="F1984" s="74" t="n">
        <v>306241.765112528</v>
      </c>
      <c r="G1984" s="75" t="n">
        <v>1240209.10376068</v>
      </c>
      <c r="H1984" s="76" t="n">
        <v>308964.310377282</v>
      </c>
      <c r="I1984" s="77" t="str">
        <f>H1984-F1984</f>
      </c>
      <c r="J1984" s="78" t="str">
        <f>G1984-E1984</f>
      </c>
    </row>
    <row r="1985">
      <c r="A1985" t="s">
        <v>249</v>
      </c>
      <c r="B1985" t="s">
        <v>251</v>
      </c>
      <c r="C1985" s="72" t="n">
        <v>2048</v>
      </c>
      <c r="D1985" t="s">
        <v>184</v>
      </c>
      <c r="E1985" s="73" t="n">
        <v>160411.652609827</v>
      </c>
      <c r="F1985" s="74" t="n">
        <v>108403.559577568</v>
      </c>
      <c r="G1985" s="75" t="n">
        <v>159877.069557409</v>
      </c>
      <c r="H1985" s="76" t="n">
        <v>108205.309376064</v>
      </c>
      <c r="I1985" s="77" t="str">
        <f>H1985-F1985</f>
      </c>
      <c r="J1985" s="78" t="str">
        <f>G1985-E1985</f>
      </c>
    </row>
    <row r="1986">
      <c r="A1986" t="s">
        <v>249</v>
      </c>
      <c r="B1986" t="s">
        <v>251</v>
      </c>
      <c r="C1986" s="72" t="n">
        <v>2048</v>
      </c>
      <c r="D1986" t="s">
        <v>187</v>
      </c>
      <c r="E1986" s="73" t="n">
        <v>494471.499731806</v>
      </c>
      <c r="F1986" s="74" t="n">
        <v>460420.238054563</v>
      </c>
      <c r="G1986" s="75" t="n">
        <v>500251.963676638</v>
      </c>
      <c r="H1986" s="76" t="n">
        <v>465558.478994868</v>
      </c>
      <c r="I1986" s="77" t="str">
        <f>H1986-F1986</f>
      </c>
      <c r="J1986" s="78" t="str">
        <f>G1986-E1986</f>
      </c>
    </row>
    <row r="1987">
      <c r="A1987" t="s">
        <v>249</v>
      </c>
      <c r="B1987" t="s">
        <v>251</v>
      </c>
      <c r="C1987" s="72" t="n">
        <v>2048</v>
      </c>
      <c r="D1987" t="s">
        <v>190</v>
      </c>
      <c r="E1987" s="73" t="n">
        <v>832072.211833997</v>
      </c>
      <c r="F1987" s="74" t="n">
        <v>540818.490368518</v>
      </c>
      <c r="G1987" s="75" t="n">
        <v>862421.197666068</v>
      </c>
      <c r="H1987" s="76" t="n">
        <v>555219.254274076</v>
      </c>
      <c r="I1987" s="77" t="str">
        <f>H1987-F1987</f>
      </c>
      <c r="J1987" s="78" t="str">
        <f>G1987-E1987</f>
      </c>
    </row>
    <row r="1988">
      <c r="A1988" t="s">
        <v>249</v>
      </c>
      <c r="B1988" t="s">
        <v>251</v>
      </c>
      <c r="C1988" s="72" t="n">
        <v>2048</v>
      </c>
      <c r="D1988" t="s">
        <v>193</v>
      </c>
      <c r="E1988" s="73" t="n">
        <v>660655.65451919</v>
      </c>
      <c r="F1988" s="74" t="n">
        <v>409329.354093183</v>
      </c>
      <c r="G1988" s="75" t="n">
        <v>675538.067131439</v>
      </c>
      <c r="H1988" s="76" t="n">
        <v>416221.145643516</v>
      </c>
      <c r="I1988" s="77" t="str">
        <f>H1988-F1988</f>
      </c>
      <c r="J1988" s="78" t="str">
        <f>G1988-E1988</f>
      </c>
    </row>
    <row r="1989">
      <c r="A1989" t="s">
        <v>249</v>
      </c>
      <c r="B1989" t="s">
        <v>251</v>
      </c>
      <c r="C1989" s="72" t="n">
        <v>2048</v>
      </c>
      <c r="D1989" t="s">
        <v>424</v>
      </c>
      <c r="E1989" s="73" t="n">
        <v>43257.0126599172</v>
      </c>
      <c r="F1989" s="74" t="n">
        <v>7741.4279163601</v>
      </c>
      <c r="G1989" s="75" t="n">
        <v>43247.1165682685</v>
      </c>
      <c r="H1989" s="76" t="n">
        <v>7740.96823230914</v>
      </c>
      <c r="I1989" s="77" t="str">
        <f>H1989-F1989</f>
      </c>
      <c r="J1989" s="78" t="str">
        <f>G1989-E1989</f>
      </c>
    </row>
    <row r="1990">
      <c r="A1990" t="s">
        <v>249</v>
      </c>
      <c r="B1990" t="s">
        <v>251</v>
      </c>
      <c r="C1990" s="72" t="n">
        <v>2049</v>
      </c>
      <c r="D1990" t="s">
        <v>176</v>
      </c>
      <c r="E1990" s="73" t="n">
        <v>23759.3448599665</v>
      </c>
      <c r="F1990" s="74" t="n">
        <v>16368.8469538616</v>
      </c>
      <c r="G1990" s="75" t="n">
        <v>23650.3614840449</v>
      </c>
      <c r="H1990" s="76" t="n">
        <v>16322.61151708</v>
      </c>
      <c r="I1990" s="77" t="str">
        <f>H1990-F1990</f>
      </c>
      <c r="J1990" s="78" t="str">
        <f>G1990-E1990</f>
      </c>
    </row>
    <row r="1991">
      <c r="A1991" t="s">
        <v>249</v>
      </c>
      <c r="B1991" t="s">
        <v>251</v>
      </c>
      <c r="C1991" s="72" t="n">
        <v>2049</v>
      </c>
      <c r="D1991" t="s">
        <v>238</v>
      </c>
      <c r="E1991" s="73" t="n">
        <v>1216836.25905041</v>
      </c>
      <c r="F1991" s="74" t="n">
        <v>312598.032612096</v>
      </c>
      <c r="G1991" s="75" t="n">
        <v>1244958.37630862</v>
      </c>
      <c r="H1991" s="76" t="n">
        <v>315528.654574656</v>
      </c>
      <c r="I1991" s="77" t="str">
        <f>H1991-F1991</f>
      </c>
      <c r="J1991" s="78" t="str">
        <f>G1991-E1991</f>
      </c>
    </row>
    <row r="1992">
      <c r="A1992" t="s">
        <v>249</v>
      </c>
      <c r="B1992" t="s">
        <v>251</v>
      </c>
      <c r="C1992" s="72" t="n">
        <v>2049</v>
      </c>
      <c r="D1992" t="s">
        <v>184</v>
      </c>
      <c r="E1992" s="73" t="n">
        <v>162834.070790942</v>
      </c>
      <c r="F1992" s="74" t="n">
        <v>110107.833486762</v>
      </c>
      <c r="G1992" s="75" t="n">
        <v>162238.134685625</v>
      </c>
      <c r="H1992" s="76" t="n">
        <v>109882.371148655</v>
      </c>
      <c r="I1992" s="77" t="str">
        <f>H1992-F1992</f>
      </c>
      <c r="J1992" s="78" t="str">
        <f>G1992-E1992</f>
      </c>
    </row>
    <row r="1993">
      <c r="A1993" t="s">
        <v>249</v>
      </c>
      <c r="B1993" t="s">
        <v>251</v>
      </c>
      <c r="C1993" s="72" t="n">
        <v>2049</v>
      </c>
      <c r="D1993" t="s">
        <v>187</v>
      </c>
      <c r="E1993" s="73" t="n">
        <v>499352.639814042</v>
      </c>
      <c r="F1993" s="74" t="n">
        <v>465127.358699901</v>
      </c>
      <c r="G1993" s="75" t="n">
        <v>505215.900508139</v>
      </c>
      <c r="H1993" s="76" t="n">
        <v>470383.880162835</v>
      </c>
      <c r="I1993" s="77" t="str">
        <f>H1993-F1993</f>
      </c>
      <c r="J1993" s="78" t="str">
        <f>G1993-E1993</f>
      </c>
    </row>
    <row r="1994">
      <c r="A1994" t="s">
        <v>249</v>
      </c>
      <c r="B1994" t="s">
        <v>251</v>
      </c>
      <c r="C1994" s="72" t="n">
        <v>2049</v>
      </c>
      <c r="D1994" t="s">
        <v>190</v>
      </c>
      <c r="E1994" s="73" t="n">
        <v>840950.868472768</v>
      </c>
      <c r="F1994" s="74" t="n">
        <v>548145.953027634</v>
      </c>
      <c r="G1994" s="75" t="n">
        <v>872039.412561908</v>
      </c>
      <c r="H1994" s="76" t="n">
        <v>563337.765593671</v>
      </c>
      <c r="I1994" s="77" t="str">
        <f>H1994-F1994</f>
      </c>
      <c r="J1994" s="78" t="str">
        <f>G1994-E1994</f>
      </c>
    </row>
    <row r="1995">
      <c r="A1995" t="s">
        <v>249</v>
      </c>
      <c r="B1995" t="s">
        <v>251</v>
      </c>
      <c r="C1995" s="72" t="n">
        <v>2049</v>
      </c>
      <c r="D1995" t="s">
        <v>193</v>
      </c>
      <c r="E1995" s="73" t="n">
        <v>669603.125070113</v>
      </c>
      <c r="F1995" s="74" t="n">
        <v>417958.046496954</v>
      </c>
      <c r="G1995" s="75" t="n">
        <v>684799.519243418</v>
      </c>
      <c r="H1995" s="76" t="n">
        <v>425211.294806661</v>
      </c>
      <c r="I1995" s="77" t="str">
        <f>H1995-F1995</f>
      </c>
      <c r="J1995" s="78" t="str">
        <f>G1995-E1995</f>
      </c>
    </row>
    <row r="1996">
      <c r="A1996" t="s">
        <v>249</v>
      </c>
      <c r="B1996" t="s">
        <v>251</v>
      </c>
      <c r="C1996" s="72" t="n">
        <v>2049</v>
      </c>
      <c r="D1996" t="s">
        <v>424</v>
      </c>
      <c r="E1996" s="73" t="n">
        <v>43298.6678004366</v>
      </c>
      <c r="F1996" s="74" t="n">
        <v>7764.95117038849</v>
      </c>
      <c r="G1996" s="75" t="n">
        <v>43287.6941181752</v>
      </c>
      <c r="H1996" s="76" t="n">
        <v>7764.42505773382</v>
      </c>
      <c r="I1996" s="77" t="str">
        <f>H1996-F1996</f>
      </c>
      <c r="J1996" s="78" t="str">
        <f>G1996-E1996</f>
      </c>
    </row>
    <row r="1997">
      <c r="A1997" t="s">
        <v>249</v>
      </c>
      <c r="B1997" t="s">
        <v>251</v>
      </c>
      <c r="C1997" s="72" t="n">
        <v>2050</v>
      </c>
      <c r="D1997" t="s">
        <v>176</v>
      </c>
      <c r="E1997" s="73" t="n">
        <v>24232.0665414755</v>
      </c>
      <c r="F1997" s="74" t="n">
        <v>16671.39704847</v>
      </c>
      <c r="G1997" s="75" t="n">
        <v>24110.4306261692</v>
      </c>
      <c r="H1997" s="76" t="n">
        <v>16618.9237091261</v>
      </c>
      <c r="I1997" s="77" t="str">
        <f>H1997-F1997</f>
      </c>
      <c r="J1997" s="78" t="str">
        <f>G1997-E1997</f>
      </c>
    </row>
    <row r="1998">
      <c r="A1998" t="s">
        <v>249</v>
      </c>
      <c r="B1998" t="s">
        <v>251</v>
      </c>
      <c r="C1998" s="72" t="n">
        <v>2050</v>
      </c>
      <c r="D1998" t="s">
        <v>238</v>
      </c>
      <c r="E1998" s="73" t="n">
        <v>1221044.88778924</v>
      </c>
      <c r="F1998" s="74" t="n">
        <v>318725.658009413</v>
      </c>
      <c r="G1998" s="75" t="n">
        <v>1249574.98129843</v>
      </c>
      <c r="H1998" s="76" t="n">
        <v>321866.145423905</v>
      </c>
      <c r="I1998" s="77" t="str">
        <f>H1998-F1998</f>
      </c>
      <c r="J1998" s="78" t="str">
        <f>G1998-E1998</f>
      </c>
    </row>
    <row r="1999">
      <c r="A1999" t="s">
        <v>249</v>
      </c>
      <c r="B1999" t="s">
        <v>251</v>
      </c>
      <c r="C1999" s="72" t="n">
        <v>2050</v>
      </c>
      <c r="D1999" t="s">
        <v>184</v>
      </c>
      <c r="E1999" s="73" t="n">
        <v>165187.521847941</v>
      </c>
      <c r="F1999" s="74" t="n">
        <v>111750.796545857</v>
      </c>
      <c r="G1999" s="75" t="n">
        <v>164526.94959842</v>
      </c>
      <c r="H1999" s="76" t="n">
        <v>111496.260054028</v>
      </c>
      <c r="I1999" s="77" t="str">
        <f>H1999-F1999</f>
      </c>
      <c r="J1999" s="78" t="str">
        <f>G1999-E1999</f>
      </c>
    </row>
    <row r="2000">
      <c r="A2000" t="s">
        <v>249</v>
      </c>
      <c r="B2000" t="s">
        <v>251</v>
      </c>
      <c r="C2000" s="72" t="n">
        <v>2050</v>
      </c>
      <c r="D2000" t="s">
        <v>187</v>
      </c>
      <c r="E2000" s="73" t="n">
        <v>503993.092808065</v>
      </c>
      <c r="F2000" s="74" t="n">
        <v>469534.308723242</v>
      </c>
      <c r="G2000" s="75" t="n">
        <v>509923.794653266</v>
      </c>
      <c r="H2000" s="76" t="n">
        <v>474893.254554943</v>
      </c>
      <c r="I2000" s="77" t="str">
        <f>H2000-F2000</f>
      </c>
      <c r="J2000" s="78" t="str">
        <f>G2000-E2000</f>
      </c>
    </row>
    <row r="2001">
      <c r="A2001" t="s">
        <v>249</v>
      </c>
      <c r="B2001" t="s">
        <v>251</v>
      </c>
      <c r="C2001" s="72" t="n">
        <v>2050</v>
      </c>
      <c r="D2001" t="s">
        <v>190</v>
      </c>
      <c r="E2001" s="73" t="n">
        <v>849448.03460219</v>
      </c>
      <c r="F2001" s="74" t="n">
        <v>555343.900787856</v>
      </c>
      <c r="G2001" s="75" t="n">
        <v>881220.210178615</v>
      </c>
      <c r="H2001" s="76" t="n">
        <v>571305.130665456</v>
      </c>
      <c r="I2001" s="77" t="str">
        <f>H2001-F2001</f>
      </c>
      <c r="J2001" s="78" t="str">
        <f>G2001-E2001</f>
      </c>
    </row>
    <row r="2002">
      <c r="A2002" t="s">
        <v>249</v>
      </c>
      <c r="B2002" t="s">
        <v>251</v>
      </c>
      <c r="C2002" s="72" t="n">
        <v>2050</v>
      </c>
      <c r="D2002" t="s">
        <v>193</v>
      </c>
      <c r="E2002" s="73" t="n">
        <v>678353.82635975</v>
      </c>
      <c r="F2002" s="74" t="n">
        <v>426330.036948712</v>
      </c>
      <c r="G2002" s="75" t="n">
        <v>693833.375810026</v>
      </c>
      <c r="H2002" s="76" t="n">
        <v>433928.116842437</v>
      </c>
      <c r="I2002" s="77" t="str">
        <f>H2002-F2002</f>
      </c>
      <c r="J2002" s="78" t="str">
        <f>G2002-E2002</f>
      </c>
    </row>
    <row r="2003">
      <c r="A2003" t="s">
        <v>249</v>
      </c>
      <c r="B2003" t="s">
        <v>251</v>
      </c>
      <c r="C2003" s="72" t="n">
        <v>2050</v>
      </c>
      <c r="D2003" t="s">
        <v>424</v>
      </c>
      <c r="E2003" s="73" t="n">
        <v>43349.4338965311</v>
      </c>
      <c r="F2003" s="74" t="n">
        <v>7786.19063529529</v>
      </c>
      <c r="G2003" s="75" t="n">
        <v>43337.3340718481</v>
      </c>
      <c r="H2003" s="76" t="n">
        <v>7785.59251624651</v>
      </c>
      <c r="I2003" s="77" t="str">
        <f>H2003-F2003</f>
      </c>
      <c r="J2003" s="78" t="str">
        <f>G2003-E2003</f>
      </c>
    </row>
    <row r="2004">
      <c r="A2004" t="s">
        <v>259</v>
      </c>
      <c r="B2004" t="s">
        <v>261</v>
      </c>
      <c r="C2004" s="72" t="n">
        <v>2025</v>
      </c>
      <c r="D2004" t="s">
        <v>176</v>
      </c>
      <c r="E2004" s="73" t="n">
        <v>12347.3896757033</v>
      </c>
      <c r="F2004" s="74" t="n">
        <v>8975.30849722876</v>
      </c>
      <c r="G2004" s="75" t="n">
        <v>12347.3896757033</v>
      </c>
      <c r="H2004" s="76" t="n">
        <v>8975.30849722876</v>
      </c>
      <c r="I2004" s="77" t="str">
        <f>H2004-F2004</f>
      </c>
      <c r="J2004" s="78" t="str">
        <f>G2004-E2004</f>
      </c>
    </row>
    <row r="2005">
      <c r="A2005" t="s">
        <v>259</v>
      </c>
      <c r="B2005" t="s">
        <v>261</v>
      </c>
      <c r="C2005" s="72" t="n">
        <v>2025</v>
      </c>
      <c r="D2005" t="s">
        <v>238</v>
      </c>
      <c r="E2005" s="73" t="n">
        <v>1026043.97207164</v>
      </c>
      <c r="F2005" s="74" t="n">
        <v>129403.022830672</v>
      </c>
      <c r="G2005" s="75" t="n">
        <v>1026043.97207164</v>
      </c>
      <c r="H2005" s="76" t="n">
        <v>129403.022830672</v>
      </c>
      <c r="I2005" s="77" t="str">
        <f>H2005-F2005</f>
      </c>
      <c r="J2005" s="78" t="str">
        <f>G2005-E2005</f>
      </c>
    </row>
    <row r="2006">
      <c r="A2006" t="s">
        <v>259</v>
      </c>
      <c r="B2006" t="s">
        <v>261</v>
      </c>
      <c r="C2006" s="72" t="n">
        <v>2025</v>
      </c>
      <c r="D2006" t="s">
        <v>184</v>
      </c>
      <c r="E2006" s="73" t="n">
        <v>91684.5090142746</v>
      </c>
      <c r="F2006" s="74" t="n">
        <v>63318.7518252021</v>
      </c>
      <c r="G2006" s="75" t="n">
        <v>91684.5090142746</v>
      </c>
      <c r="H2006" s="76" t="n">
        <v>63318.7518252021</v>
      </c>
      <c r="I2006" s="77" t="str">
        <f>H2006-F2006</f>
      </c>
      <c r="J2006" s="78" t="str">
        <f>G2006-E2006</f>
      </c>
    </row>
    <row r="2007">
      <c r="A2007" t="s">
        <v>259</v>
      </c>
      <c r="B2007" t="s">
        <v>261</v>
      </c>
      <c r="C2007" s="72" t="n">
        <v>2025</v>
      </c>
      <c r="D2007" t="s">
        <v>187</v>
      </c>
      <c r="E2007" s="73" t="n">
        <v>327817.992111529</v>
      </c>
      <c r="F2007" s="74" t="n">
        <v>300216.82861998</v>
      </c>
      <c r="G2007" s="75" t="n">
        <v>327817.992111529</v>
      </c>
      <c r="H2007" s="76" t="n">
        <v>300216.82861998</v>
      </c>
      <c r="I2007" s="77" t="str">
        <f>H2007-F2007</f>
      </c>
      <c r="J2007" s="78" t="str">
        <f>G2007-E2007</f>
      </c>
    </row>
    <row r="2008">
      <c r="A2008" t="s">
        <v>259</v>
      </c>
      <c r="B2008" t="s">
        <v>261</v>
      </c>
      <c r="C2008" s="72" t="n">
        <v>2025</v>
      </c>
      <c r="D2008" t="s">
        <v>190</v>
      </c>
      <c r="E2008" s="73" t="n">
        <v>563964.128928848</v>
      </c>
      <c r="F2008" s="74" t="n">
        <v>321188.162987932</v>
      </c>
      <c r="G2008" s="75" t="n">
        <v>563964.128928848</v>
      </c>
      <c r="H2008" s="76" t="n">
        <v>321188.162987932</v>
      </c>
      <c r="I2008" s="77" t="str">
        <f>H2008-F2008</f>
      </c>
      <c r="J2008" s="78" t="str">
        <f>G2008-E2008</f>
      </c>
    </row>
    <row r="2009">
      <c r="A2009" t="s">
        <v>259</v>
      </c>
      <c r="B2009" t="s">
        <v>261</v>
      </c>
      <c r="C2009" s="72" t="n">
        <v>2025</v>
      </c>
      <c r="D2009" t="s">
        <v>193</v>
      </c>
      <c r="E2009" s="73" t="n">
        <v>396205.912797568</v>
      </c>
      <c r="F2009" s="74" t="n">
        <v>191954.713579597</v>
      </c>
      <c r="G2009" s="75" t="n">
        <v>396205.912797568</v>
      </c>
      <c r="H2009" s="76" t="n">
        <v>191954.713579597</v>
      </c>
      <c r="I2009" s="77" t="str">
        <f>H2009-F2009</f>
      </c>
      <c r="J2009" s="78" t="str">
        <f>G2009-E2009</f>
      </c>
    </row>
    <row r="2010">
      <c r="A2010" t="s">
        <v>259</v>
      </c>
      <c r="B2010" t="s">
        <v>261</v>
      </c>
      <c r="C2010" s="72" t="n">
        <v>2025</v>
      </c>
      <c r="D2010" t="s">
        <v>424</v>
      </c>
      <c r="E2010" s="73" t="n">
        <v>44024.8557845561</v>
      </c>
      <c r="F2010" s="74" t="n">
        <v>6961.02866951274</v>
      </c>
      <c r="G2010" s="75" t="n">
        <v>44024.8557845561</v>
      </c>
      <c r="H2010" s="76" t="n">
        <v>6961.02866951274</v>
      </c>
      <c r="I2010" s="77" t="str">
        <f>H2010-F2010</f>
      </c>
      <c r="J2010" s="78" t="str">
        <f>G2010-E2010</f>
      </c>
    </row>
    <row r="2011">
      <c r="A2011" t="s">
        <v>259</v>
      </c>
      <c r="B2011" t="s">
        <v>261</v>
      </c>
      <c r="C2011" s="72" t="n">
        <v>2026</v>
      </c>
      <c r="D2011" t="s">
        <v>176</v>
      </c>
      <c r="E2011" s="73" t="n">
        <v>12812.507871628</v>
      </c>
      <c r="F2011" s="74" t="n">
        <v>9308.26420910955</v>
      </c>
      <c r="G2011" s="75" t="n">
        <v>12812.507871628</v>
      </c>
      <c r="H2011" s="76" t="n">
        <v>9308.26420910955</v>
      </c>
      <c r="I2011" s="77" t="str">
        <f>H2011-F2011</f>
      </c>
      <c r="J2011" s="78" t="str">
        <f>G2011-E2011</f>
      </c>
    </row>
    <row r="2012">
      <c r="A2012" t="s">
        <v>259</v>
      </c>
      <c r="B2012" t="s">
        <v>261</v>
      </c>
      <c r="C2012" s="72" t="n">
        <v>2026</v>
      </c>
      <c r="D2012" t="s">
        <v>238</v>
      </c>
      <c r="E2012" s="73" t="n">
        <v>1040956.74283153</v>
      </c>
      <c r="F2012" s="74" t="n">
        <v>137191.896136923</v>
      </c>
      <c r="G2012" s="75" t="n">
        <v>1040956.74283153</v>
      </c>
      <c r="H2012" s="76" t="n">
        <v>137191.896136923</v>
      </c>
      <c r="I2012" s="77" t="str">
        <f>H2012-F2012</f>
      </c>
      <c r="J2012" s="78" t="str">
        <f>G2012-E2012</f>
      </c>
    </row>
    <row r="2013">
      <c r="A2013" t="s">
        <v>259</v>
      </c>
      <c r="B2013" t="s">
        <v>261</v>
      </c>
      <c r="C2013" s="72" t="n">
        <v>2026</v>
      </c>
      <c r="D2013" t="s">
        <v>184</v>
      </c>
      <c r="E2013" s="73" t="n">
        <v>95077.1833035265</v>
      </c>
      <c r="F2013" s="74" t="n">
        <v>65164.4704134017</v>
      </c>
      <c r="G2013" s="75" t="n">
        <v>95077.1833035265</v>
      </c>
      <c r="H2013" s="76" t="n">
        <v>65164.4704134017</v>
      </c>
      <c r="I2013" s="77" t="str">
        <f>H2013-F2013</f>
      </c>
      <c r="J2013" s="78" t="str">
        <f>G2013-E2013</f>
      </c>
    </row>
    <row r="2014">
      <c r="A2014" t="s">
        <v>259</v>
      </c>
      <c r="B2014" t="s">
        <v>261</v>
      </c>
      <c r="C2014" s="72" t="n">
        <v>2026</v>
      </c>
      <c r="D2014" t="s">
        <v>187</v>
      </c>
      <c r="E2014" s="73" t="n">
        <v>336875.423495605</v>
      </c>
      <c r="F2014" s="74" t="n">
        <v>308606.943045308</v>
      </c>
      <c r="G2014" s="75" t="n">
        <v>336875.423495605</v>
      </c>
      <c r="H2014" s="76" t="n">
        <v>308606.943045308</v>
      </c>
      <c r="I2014" s="77" t="str">
        <f>H2014-F2014</f>
      </c>
      <c r="J2014" s="78" t="str">
        <f>G2014-E2014</f>
      </c>
    </row>
    <row r="2015">
      <c r="A2015" t="s">
        <v>259</v>
      </c>
      <c r="B2015" t="s">
        <v>261</v>
      </c>
      <c r="C2015" s="72" t="n">
        <v>2026</v>
      </c>
      <c r="D2015" t="s">
        <v>190</v>
      </c>
      <c r="E2015" s="73" t="n">
        <v>580111.541957649</v>
      </c>
      <c r="F2015" s="74" t="n">
        <v>332896.185768311</v>
      </c>
      <c r="G2015" s="75" t="n">
        <v>580111.541957649</v>
      </c>
      <c r="H2015" s="76" t="n">
        <v>332896.185768311</v>
      </c>
      <c r="I2015" s="77" t="str">
        <f>H2015-F2015</f>
      </c>
      <c r="J2015" s="78" t="str">
        <f>G2015-E2015</f>
      </c>
    </row>
    <row r="2016">
      <c r="A2016" t="s">
        <v>259</v>
      </c>
      <c r="B2016" t="s">
        <v>261</v>
      </c>
      <c r="C2016" s="72" t="n">
        <v>2026</v>
      </c>
      <c r="D2016" t="s">
        <v>193</v>
      </c>
      <c r="E2016" s="73" t="n">
        <v>409829.87281699</v>
      </c>
      <c r="F2016" s="74" t="n">
        <v>202008.199783237</v>
      </c>
      <c r="G2016" s="75" t="n">
        <v>409829.87281699</v>
      </c>
      <c r="H2016" s="76" t="n">
        <v>202008.199783237</v>
      </c>
      <c r="I2016" s="77" t="str">
        <f>H2016-F2016</f>
      </c>
      <c r="J2016" s="78" t="str">
        <f>G2016-E2016</f>
      </c>
    </row>
    <row r="2017">
      <c r="A2017" t="s">
        <v>259</v>
      </c>
      <c r="B2017" t="s">
        <v>261</v>
      </c>
      <c r="C2017" s="72" t="n">
        <v>2026</v>
      </c>
      <c r="D2017" t="s">
        <v>424</v>
      </c>
      <c r="E2017" s="73" t="n">
        <v>44219.1707517653</v>
      </c>
      <c r="F2017" s="74" t="n">
        <v>7023.77126872287</v>
      </c>
      <c r="G2017" s="75" t="n">
        <v>44219.1707517653</v>
      </c>
      <c r="H2017" s="76" t="n">
        <v>7023.77126872287</v>
      </c>
      <c r="I2017" s="77" t="str">
        <f>H2017-F2017</f>
      </c>
      <c r="J2017" s="78" t="str">
        <f>G2017-E2017</f>
      </c>
    </row>
    <row r="2018">
      <c r="A2018" t="s">
        <v>259</v>
      </c>
      <c r="B2018" t="s">
        <v>261</v>
      </c>
      <c r="C2018" s="72" t="n">
        <v>2027</v>
      </c>
      <c r="D2018" t="s">
        <v>176</v>
      </c>
      <c r="E2018" s="73" t="n">
        <v>13273.481772584</v>
      </c>
      <c r="F2018" s="74" t="n">
        <v>9640.71530777017</v>
      </c>
      <c r="G2018" s="75" t="n">
        <v>13273.481772584</v>
      </c>
      <c r="H2018" s="76" t="n">
        <v>9640.71530777017</v>
      </c>
      <c r="I2018" s="77" t="str">
        <f>H2018-F2018</f>
      </c>
      <c r="J2018" s="78" t="str">
        <f>G2018-E2018</f>
      </c>
    </row>
    <row r="2019">
      <c r="A2019" t="s">
        <v>259</v>
      </c>
      <c r="B2019" t="s">
        <v>261</v>
      </c>
      <c r="C2019" s="72" t="n">
        <v>2027</v>
      </c>
      <c r="D2019" t="s">
        <v>238</v>
      </c>
      <c r="E2019" s="73" t="n">
        <v>1055003.53813829</v>
      </c>
      <c r="F2019" s="74" t="n">
        <v>145087.130776418</v>
      </c>
      <c r="G2019" s="75" t="n">
        <v>1055255.40879996</v>
      </c>
      <c r="H2019" s="76" t="n">
        <v>145087.130776418</v>
      </c>
      <c r="I2019" s="77" t="str">
        <f>H2019-F2019</f>
      </c>
      <c r="J2019" s="78" t="str">
        <f>G2019-E2019</f>
      </c>
    </row>
    <row r="2020">
      <c r="A2020" t="s">
        <v>259</v>
      </c>
      <c r="B2020" t="s">
        <v>261</v>
      </c>
      <c r="C2020" s="72" t="n">
        <v>2027</v>
      </c>
      <c r="D2020" t="s">
        <v>184</v>
      </c>
      <c r="E2020" s="73" t="n">
        <v>98448.8278839669</v>
      </c>
      <c r="F2020" s="74" t="n">
        <v>67068.0169086102</v>
      </c>
      <c r="G2020" s="75" t="n">
        <v>98448.8278839669</v>
      </c>
      <c r="H2020" s="76" t="n">
        <v>67068.0169086102</v>
      </c>
      <c r="I2020" s="77" t="str">
        <f>H2020-F2020</f>
      </c>
      <c r="J2020" s="78" t="str">
        <f>G2020-E2020</f>
      </c>
    </row>
    <row r="2021">
      <c r="A2021" t="s">
        <v>259</v>
      </c>
      <c r="B2021" t="s">
        <v>261</v>
      </c>
      <c r="C2021" s="72" t="n">
        <v>2027</v>
      </c>
      <c r="D2021" t="s">
        <v>187</v>
      </c>
      <c r="E2021" s="73" t="n">
        <v>345891.138314538</v>
      </c>
      <c r="F2021" s="74" t="n">
        <v>317119.553552555</v>
      </c>
      <c r="G2021" s="75" t="n">
        <v>345936.706716403</v>
      </c>
      <c r="H2021" s="76" t="n">
        <v>317119.553552555</v>
      </c>
      <c r="I2021" s="77" t="str">
        <f>H2021-F2021</f>
      </c>
      <c r="J2021" s="78" t="str">
        <f>G2021-E2021</f>
      </c>
    </row>
    <row r="2022">
      <c r="A2022" t="s">
        <v>259</v>
      </c>
      <c r="B2022" t="s">
        <v>261</v>
      </c>
      <c r="C2022" s="72" t="n">
        <v>2027</v>
      </c>
      <c r="D2022" t="s">
        <v>190</v>
      </c>
      <c r="E2022" s="73" t="n">
        <v>595926.341849209</v>
      </c>
      <c r="F2022" s="74" t="n">
        <v>344517.274659827</v>
      </c>
      <c r="G2022" s="75" t="n">
        <v>596148.832334676</v>
      </c>
      <c r="H2022" s="76" t="n">
        <v>344517.274659827</v>
      </c>
      <c r="I2022" s="77" t="str">
        <f>H2022-F2022</f>
      </c>
      <c r="J2022" s="78" t="str">
        <f>G2022-E2022</f>
      </c>
    </row>
    <row r="2023">
      <c r="A2023" t="s">
        <v>259</v>
      </c>
      <c r="B2023" t="s">
        <v>261</v>
      </c>
      <c r="C2023" s="72" t="n">
        <v>2027</v>
      </c>
      <c r="D2023" t="s">
        <v>193</v>
      </c>
      <c r="E2023" s="73" t="n">
        <v>423379.370234765</v>
      </c>
      <c r="F2023" s="74" t="n">
        <v>211995.488024171</v>
      </c>
      <c r="G2023" s="75" t="n">
        <v>423485.101321999</v>
      </c>
      <c r="H2023" s="76" t="n">
        <v>211995.488024171</v>
      </c>
      <c r="I2023" s="77" t="str">
        <f>H2023-F2023</f>
      </c>
      <c r="J2023" s="78" t="str">
        <f>G2023-E2023</f>
      </c>
    </row>
    <row r="2024">
      <c r="A2024" t="s">
        <v>259</v>
      </c>
      <c r="B2024" t="s">
        <v>261</v>
      </c>
      <c r="C2024" s="72" t="n">
        <v>2027</v>
      </c>
      <c r="D2024" t="s">
        <v>424</v>
      </c>
      <c r="E2024" s="73" t="n">
        <v>44384.2018393689</v>
      </c>
      <c r="F2024" s="74" t="n">
        <v>7080.05700568168</v>
      </c>
      <c r="G2024" s="75" t="n">
        <v>44384.2018393689</v>
      </c>
      <c r="H2024" s="76" t="n">
        <v>7080.05700568168</v>
      </c>
      <c r="I2024" s="77" t="str">
        <f>H2024-F2024</f>
      </c>
      <c r="J2024" s="78" t="str">
        <f>G2024-E2024</f>
      </c>
    </row>
    <row r="2025">
      <c r="A2025" t="s">
        <v>259</v>
      </c>
      <c r="B2025" t="s">
        <v>261</v>
      </c>
      <c r="C2025" s="72" t="n">
        <v>2028</v>
      </c>
      <c r="D2025" t="s">
        <v>176</v>
      </c>
      <c r="E2025" s="73" t="n">
        <v>13729.5005000864</v>
      </c>
      <c r="F2025" s="74" t="n">
        <v>9971.45472163389</v>
      </c>
      <c r="G2025" s="75" t="n">
        <v>13729.5005000864</v>
      </c>
      <c r="H2025" s="76" t="n">
        <v>9971.45472163389</v>
      </c>
      <c r="I2025" s="77" t="str">
        <f>H2025-F2025</f>
      </c>
      <c r="J2025" s="78" t="str">
        <f>G2025-E2025</f>
      </c>
    </row>
    <row r="2026">
      <c r="A2026" t="s">
        <v>259</v>
      </c>
      <c r="B2026" t="s">
        <v>261</v>
      </c>
      <c r="C2026" s="72" t="n">
        <v>2028</v>
      </c>
      <c r="D2026" t="s">
        <v>238</v>
      </c>
      <c r="E2026" s="73" t="n">
        <v>1068512.17571035</v>
      </c>
      <c r="F2026" s="74" t="n">
        <v>153076.157745589</v>
      </c>
      <c r="G2026" s="75" t="n">
        <v>1069005.07088018</v>
      </c>
      <c r="H2026" s="76" t="n">
        <v>153077.867387244</v>
      </c>
      <c r="I2026" s="77" t="str">
        <f>H2026-F2026</f>
      </c>
      <c r="J2026" s="78" t="str">
        <f>G2026-E2026</f>
      </c>
    </row>
    <row r="2027">
      <c r="A2027" t="s">
        <v>259</v>
      </c>
      <c r="B2027" t="s">
        <v>261</v>
      </c>
      <c r="C2027" s="72" t="n">
        <v>2028</v>
      </c>
      <c r="D2027" t="s">
        <v>184</v>
      </c>
      <c r="E2027" s="73" t="n">
        <v>101797.96761407</v>
      </c>
      <c r="F2027" s="74" t="n">
        <v>69019.933123165</v>
      </c>
      <c r="G2027" s="75" t="n">
        <v>101797.96761407</v>
      </c>
      <c r="H2027" s="76" t="n">
        <v>69019.933123165</v>
      </c>
      <c r="I2027" s="77" t="str">
        <f>H2027-F2027</f>
      </c>
      <c r="J2027" s="78" t="str">
        <f>G2027-E2027</f>
      </c>
    </row>
    <row r="2028">
      <c r="A2028" t="s">
        <v>259</v>
      </c>
      <c r="B2028" t="s">
        <v>261</v>
      </c>
      <c r="C2028" s="72" t="n">
        <v>2028</v>
      </c>
      <c r="D2028" t="s">
        <v>187</v>
      </c>
      <c r="E2028" s="73" t="n">
        <v>354875.033713854</v>
      </c>
      <c r="F2028" s="74" t="n">
        <v>325670.475756873</v>
      </c>
      <c r="G2028" s="75" t="n">
        <v>354965.535819133</v>
      </c>
      <c r="H2028" s="76" t="n">
        <v>325690.683016893</v>
      </c>
      <c r="I2028" s="77" t="str">
        <f>H2028-F2028</f>
      </c>
      <c r="J2028" s="78" t="str">
        <f>G2028-E2028</f>
      </c>
    </row>
    <row r="2029">
      <c r="A2029" t="s">
        <v>259</v>
      </c>
      <c r="B2029" t="s">
        <v>261</v>
      </c>
      <c r="C2029" s="72" t="n">
        <v>2028</v>
      </c>
      <c r="D2029" t="s">
        <v>190</v>
      </c>
      <c r="E2029" s="73" t="n">
        <v>611590.426565811</v>
      </c>
      <c r="F2029" s="74" t="n">
        <v>356059.015605826</v>
      </c>
      <c r="G2029" s="75" t="n">
        <v>612031.659444751</v>
      </c>
      <c r="H2029" s="76" t="n">
        <v>356073.571438059</v>
      </c>
      <c r="I2029" s="77" t="str">
        <f>H2029-F2029</f>
      </c>
      <c r="J2029" s="78" t="str">
        <f>G2029-E2029</f>
      </c>
    </row>
    <row r="2030">
      <c r="A2030" t="s">
        <v>259</v>
      </c>
      <c r="B2030" t="s">
        <v>261</v>
      </c>
      <c r="C2030" s="72" t="n">
        <v>2028</v>
      </c>
      <c r="D2030" t="s">
        <v>193</v>
      </c>
      <c r="E2030" s="73" t="n">
        <v>436948.938099794</v>
      </c>
      <c r="F2030" s="74" t="n">
        <v>221900.58015097</v>
      </c>
      <c r="G2030" s="75" t="n">
        <v>437159.755191958</v>
      </c>
      <c r="H2030" s="76" t="n">
        <v>221908.958563303</v>
      </c>
      <c r="I2030" s="77" t="str">
        <f>H2030-F2030</f>
      </c>
      <c r="J2030" s="78" t="str">
        <f>G2030-E2030</f>
      </c>
    </row>
    <row r="2031">
      <c r="A2031" t="s">
        <v>259</v>
      </c>
      <c r="B2031" t="s">
        <v>261</v>
      </c>
      <c r="C2031" s="72" t="n">
        <v>2028</v>
      </c>
      <c r="D2031" t="s">
        <v>424</v>
      </c>
      <c r="E2031" s="73" t="n">
        <v>44510.0649629929</v>
      </c>
      <c r="F2031" s="74" t="n">
        <v>7131.07016356498</v>
      </c>
      <c r="G2031" s="75" t="n">
        <v>44510.0649629929</v>
      </c>
      <c r="H2031" s="76" t="n">
        <v>7131.07016356498</v>
      </c>
      <c r="I2031" s="77" t="str">
        <f>H2031-F2031</f>
      </c>
      <c r="J2031" s="78" t="str">
        <f>G2031-E2031</f>
      </c>
    </row>
    <row r="2032">
      <c r="A2032" t="s">
        <v>259</v>
      </c>
      <c r="B2032" t="s">
        <v>261</v>
      </c>
      <c r="C2032" s="72" t="n">
        <v>2029</v>
      </c>
      <c r="D2032" t="s">
        <v>176</v>
      </c>
      <c r="E2032" s="73" t="n">
        <v>14181.4405370686</v>
      </c>
      <c r="F2032" s="74" t="n">
        <v>10301.2295792609</v>
      </c>
      <c r="G2032" s="75" t="n">
        <v>14181.4236375467</v>
      </c>
      <c r="H2032" s="76" t="n">
        <v>10301.2295792609</v>
      </c>
      <c r="I2032" s="77" t="str">
        <f>H2032-F2032</f>
      </c>
      <c r="J2032" s="78" t="str">
        <f>G2032-E2032</f>
      </c>
    </row>
    <row r="2033">
      <c r="A2033" t="s">
        <v>259</v>
      </c>
      <c r="B2033" t="s">
        <v>261</v>
      </c>
      <c r="C2033" s="72" t="n">
        <v>2029</v>
      </c>
      <c r="D2033" t="s">
        <v>238</v>
      </c>
      <c r="E2033" s="73" t="n">
        <v>1081529.54307901</v>
      </c>
      <c r="F2033" s="74" t="n">
        <v>161155.940126178</v>
      </c>
      <c r="G2033" s="75" t="n">
        <v>1082252.39423074</v>
      </c>
      <c r="H2033" s="76" t="n">
        <v>161161.062132093</v>
      </c>
      <c r="I2033" s="77" t="str">
        <f>H2033-F2033</f>
      </c>
      <c r="J2033" s="78" t="str">
        <f>G2033-E2033</f>
      </c>
    </row>
    <row r="2034">
      <c r="A2034" t="s">
        <v>259</v>
      </c>
      <c r="B2034" t="s">
        <v>261</v>
      </c>
      <c r="C2034" s="72" t="n">
        <v>2029</v>
      </c>
      <c r="D2034" t="s">
        <v>184</v>
      </c>
      <c r="E2034" s="73" t="n">
        <v>105114.79226065</v>
      </c>
      <c r="F2034" s="74" t="n">
        <v>71042.0544294395</v>
      </c>
      <c r="G2034" s="75" t="n">
        <v>105114.693344183</v>
      </c>
      <c r="H2034" s="76" t="n">
        <v>71042.0544294395</v>
      </c>
      <c r="I2034" s="77" t="str">
        <f>H2034-F2034</f>
      </c>
      <c r="J2034" s="78" t="str">
        <f>G2034-E2034</f>
      </c>
    </row>
    <row r="2035">
      <c r="A2035" t="s">
        <v>259</v>
      </c>
      <c r="B2035" t="s">
        <v>261</v>
      </c>
      <c r="C2035" s="72" t="n">
        <v>2029</v>
      </c>
      <c r="D2035" t="s">
        <v>187</v>
      </c>
      <c r="E2035" s="73" t="n">
        <v>363761.61256277</v>
      </c>
      <c r="F2035" s="74" t="n">
        <v>334244.083424805</v>
      </c>
      <c r="G2035" s="75" t="n">
        <v>363896.204247168</v>
      </c>
      <c r="H2035" s="76" t="n">
        <v>334292.677138926</v>
      </c>
      <c r="I2035" s="77" t="str">
        <f>H2035-F2035</f>
      </c>
      <c r="J2035" s="78" t="str">
        <f>G2035-E2035</f>
      </c>
    </row>
    <row r="2036">
      <c r="A2036" t="s">
        <v>259</v>
      </c>
      <c r="B2036" t="s">
        <v>261</v>
      </c>
      <c r="C2036" s="72" t="n">
        <v>2029</v>
      </c>
      <c r="D2036" t="s">
        <v>190</v>
      </c>
      <c r="E2036" s="73" t="n">
        <v>627070.828277678</v>
      </c>
      <c r="F2036" s="74" t="n">
        <v>367532.885748716</v>
      </c>
      <c r="G2036" s="75" t="n">
        <v>627726.336898794</v>
      </c>
      <c r="H2036" s="76" t="n">
        <v>367575.22274735</v>
      </c>
      <c r="I2036" s="77" t="str">
        <f>H2036-F2036</f>
      </c>
      <c r="J2036" s="78" t="str">
        <f>G2036-E2036</f>
      </c>
    </row>
    <row r="2037">
      <c r="A2037" t="s">
        <v>259</v>
      </c>
      <c r="B2037" t="s">
        <v>261</v>
      </c>
      <c r="C2037" s="72" t="n">
        <v>2029</v>
      </c>
      <c r="D2037" t="s">
        <v>193</v>
      </c>
      <c r="E2037" s="73" t="n">
        <v>450471.427551081</v>
      </c>
      <c r="F2037" s="74" t="n">
        <v>231684.496423797</v>
      </c>
      <c r="G2037" s="75" t="n">
        <v>450786.134013569</v>
      </c>
      <c r="H2037" s="76" t="n">
        <v>231708.01887569</v>
      </c>
      <c r="I2037" s="77" t="str">
        <f>H2037-F2037</f>
      </c>
      <c r="J2037" s="78" t="str">
        <f>G2037-E2037</f>
      </c>
    </row>
    <row r="2038">
      <c r="A2038" t="s">
        <v>259</v>
      </c>
      <c r="B2038" t="s">
        <v>261</v>
      </c>
      <c r="C2038" s="72" t="n">
        <v>2029</v>
      </c>
      <c r="D2038" t="s">
        <v>424</v>
      </c>
      <c r="E2038" s="73" t="n">
        <v>44600.2634891504</v>
      </c>
      <c r="F2038" s="74" t="n">
        <v>7178.21931597252</v>
      </c>
      <c r="G2038" s="75" t="n">
        <v>44600.2614435955</v>
      </c>
      <c r="H2038" s="76" t="n">
        <v>7178.21931597252</v>
      </c>
      <c r="I2038" s="77" t="str">
        <f>H2038-F2038</f>
      </c>
      <c r="J2038" s="78" t="str">
        <f>G2038-E2038</f>
      </c>
    </row>
    <row r="2039">
      <c r="A2039" t="s">
        <v>259</v>
      </c>
      <c r="B2039" t="s">
        <v>261</v>
      </c>
      <c r="C2039" s="72" t="n">
        <v>2030</v>
      </c>
      <c r="D2039" t="s">
        <v>176</v>
      </c>
      <c r="E2039" s="73" t="n">
        <v>14630.9879710413</v>
      </c>
      <c r="F2039" s="74" t="n">
        <v>10630.273611629</v>
      </c>
      <c r="G2039" s="75" t="n">
        <v>14630.9263575645</v>
      </c>
      <c r="H2039" s="76" t="n">
        <v>10630.2702680602</v>
      </c>
      <c r="I2039" s="77" t="str">
        <f>H2039-F2039</f>
      </c>
      <c r="J2039" s="78" t="str">
        <f>G2039-E2039</f>
      </c>
    </row>
    <row r="2040">
      <c r="A2040" t="s">
        <v>259</v>
      </c>
      <c r="B2040" t="s">
        <v>261</v>
      </c>
      <c r="C2040" s="72" t="n">
        <v>2030</v>
      </c>
      <c r="D2040" t="s">
        <v>238</v>
      </c>
      <c r="E2040" s="73" t="n">
        <v>1094015.18993553</v>
      </c>
      <c r="F2040" s="74" t="n">
        <v>169304.623985283</v>
      </c>
      <c r="G2040" s="75" t="n">
        <v>1094956.84444967</v>
      </c>
      <c r="H2040" s="76" t="n">
        <v>169314.834038038</v>
      </c>
      <c r="I2040" s="77" t="str">
        <f>H2040-F2040</f>
      </c>
      <c r="J2040" s="78" t="str">
        <f>G2040-E2040</f>
      </c>
    </row>
    <row r="2041">
      <c r="A2041" t="s">
        <v>259</v>
      </c>
      <c r="B2041" t="s">
        <v>261</v>
      </c>
      <c r="C2041" s="72" t="n">
        <v>2030</v>
      </c>
      <c r="D2041" t="s">
        <v>184</v>
      </c>
      <c r="E2041" s="73" t="n">
        <v>108394.136749316</v>
      </c>
      <c r="F2041" s="74" t="n">
        <v>73120.816358326</v>
      </c>
      <c r="G2041" s="75" t="n">
        <v>108393.77376612</v>
      </c>
      <c r="H2041" s="76" t="n">
        <v>73120.8011068864</v>
      </c>
      <c r="I2041" s="77" t="str">
        <f>H2041-F2041</f>
      </c>
      <c r="J2041" s="78" t="str">
        <f>G2041-E2041</f>
      </c>
    </row>
    <row r="2042">
      <c r="A2042" t="s">
        <v>259</v>
      </c>
      <c r="B2042" t="s">
        <v>261</v>
      </c>
      <c r="C2042" s="72" t="n">
        <v>2030</v>
      </c>
      <c r="D2042" t="s">
        <v>187</v>
      </c>
      <c r="E2042" s="73" t="n">
        <v>372564.130922511</v>
      </c>
      <c r="F2042" s="74" t="n">
        <v>342808.302036072</v>
      </c>
      <c r="G2042" s="75" t="n">
        <v>372741.795461264</v>
      </c>
      <c r="H2042" s="76" t="n">
        <v>342889.635366394</v>
      </c>
      <c r="I2042" s="77" t="str">
        <f>H2042-F2042</f>
      </c>
      <c r="J2042" s="78" t="str">
        <f>G2042-E2042</f>
      </c>
    </row>
    <row r="2043">
      <c r="A2043" t="s">
        <v>259</v>
      </c>
      <c r="B2043" t="s">
        <v>261</v>
      </c>
      <c r="C2043" s="72" t="n">
        <v>2030</v>
      </c>
      <c r="D2043" t="s">
        <v>190</v>
      </c>
      <c r="E2043" s="73" t="n">
        <v>642289.493946298</v>
      </c>
      <c r="F2043" s="74" t="n">
        <v>378858.220749542</v>
      </c>
      <c r="G2043" s="75" t="n">
        <v>643154.211305628</v>
      </c>
      <c r="H2043" s="76" t="n">
        <v>378940.231267445</v>
      </c>
      <c r="I2043" s="77" t="str">
        <f>H2043-F2043</f>
      </c>
      <c r="J2043" s="78" t="str">
        <f>G2043-E2043</f>
      </c>
    </row>
    <row r="2044">
      <c r="A2044" t="s">
        <v>259</v>
      </c>
      <c r="B2044" t="s">
        <v>261</v>
      </c>
      <c r="C2044" s="72" t="n">
        <v>2030</v>
      </c>
      <c r="D2044" t="s">
        <v>193</v>
      </c>
      <c r="E2044" s="73" t="n">
        <v>463943.517528731</v>
      </c>
      <c r="F2044" s="74" t="n">
        <v>241265.946376629</v>
      </c>
      <c r="G2044" s="75" t="n">
        <v>464360.518103772</v>
      </c>
      <c r="H2044" s="76" t="n">
        <v>241310.309903655</v>
      </c>
      <c r="I2044" s="77" t="str">
        <f>H2044-F2044</f>
      </c>
      <c r="J2044" s="78" t="str">
        <f>G2044-E2044</f>
      </c>
    </row>
    <row r="2045">
      <c r="A2045" t="s">
        <v>259</v>
      </c>
      <c r="B2045" t="s">
        <v>261</v>
      </c>
      <c r="C2045" s="72" t="n">
        <v>2030</v>
      </c>
      <c r="D2045" t="s">
        <v>424</v>
      </c>
      <c r="E2045" s="73" t="n">
        <v>44647.2763641095</v>
      </c>
      <c r="F2045" s="74" t="n">
        <v>7223.11034735576</v>
      </c>
      <c r="G2045" s="75" t="n">
        <v>44647.268915283</v>
      </c>
      <c r="H2045" s="76" t="n">
        <v>7223.11031474236</v>
      </c>
      <c r="I2045" s="77" t="str">
        <f>H2045-F2045</f>
      </c>
      <c r="J2045" s="78" t="str">
        <f>G2045-E2045</f>
      </c>
    </row>
    <row r="2046">
      <c r="A2046" t="s">
        <v>259</v>
      </c>
      <c r="B2046" t="s">
        <v>261</v>
      </c>
      <c r="C2046" s="72" t="n">
        <v>2031</v>
      </c>
      <c r="D2046" t="s">
        <v>176</v>
      </c>
      <c r="E2046" s="73" t="n">
        <v>15080.5253839814</v>
      </c>
      <c r="F2046" s="74" t="n">
        <v>10955.4400583319</v>
      </c>
      <c r="G2046" s="75" t="n">
        <v>15080.3825495532</v>
      </c>
      <c r="H2046" s="76" t="n">
        <v>10955.4255331558</v>
      </c>
      <c r="I2046" s="77" t="str">
        <f>H2046-F2046</f>
      </c>
      <c r="J2046" s="78" t="str">
        <f>G2046-E2046</f>
      </c>
    </row>
    <row r="2047">
      <c r="A2047" t="s">
        <v>259</v>
      </c>
      <c r="B2047" t="s">
        <v>261</v>
      </c>
      <c r="C2047" s="72" t="n">
        <v>2031</v>
      </c>
      <c r="D2047" t="s">
        <v>238</v>
      </c>
      <c r="E2047" s="73" t="n">
        <v>1105878.27194344</v>
      </c>
      <c r="F2047" s="74" t="n">
        <v>177493.97608236</v>
      </c>
      <c r="G2047" s="75" t="n">
        <v>1107027.69162894</v>
      </c>
      <c r="H2047" s="76" t="n">
        <v>177510.906196669</v>
      </c>
      <c r="I2047" s="77" t="str">
        <f>H2047-F2047</f>
      </c>
      <c r="J2047" s="78" t="str">
        <f>G2047-E2047</f>
      </c>
    </row>
    <row r="2048">
      <c r="A2048" t="s">
        <v>259</v>
      </c>
      <c r="B2048" t="s">
        <v>261</v>
      </c>
      <c r="C2048" s="72" t="n">
        <v>2031</v>
      </c>
      <c r="D2048" t="s">
        <v>184</v>
      </c>
      <c r="E2048" s="73" t="n">
        <v>111633.792644696</v>
      </c>
      <c r="F2048" s="74" t="n">
        <v>75230.2867473852</v>
      </c>
      <c r="G2048" s="75" t="n">
        <v>111632.947554352</v>
      </c>
      <c r="H2048" s="76" t="n">
        <v>75230.219664338</v>
      </c>
      <c r="I2048" s="77" t="str">
        <f>H2048-F2048</f>
      </c>
      <c r="J2048" s="78" t="str">
        <f>G2048-E2048</f>
      </c>
    </row>
    <row r="2049">
      <c r="A2049" t="s">
        <v>259</v>
      </c>
      <c r="B2049" t="s">
        <v>261</v>
      </c>
      <c r="C2049" s="72" t="n">
        <v>2031</v>
      </c>
      <c r="D2049" t="s">
        <v>187</v>
      </c>
      <c r="E2049" s="73" t="n">
        <v>381250.711499755</v>
      </c>
      <c r="F2049" s="74" t="n">
        <v>351316.086137324</v>
      </c>
      <c r="G2049" s="75" t="n">
        <v>381470.266781021</v>
      </c>
      <c r="H2049" s="76" t="n">
        <v>351432.518672951</v>
      </c>
      <c r="I2049" s="77" t="str">
        <f>H2049-F2049</f>
      </c>
      <c r="J2049" s="78" t="str">
        <f>G2049-E2049</f>
      </c>
    </row>
    <row r="2050">
      <c r="A2050" t="s">
        <v>259</v>
      </c>
      <c r="B2050" t="s">
        <v>261</v>
      </c>
      <c r="C2050" s="72" t="n">
        <v>2031</v>
      </c>
      <c r="D2050" t="s">
        <v>190</v>
      </c>
      <c r="E2050" s="73" t="n">
        <v>657213.719125164</v>
      </c>
      <c r="F2050" s="74" t="n">
        <v>390048.733026541</v>
      </c>
      <c r="G2050" s="75" t="n">
        <v>658282.149268814</v>
      </c>
      <c r="H2050" s="76" t="n">
        <v>390181.003020302</v>
      </c>
      <c r="I2050" s="77" t="str">
        <f>H2050-F2050</f>
      </c>
      <c r="J2050" s="78" t="str">
        <f>G2050-E2050</f>
      </c>
    </row>
    <row r="2051">
      <c r="A2051" t="s">
        <v>259</v>
      </c>
      <c r="B2051" t="s">
        <v>261</v>
      </c>
      <c r="C2051" s="72" t="n">
        <v>2031</v>
      </c>
      <c r="D2051" t="s">
        <v>193</v>
      </c>
      <c r="E2051" s="73" t="n">
        <v>477260.881084447</v>
      </c>
      <c r="F2051" s="74" t="n">
        <v>250745.718404935</v>
      </c>
      <c r="G2051" s="75" t="n">
        <v>477778.146047482</v>
      </c>
      <c r="H2051" s="76" t="n">
        <v>250815.782662592</v>
      </c>
      <c r="I2051" s="77" t="str">
        <f>H2051-F2051</f>
      </c>
      <c r="J2051" s="78" t="str">
        <f>G2051-E2051</f>
      </c>
    </row>
    <row r="2052">
      <c r="A2052" t="s">
        <v>259</v>
      </c>
      <c r="B2052" t="s">
        <v>261</v>
      </c>
      <c r="C2052" s="72" t="n">
        <v>2031</v>
      </c>
      <c r="D2052" t="s">
        <v>424</v>
      </c>
      <c r="E2052" s="73" t="n">
        <v>44640.3644886444</v>
      </c>
      <c r="F2052" s="74" t="n">
        <v>7266.76614544019</v>
      </c>
      <c r="G2052" s="75" t="n">
        <v>44640.3472954778</v>
      </c>
      <c r="H2052" s="76" t="n">
        <v>7266.76600020754</v>
      </c>
      <c r="I2052" s="77" t="str">
        <f>H2052-F2052</f>
      </c>
      <c r="J2052" s="78" t="str">
        <f>G2052-E2052</f>
      </c>
    </row>
    <row r="2053">
      <c r="A2053" t="s">
        <v>259</v>
      </c>
      <c r="B2053" t="s">
        <v>261</v>
      </c>
      <c r="C2053" s="72" t="n">
        <v>2032</v>
      </c>
      <c r="D2053" t="s">
        <v>176</v>
      </c>
      <c r="E2053" s="73" t="n">
        <v>15531.5278040054</v>
      </c>
      <c r="F2053" s="74" t="n">
        <v>11274.5338016921</v>
      </c>
      <c r="G2053" s="75" t="n">
        <v>15531.2601955666</v>
      </c>
      <c r="H2053" s="76" t="n">
        <v>11274.4954497352</v>
      </c>
      <c r="I2053" s="77" t="str">
        <f>H2053-F2053</f>
      </c>
      <c r="J2053" s="78" t="str">
        <f>G2053-E2053</f>
      </c>
    </row>
    <row r="2054">
      <c r="A2054" t="s">
        <v>259</v>
      </c>
      <c r="B2054" t="s">
        <v>261</v>
      </c>
      <c r="C2054" s="72" t="n">
        <v>2032</v>
      </c>
      <c r="D2054" t="s">
        <v>238</v>
      </c>
      <c r="E2054" s="73" t="n">
        <v>1117130.89262421</v>
      </c>
      <c r="F2054" s="74" t="n">
        <v>185700.774699648</v>
      </c>
      <c r="G2054" s="75" t="n">
        <v>1118477.32749824</v>
      </c>
      <c r="H2054" s="76" t="n">
        <v>185725.999058801</v>
      </c>
      <c r="I2054" s="77" t="str">
        <f>H2054-F2054</f>
      </c>
      <c r="J2054" s="78" t="str">
        <f>G2054-E2054</f>
      </c>
    </row>
    <row r="2055">
      <c r="A2055" t="s">
        <v>259</v>
      </c>
      <c r="B2055" t="s">
        <v>261</v>
      </c>
      <c r="C2055" s="72" t="n">
        <v>2032</v>
      </c>
      <c r="D2055" t="s">
        <v>184</v>
      </c>
      <c r="E2055" s="73" t="n">
        <v>114836.810115737</v>
      </c>
      <c r="F2055" s="74" t="n">
        <v>77353.2400813585</v>
      </c>
      <c r="G2055" s="75" t="n">
        <v>114835.221802653</v>
      </c>
      <c r="H2055" s="76" t="n">
        <v>77353.0610239329</v>
      </c>
      <c r="I2055" s="77" t="str">
        <f>H2055-F2055</f>
      </c>
      <c r="J2055" s="78" t="str">
        <f>G2055-E2055</f>
      </c>
    </row>
    <row r="2056">
      <c r="A2056" t="s">
        <v>259</v>
      </c>
      <c r="B2056" t="s">
        <v>261</v>
      </c>
      <c r="C2056" s="72" t="n">
        <v>2032</v>
      </c>
      <c r="D2056" t="s">
        <v>187</v>
      </c>
      <c r="E2056" s="73" t="n">
        <v>389738.301353436</v>
      </c>
      <c r="F2056" s="74" t="n">
        <v>359681.864105953</v>
      </c>
      <c r="G2056" s="75" t="n">
        <v>389998.376688754</v>
      </c>
      <c r="H2056" s="76" t="n">
        <v>359834.546852866</v>
      </c>
      <c r="I2056" s="77" t="str">
        <f>H2056-F2056</f>
      </c>
      <c r="J2056" s="78" t="str">
        <f>G2056-E2056</f>
      </c>
    </row>
    <row r="2057">
      <c r="A2057" t="s">
        <v>259</v>
      </c>
      <c r="B2057" t="s">
        <v>261</v>
      </c>
      <c r="C2057" s="72" t="n">
        <v>2032</v>
      </c>
      <c r="D2057" t="s">
        <v>190</v>
      </c>
      <c r="E2057" s="73" t="n">
        <v>671867.475794402</v>
      </c>
      <c r="F2057" s="74" t="n">
        <v>401126.423547837</v>
      </c>
      <c r="G2057" s="75" t="n">
        <v>673133.888273266</v>
      </c>
      <c r="H2057" s="76" t="n">
        <v>401318.286193472</v>
      </c>
      <c r="I2057" s="77" t="str">
        <f>H2057-F2057</f>
      </c>
      <c r="J2057" s="78" t="str">
        <f>G2057-E2057</f>
      </c>
    </row>
    <row r="2058">
      <c r="A2058" t="s">
        <v>259</v>
      </c>
      <c r="B2058" t="s">
        <v>261</v>
      </c>
      <c r="C2058" s="72" t="n">
        <v>2032</v>
      </c>
      <c r="D2058" t="s">
        <v>193</v>
      </c>
      <c r="E2058" s="73" t="n">
        <v>490289.68902706</v>
      </c>
      <c r="F2058" s="74" t="n">
        <v>260247.00398906</v>
      </c>
      <c r="G2058" s="75" t="n">
        <v>490904.70344578</v>
      </c>
      <c r="H2058" s="76" t="n">
        <v>260346.937343717</v>
      </c>
      <c r="I2058" s="77" t="str">
        <f>H2058-F2058</f>
      </c>
      <c r="J2058" s="78" t="str">
        <f>G2058-E2058</f>
      </c>
    </row>
    <row r="2059">
      <c r="A2059" t="s">
        <v>259</v>
      </c>
      <c r="B2059" t="s">
        <v>261</v>
      </c>
      <c r="C2059" s="72" t="n">
        <v>2032</v>
      </c>
      <c r="D2059" t="s">
        <v>424</v>
      </c>
      <c r="E2059" s="73" t="n">
        <v>44583.2775290329</v>
      </c>
      <c r="F2059" s="74" t="n">
        <v>7308.68995990107</v>
      </c>
      <c r="G2059" s="75" t="n">
        <v>44583.2455015959</v>
      </c>
      <c r="H2059" s="76" t="n">
        <v>7308.68956833998</v>
      </c>
      <c r="I2059" s="77" t="str">
        <f>H2059-F2059</f>
      </c>
      <c r="J2059" s="78" t="str">
        <f>G2059-E2059</f>
      </c>
    </row>
    <row r="2060">
      <c r="A2060" t="s">
        <v>259</v>
      </c>
      <c r="B2060" t="s">
        <v>261</v>
      </c>
      <c r="C2060" s="72" t="n">
        <v>2033</v>
      </c>
      <c r="D2060" t="s">
        <v>176</v>
      </c>
      <c r="E2060" s="73" t="n">
        <v>15984.159450054</v>
      </c>
      <c r="F2060" s="74" t="n">
        <v>11587.0129593645</v>
      </c>
      <c r="G2060" s="75" t="n">
        <v>15983.7175379286</v>
      </c>
      <c r="H2060" s="76" t="n">
        <v>11586.9335708044</v>
      </c>
      <c r="I2060" s="77" t="str">
        <f>H2060-F2060</f>
      </c>
      <c r="J2060" s="78" t="str">
        <f>G2060-E2060</f>
      </c>
    </row>
    <row r="2061">
      <c r="A2061" t="s">
        <v>259</v>
      </c>
      <c r="B2061" t="s">
        <v>261</v>
      </c>
      <c r="C2061" s="72" t="n">
        <v>2033</v>
      </c>
      <c r="D2061" t="s">
        <v>238</v>
      </c>
      <c r="E2061" s="73" t="n">
        <v>1127700.6509927</v>
      </c>
      <c r="F2061" s="74" t="n">
        <v>193918.193860494</v>
      </c>
      <c r="G2061" s="75" t="n">
        <v>1129233.47845058</v>
      </c>
      <c r="H2061" s="76" t="n">
        <v>193953.224223645</v>
      </c>
      <c r="I2061" s="77" t="str">
        <f>H2061-F2061</f>
      </c>
      <c r="J2061" s="78" t="str">
        <f>G2061-E2061</f>
      </c>
    </row>
    <row r="2062">
      <c r="A2062" t="s">
        <v>259</v>
      </c>
      <c r="B2062" t="s">
        <v>261</v>
      </c>
      <c r="C2062" s="72" t="n">
        <v>2033</v>
      </c>
      <c r="D2062" t="s">
        <v>184</v>
      </c>
      <c r="E2062" s="73" t="n">
        <v>118001.364891714</v>
      </c>
      <c r="F2062" s="74" t="n">
        <v>79480.850965589</v>
      </c>
      <c r="G2062" s="75" t="n">
        <v>117998.738437442</v>
      </c>
      <c r="H2062" s="76" t="n">
        <v>79480.4761690429</v>
      </c>
      <c r="I2062" s="77" t="str">
        <f>H2062-F2062</f>
      </c>
      <c r="J2062" s="78" t="str">
        <f>G2062-E2062</f>
      </c>
    </row>
    <row r="2063">
      <c r="A2063" t="s">
        <v>259</v>
      </c>
      <c r="B2063" t="s">
        <v>261</v>
      </c>
      <c r="C2063" s="72" t="n">
        <v>2033</v>
      </c>
      <c r="D2063" t="s">
        <v>187</v>
      </c>
      <c r="E2063" s="73" t="n">
        <v>398055.232471189</v>
      </c>
      <c r="F2063" s="74" t="n">
        <v>367862.372277594</v>
      </c>
      <c r="G2063" s="75" t="n">
        <v>398354.344992358</v>
      </c>
      <c r="H2063" s="76" t="n">
        <v>368051.624575443</v>
      </c>
      <c r="I2063" s="77" t="str">
        <f>H2063-F2063</f>
      </c>
      <c r="J2063" s="78" t="str">
        <f>G2063-E2063</f>
      </c>
    </row>
    <row r="2064">
      <c r="A2064" t="s">
        <v>259</v>
      </c>
      <c r="B2064" t="s">
        <v>261</v>
      </c>
      <c r="C2064" s="72" t="n">
        <v>2033</v>
      </c>
      <c r="D2064" t="s">
        <v>190</v>
      </c>
      <c r="E2064" s="73" t="n">
        <v>686176.44584433</v>
      </c>
      <c r="F2064" s="74" t="n">
        <v>412088.354334362</v>
      </c>
      <c r="G2064" s="75" t="n">
        <v>687634.699546926</v>
      </c>
      <c r="H2064" s="76" t="n">
        <v>412348.075678578</v>
      </c>
      <c r="I2064" s="77" t="str">
        <f>H2064-F2064</f>
      </c>
      <c r="J2064" s="78" t="str">
        <f>G2064-E2064</f>
      </c>
    </row>
    <row r="2065">
      <c r="A2065" t="s">
        <v>259</v>
      </c>
      <c r="B2065" t="s">
        <v>261</v>
      </c>
      <c r="C2065" s="72" t="n">
        <v>2033</v>
      </c>
      <c r="D2065" t="s">
        <v>193</v>
      </c>
      <c r="E2065" s="73" t="n">
        <v>503041.17437385</v>
      </c>
      <c r="F2065" s="74" t="n">
        <v>269750.088157596</v>
      </c>
      <c r="G2065" s="75" t="n">
        <v>503751.109420694</v>
      </c>
      <c r="H2065" s="76" t="n">
        <v>269883.407599987</v>
      </c>
      <c r="I2065" s="77" t="str">
        <f>H2065-F2065</f>
      </c>
      <c r="J2065" s="78" t="str">
        <f>G2065-E2065</f>
      </c>
    </row>
    <row r="2066">
      <c r="A2066" t="s">
        <v>259</v>
      </c>
      <c r="B2066" t="s">
        <v>261</v>
      </c>
      <c r="C2066" s="72" t="n">
        <v>2033</v>
      </c>
      <c r="D2066" t="s">
        <v>424</v>
      </c>
      <c r="E2066" s="73" t="n">
        <v>44483.736120972</v>
      </c>
      <c r="F2066" s="74" t="n">
        <v>7348.07497270069</v>
      </c>
      <c r="G2066" s="75" t="n">
        <v>44483.6835898413</v>
      </c>
      <c r="H2066" s="76" t="n">
        <v>7348.07414732206</v>
      </c>
      <c r="I2066" s="77" t="str">
        <f>H2066-F2066</f>
      </c>
      <c r="J2066" s="78" t="str">
        <f>G2066-E2066</f>
      </c>
    </row>
    <row r="2067">
      <c r="A2067" t="s">
        <v>259</v>
      </c>
      <c r="B2067" t="s">
        <v>261</v>
      </c>
      <c r="C2067" s="72" t="n">
        <v>2034</v>
      </c>
      <c r="D2067" t="s">
        <v>176</v>
      </c>
      <c r="E2067" s="73" t="n">
        <v>16437.6016859748</v>
      </c>
      <c r="F2067" s="74" t="n">
        <v>11896.5241534751</v>
      </c>
      <c r="G2067" s="75" t="n">
        <v>16436.9312806497</v>
      </c>
      <c r="H2067" s="76" t="n">
        <v>11896.3823187386</v>
      </c>
      <c r="I2067" s="77" t="str">
        <f>H2067-F2067</f>
      </c>
      <c r="J2067" s="78" t="str">
        <f>G2067-E2067</f>
      </c>
    </row>
    <row r="2068">
      <c r="A2068" t="s">
        <v>259</v>
      </c>
      <c r="B2068" t="s">
        <v>261</v>
      </c>
      <c r="C2068" s="72" t="n">
        <v>2034</v>
      </c>
      <c r="D2068" t="s">
        <v>238</v>
      </c>
      <c r="E2068" s="73" t="n">
        <v>1137648.54496901</v>
      </c>
      <c r="F2068" s="74" t="n">
        <v>202100.990511549</v>
      </c>
      <c r="G2068" s="75" t="n">
        <v>1139357.01951607</v>
      </c>
      <c r="H2068" s="76" t="n">
        <v>202147.27044605</v>
      </c>
      <c r="I2068" s="77" t="str">
        <f>H2068-F2068</f>
      </c>
      <c r="J2068" s="78" t="str">
        <f>G2068-E2068</f>
      </c>
    </row>
    <row r="2069">
      <c r="A2069" t="s">
        <v>259</v>
      </c>
      <c r="B2069" t="s">
        <v>261</v>
      </c>
      <c r="C2069" s="72" t="n">
        <v>2034</v>
      </c>
      <c r="D2069" t="s">
        <v>184</v>
      </c>
      <c r="E2069" s="73" t="n">
        <v>121109.456314436</v>
      </c>
      <c r="F2069" s="74" t="n">
        <v>81595.6244961957</v>
      </c>
      <c r="G2069" s="75" t="n">
        <v>121105.471839437</v>
      </c>
      <c r="H2069" s="76" t="n">
        <v>81594.9482339212</v>
      </c>
      <c r="I2069" s="77" t="str">
        <f>H2069-F2069</f>
      </c>
      <c r="J2069" s="78" t="str">
        <f>G2069-E2069</f>
      </c>
    </row>
    <row r="2070">
      <c r="A2070" t="s">
        <v>259</v>
      </c>
      <c r="B2070" t="s">
        <v>261</v>
      </c>
      <c r="C2070" s="72" t="n">
        <v>2034</v>
      </c>
      <c r="D2070" t="s">
        <v>187</v>
      </c>
      <c r="E2070" s="73" t="n">
        <v>406223.29149786</v>
      </c>
      <c r="F2070" s="74" t="n">
        <v>375802.554237802</v>
      </c>
      <c r="G2070" s="75" t="n">
        <v>406559.867353788</v>
      </c>
      <c r="H2070" s="76" t="n">
        <v>376028.132278335</v>
      </c>
      <c r="I2070" s="77" t="str">
        <f>H2070-F2070</f>
      </c>
      <c r="J2070" s="78" t="str">
        <f>G2070-E2070</f>
      </c>
    </row>
    <row r="2071">
      <c r="A2071" t="s">
        <v>259</v>
      </c>
      <c r="B2071" t="s">
        <v>261</v>
      </c>
      <c r="C2071" s="72" t="n">
        <v>2034</v>
      </c>
      <c r="D2071" t="s">
        <v>190</v>
      </c>
      <c r="E2071" s="73" t="n">
        <v>700048.305082251</v>
      </c>
      <c r="F2071" s="74" t="n">
        <v>422924.310695726</v>
      </c>
      <c r="G2071" s="75" t="n">
        <v>701691.677358768</v>
      </c>
      <c r="H2071" s="76" t="n">
        <v>423259.100590806</v>
      </c>
      <c r="I2071" s="77" t="str">
        <f>H2071-F2071</f>
      </c>
      <c r="J2071" s="78" t="str">
        <f>G2071-E2071</f>
      </c>
    </row>
    <row r="2072">
      <c r="A2072" t="s">
        <v>259</v>
      </c>
      <c r="B2072" t="s">
        <v>261</v>
      </c>
      <c r="C2072" s="72" t="n">
        <v>2034</v>
      </c>
      <c r="D2072" t="s">
        <v>193</v>
      </c>
      <c r="E2072" s="73" t="n">
        <v>515604.693241937</v>
      </c>
      <c r="F2072" s="74" t="n">
        <v>279315.308932403</v>
      </c>
      <c r="G2072" s="75" t="n">
        <v>516406.53850878</v>
      </c>
      <c r="H2072" s="76" t="n">
        <v>279484.980285229</v>
      </c>
      <c r="I2072" s="77" t="str">
        <f>H2072-F2072</f>
      </c>
      <c r="J2072" s="78" t="str">
        <f>G2072-E2072</f>
      </c>
    </row>
    <row r="2073">
      <c r="A2073" t="s">
        <v>259</v>
      </c>
      <c r="B2073" t="s">
        <v>261</v>
      </c>
      <c r="C2073" s="72" t="n">
        <v>2034</v>
      </c>
      <c r="D2073" t="s">
        <v>424</v>
      </c>
      <c r="E2073" s="73" t="n">
        <v>44355.2635814316</v>
      </c>
      <c r="F2073" s="74" t="n">
        <v>7385.04244387102</v>
      </c>
      <c r="G2073" s="75" t="n">
        <v>44355.184450179</v>
      </c>
      <c r="H2073" s="76" t="n">
        <v>7385.04094675217</v>
      </c>
      <c r="I2073" s="77" t="str">
        <f>H2073-F2073</f>
      </c>
      <c r="J2073" s="78" t="str">
        <f>G2073-E2073</f>
      </c>
    </row>
    <row r="2074">
      <c r="A2074" t="s">
        <v>259</v>
      </c>
      <c r="B2074" t="s">
        <v>261</v>
      </c>
      <c r="C2074" s="72" t="n">
        <v>2035</v>
      </c>
      <c r="D2074" t="s">
        <v>176</v>
      </c>
      <c r="E2074" s="73" t="n">
        <v>16893.1709334035</v>
      </c>
      <c r="F2074" s="74" t="n">
        <v>12203.2870466646</v>
      </c>
      <c r="G2074" s="75" t="n">
        <v>16892.2141390053</v>
      </c>
      <c r="H2074" s="76" t="n">
        <v>12203.0577178634</v>
      </c>
      <c r="I2074" s="77" t="str">
        <f>H2074-F2074</f>
      </c>
      <c r="J2074" s="78" t="str">
        <f>G2074-E2074</f>
      </c>
    </row>
    <row r="2075">
      <c r="A2075" t="s">
        <v>259</v>
      </c>
      <c r="B2075" t="s">
        <v>261</v>
      </c>
      <c r="C2075" s="72" t="n">
        <v>2035</v>
      </c>
      <c r="D2075" t="s">
        <v>238</v>
      </c>
      <c r="E2075" s="73" t="n">
        <v>1147098.62572282</v>
      </c>
      <c r="F2075" s="74" t="n">
        <v>210232.082451826</v>
      </c>
      <c r="G2075" s="75" t="n">
        <v>1148972.16574985</v>
      </c>
      <c r="H2075" s="76" t="n">
        <v>210290.980527925</v>
      </c>
      <c r="I2075" s="77" t="str">
        <f>H2075-F2075</f>
      </c>
      <c r="J2075" s="78" t="str">
        <f>G2075-E2075</f>
      </c>
    </row>
    <row r="2076">
      <c r="A2076" t="s">
        <v>259</v>
      </c>
      <c r="B2076" t="s">
        <v>261</v>
      </c>
      <c r="C2076" s="72" t="n">
        <v>2035</v>
      </c>
      <c r="D2076" t="s">
        <v>184</v>
      </c>
      <c r="E2076" s="73" t="n">
        <v>124153.887288502</v>
      </c>
      <c r="F2076" s="74" t="n">
        <v>83696.2208221201</v>
      </c>
      <c r="G2076" s="75" t="n">
        <v>124148.207195844</v>
      </c>
      <c r="H2076" s="76" t="n">
        <v>83695.1178728798</v>
      </c>
      <c r="I2076" s="77" t="str">
        <f>H2076-F2076</f>
      </c>
      <c r="J2076" s="78" t="str">
        <f>G2076-E2076</f>
      </c>
    </row>
    <row r="2077">
      <c r="A2077" t="s">
        <v>259</v>
      </c>
      <c r="B2077" t="s">
        <v>261</v>
      </c>
      <c r="C2077" s="72" t="n">
        <v>2035</v>
      </c>
      <c r="D2077" t="s">
        <v>187</v>
      </c>
      <c r="E2077" s="73" t="n">
        <v>414160.850888298</v>
      </c>
      <c r="F2077" s="74" t="n">
        <v>383527.490430635</v>
      </c>
      <c r="G2077" s="75" t="n">
        <v>414533.160603145</v>
      </c>
      <c r="H2077" s="76" t="n">
        <v>383788.762526672</v>
      </c>
      <c r="I2077" s="77" t="str">
        <f>H2077-F2077</f>
      </c>
      <c r="J2077" s="78" t="str">
        <f>G2077-E2077</f>
      </c>
    </row>
    <row r="2078">
      <c r="A2078" t="s">
        <v>259</v>
      </c>
      <c r="B2078" t="s">
        <v>261</v>
      </c>
      <c r="C2078" s="72" t="n">
        <v>2035</v>
      </c>
      <c r="D2078" t="s">
        <v>190</v>
      </c>
      <c r="E2078" s="73" t="n">
        <v>713510.266498577</v>
      </c>
      <c r="F2078" s="74" t="n">
        <v>433665.946761147</v>
      </c>
      <c r="G2078" s="75" t="n">
        <v>715331.788822102</v>
      </c>
      <c r="H2078" s="76" t="n">
        <v>434082.031551195</v>
      </c>
      <c r="I2078" s="77" t="str">
        <f>H2078-F2078</f>
      </c>
      <c r="J2078" s="78" t="str">
        <f>G2078-E2078</f>
      </c>
    </row>
    <row r="2079">
      <c r="A2079" t="s">
        <v>259</v>
      </c>
      <c r="B2079" t="s">
        <v>261</v>
      </c>
      <c r="C2079" s="72" t="n">
        <v>2035</v>
      </c>
      <c r="D2079" t="s">
        <v>193</v>
      </c>
      <c r="E2079" s="73" t="n">
        <v>527927.93200946</v>
      </c>
      <c r="F2079" s="74" t="n">
        <v>288942.290285338</v>
      </c>
      <c r="G2079" s="75" t="n">
        <v>528818.371883953</v>
      </c>
      <c r="H2079" s="76" t="n">
        <v>289150.802435983</v>
      </c>
      <c r="I2079" s="77" t="str">
        <f>H2079-F2079</f>
      </c>
      <c r="J2079" s="78" t="str">
        <f>G2079-E2079</f>
      </c>
    </row>
    <row r="2080">
      <c r="A2080" t="s">
        <v>259</v>
      </c>
      <c r="B2080" t="s">
        <v>261</v>
      </c>
      <c r="C2080" s="72" t="n">
        <v>2035</v>
      </c>
      <c r="D2080" t="s">
        <v>424</v>
      </c>
      <c r="E2080" s="73" t="n">
        <v>44206.8194369839</v>
      </c>
      <c r="F2080" s="74" t="n">
        <v>7419.98130644676</v>
      </c>
      <c r="G2080" s="75" t="n">
        <v>44206.7073067121</v>
      </c>
      <c r="H2080" s="76" t="n">
        <v>7419.97885519321</v>
      </c>
      <c r="I2080" s="77" t="str">
        <f>H2080-F2080</f>
      </c>
      <c r="J2080" s="78" t="str">
        <f>G2080-E2080</f>
      </c>
    </row>
    <row r="2081">
      <c r="A2081" t="s">
        <v>259</v>
      </c>
      <c r="B2081" t="s">
        <v>261</v>
      </c>
      <c r="C2081" s="72" t="n">
        <v>2036</v>
      </c>
      <c r="D2081" t="s">
        <v>176</v>
      </c>
      <c r="E2081" s="73" t="n">
        <v>17351.9588297781</v>
      </c>
      <c r="F2081" s="74" t="n">
        <v>12507.2470677736</v>
      </c>
      <c r="G2081" s="75" t="n">
        <v>17350.6546269342</v>
      </c>
      <c r="H2081" s="76" t="n">
        <v>12506.9021026876</v>
      </c>
      <c r="I2081" s="77" t="str">
        <f>H2081-F2081</f>
      </c>
      <c r="J2081" s="78" t="str">
        <f>G2081-E2081</f>
      </c>
    </row>
    <row r="2082">
      <c r="A2082" t="s">
        <v>259</v>
      </c>
      <c r="B2082" t="s">
        <v>261</v>
      </c>
      <c r="C2082" s="72" t="n">
        <v>2036</v>
      </c>
      <c r="D2082" t="s">
        <v>238</v>
      </c>
      <c r="E2082" s="73" t="n">
        <v>1156237.60890656</v>
      </c>
      <c r="F2082" s="74" t="n">
        <v>218297.882057225</v>
      </c>
      <c r="G2082" s="75" t="n">
        <v>1158266.13775829</v>
      </c>
      <c r="H2082" s="76" t="n">
        <v>218370.687575925</v>
      </c>
      <c r="I2082" s="77" t="str">
        <f>H2082-F2082</f>
      </c>
      <c r="J2082" s="78" t="str">
        <f>G2082-E2082</f>
      </c>
    </row>
    <row r="2083">
      <c r="A2083" t="s">
        <v>259</v>
      </c>
      <c r="B2083" t="s">
        <v>261</v>
      </c>
      <c r="C2083" s="72" t="n">
        <v>2036</v>
      </c>
      <c r="D2083" t="s">
        <v>184</v>
      </c>
      <c r="E2083" s="73" t="n">
        <v>127146.177588572</v>
      </c>
      <c r="F2083" s="74" t="n">
        <v>85767.2361612633</v>
      </c>
      <c r="G2083" s="75" t="n">
        <v>127138.451085333</v>
      </c>
      <c r="H2083" s="76" t="n">
        <v>85765.5647353171</v>
      </c>
      <c r="I2083" s="77" t="str">
        <f>H2083-F2083</f>
      </c>
      <c r="J2083" s="78" t="str">
        <f>G2083-E2083</f>
      </c>
    </row>
    <row r="2084">
      <c r="A2084" t="s">
        <v>259</v>
      </c>
      <c r="B2084" t="s">
        <v>261</v>
      </c>
      <c r="C2084" s="72" t="n">
        <v>2036</v>
      </c>
      <c r="D2084" t="s">
        <v>187</v>
      </c>
      <c r="E2084" s="73" t="n">
        <v>421826.460523669</v>
      </c>
      <c r="F2084" s="74" t="n">
        <v>390989.971821976</v>
      </c>
      <c r="G2084" s="75" t="n">
        <v>422232.659922133</v>
      </c>
      <c r="H2084" s="76" t="n">
        <v>391285.955739587</v>
      </c>
      <c r="I2084" s="77" t="str">
        <f>H2084-F2084</f>
      </c>
      <c r="J2084" s="78" t="str">
        <f>G2084-E2084</f>
      </c>
    </row>
    <row r="2085">
      <c r="A2085" t="s">
        <v>259</v>
      </c>
      <c r="B2085" t="s">
        <v>261</v>
      </c>
      <c r="C2085" s="72" t="n">
        <v>2036</v>
      </c>
      <c r="D2085" t="s">
        <v>190</v>
      </c>
      <c r="E2085" s="73" t="n">
        <v>726539.166061892</v>
      </c>
      <c r="F2085" s="74" t="n">
        <v>444245.291033572</v>
      </c>
      <c r="G2085" s="75" t="n">
        <v>728531.610160843</v>
      </c>
      <c r="H2085" s="76" t="n">
        <v>444747.907566169</v>
      </c>
      <c r="I2085" s="77" t="str">
        <f>H2085-F2085</f>
      </c>
      <c r="J2085" s="78" t="str">
        <f>G2085-E2085</f>
      </c>
    </row>
    <row r="2086">
      <c r="A2086" t="s">
        <v>259</v>
      </c>
      <c r="B2086" t="s">
        <v>261</v>
      </c>
      <c r="C2086" s="72" t="n">
        <v>2036</v>
      </c>
      <c r="D2086" t="s">
        <v>193</v>
      </c>
      <c r="E2086" s="73" t="n">
        <v>540076.624265306</v>
      </c>
      <c r="F2086" s="74" t="n">
        <v>298630.190447371</v>
      </c>
      <c r="G2086" s="75" t="n">
        <v>541052.28077363</v>
      </c>
      <c r="H2086" s="76" t="n">
        <v>298879.611309733</v>
      </c>
      <c r="I2086" s="77" t="str">
        <f>H2086-F2086</f>
      </c>
      <c r="J2086" s="78" t="str">
        <f>G2086-E2086</f>
      </c>
    </row>
    <row r="2087">
      <c r="A2087" t="s">
        <v>259</v>
      </c>
      <c r="B2087" t="s">
        <v>261</v>
      </c>
      <c r="C2087" s="72" t="n">
        <v>2036</v>
      </c>
      <c r="D2087" t="s">
        <v>424</v>
      </c>
      <c r="E2087" s="73" t="n">
        <v>44050.1501000501</v>
      </c>
      <c r="F2087" s="74" t="n">
        <v>7453.33885233128</v>
      </c>
      <c r="G2087" s="75" t="n">
        <v>44049.9983782722</v>
      </c>
      <c r="H2087" s="76" t="n">
        <v>7453.3351271514</v>
      </c>
      <c r="I2087" s="77" t="str">
        <f>H2087-F2087</f>
      </c>
      <c r="J2087" s="78" t="str">
        <f>G2087-E2087</f>
      </c>
    </row>
    <row r="2088">
      <c r="A2088" t="s">
        <v>259</v>
      </c>
      <c r="B2088" t="s">
        <v>261</v>
      </c>
      <c r="C2088" s="72" t="n">
        <v>2037</v>
      </c>
      <c r="D2088" t="s">
        <v>176</v>
      </c>
      <c r="E2088" s="73" t="n">
        <v>17814.2188661471</v>
      </c>
      <c r="F2088" s="74" t="n">
        <v>12807.9925004396</v>
      </c>
      <c r="G2088" s="75" t="n">
        <v>17812.5035281772</v>
      </c>
      <c r="H2088" s="76" t="n">
        <v>12807.5012683992</v>
      </c>
      <c r="I2088" s="77" t="str">
        <f>H2088-F2088</f>
      </c>
      <c r="J2088" s="78" t="str">
        <f>G2088-E2088</f>
      </c>
    </row>
    <row r="2089">
      <c r="A2089" t="s">
        <v>259</v>
      </c>
      <c r="B2089" t="s">
        <v>261</v>
      </c>
      <c r="C2089" s="72" t="n">
        <v>2037</v>
      </c>
      <c r="D2089" t="s">
        <v>238</v>
      </c>
      <c r="E2089" s="73" t="n">
        <v>1165190.70644318</v>
      </c>
      <c r="F2089" s="74" t="n">
        <v>226285.439179093</v>
      </c>
      <c r="G2089" s="75" t="n">
        <v>1167364.66541375</v>
      </c>
      <c r="H2089" s="76" t="n">
        <v>226373.365626062</v>
      </c>
      <c r="I2089" s="77" t="str">
        <f>H2089-F2089</f>
      </c>
      <c r="J2089" s="78" t="str">
        <f>G2089-E2089</f>
      </c>
    </row>
    <row r="2090">
      <c r="A2090" t="s">
        <v>259</v>
      </c>
      <c r="B2090" t="s">
        <v>261</v>
      </c>
      <c r="C2090" s="72" t="n">
        <v>2037</v>
      </c>
      <c r="D2090" t="s">
        <v>184</v>
      </c>
      <c r="E2090" s="73" t="n">
        <v>130102.247051947</v>
      </c>
      <c r="F2090" s="74" t="n">
        <v>87788.2691755668</v>
      </c>
      <c r="G2090" s="75" t="n">
        <v>130092.112965313</v>
      </c>
      <c r="H2090" s="76" t="n">
        <v>87785.8739142287</v>
      </c>
      <c r="I2090" s="77" t="str">
        <f>H2090-F2090</f>
      </c>
      <c r="J2090" s="78" t="str">
        <f>G2090-E2090</f>
      </c>
    </row>
    <row r="2091">
      <c r="A2091" t="s">
        <v>259</v>
      </c>
      <c r="B2091" t="s">
        <v>261</v>
      </c>
      <c r="C2091" s="72" t="n">
        <v>2037</v>
      </c>
      <c r="D2091" t="s">
        <v>187</v>
      </c>
      <c r="E2091" s="73" t="n">
        <v>429236.479820026</v>
      </c>
      <c r="F2091" s="74" t="n">
        <v>398144.388925087</v>
      </c>
      <c r="G2091" s="75" t="n">
        <v>429674.679324948</v>
      </c>
      <c r="H2091" s="76" t="n">
        <v>398473.813386608</v>
      </c>
      <c r="I2091" s="77" t="str">
        <f>H2091-F2091</f>
      </c>
      <c r="J2091" s="78" t="str">
        <f>G2091-E2091</f>
      </c>
    </row>
    <row r="2092">
      <c r="A2092" t="s">
        <v>259</v>
      </c>
      <c r="B2092" t="s">
        <v>261</v>
      </c>
      <c r="C2092" s="72" t="n">
        <v>2037</v>
      </c>
      <c r="D2092" t="s">
        <v>190</v>
      </c>
      <c r="E2092" s="73" t="n">
        <v>739105.537677709</v>
      </c>
      <c r="F2092" s="74" t="n">
        <v>454574.774567684</v>
      </c>
      <c r="G2092" s="75" t="n">
        <v>741261.427234993</v>
      </c>
      <c r="H2092" s="76" t="n">
        <v>455168.184528758</v>
      </c>
      <c r="I2092" s="77" t="str">
        <f>H2092-F2092</f>
      </c>
      <c r="J2092" s="78" t="str">
        <f>G2092-E2092</f>
      </c>
    </row>
    <row r="2093">
      <c r="A2093" t="s">
        <v>259</v>
      </c>
      <c r="B2093" t="s">
        <v>261</v>
      </c>
      <c r="C2093" s="72" t="n">
        <v>2037</v>
      </c>
      <c r="D2093" t="s">
        <v>193</v>
      </c>
      <c r="E2093" s="73" t="n">
        <v>552200.849131608</v>
      </c>
      <c r="F2093" s="74" t="n">
        <v>308374.005348573</v>
      </c>
      <c r="G2093" s="75" t="n">
        <v>553258.517761357</v>
      </c>
      <c r="H2093" s="76" t="n">
        <v>308666.043562302</v>
      </c>
      <c r="I2093" s="77" t="str">
        <f>H2093-F2093</f>
      </c>
      <c r="J2093" s="78" t="str">
        <f>G2093-E2093</f>
      </c>
    </row>
    <row r="2094">
      <c r="A2094" t="s">
        <v>259</v>
      </c>
      <c r="B2094" t="s">
        <v>261</v>
      </c>
      <c r="C2094" s="72" t="n">
        <v>2037</v>
      </c>
      <c r="D2094" t="s">
        <v>424</v>
      </c>
      <c r="E2094" s="73" t="n">
        <v>43886.694617788</v>
      </c>
      <c r="F2094" s="74" t="n">
        <v>7485.64480789638</v>
      </c>
      <c r="G2094" s="75" t="n">
        <v>43886.4966397613</v>
      </c>
      <c r="H2094" s="76" t="n">
        <v>7485.63945861012</v>
      </c>
      <c r="I2094" s="77" t="str">
        <f>H2094-F2094</f>
      </c>
      <c r="J2094" s="78" t="str">
        <f>G2094-E2094</f>
      </c>
    </row>
    <row r="2095">
      <c r="A2095" t="s">
        <v>259</v>
      </c>
      <c r="B2095" t="s">
        <v>261</v>
      </c>
      <c r="C2095" s="72" t="n">
        <v>2038</v>
      </c>
      <c r="D2095" t="s">
        <v>176</v>
      </c>
      <c r="E2095" s="73" t="n">
        <v>18280.8118375159</v>
      </c>
      <c r="F2095" s="74" t="n">
        <v>13108.9287809448</v>
      </c>
      <c r="G2095" s="75" t="n">
        <v>18278.6195315823</v>
      </c>
      <c r="H2095" s="76" t="n">
        <v>13108.2586821674</v>
      </c>
      <c r="I2095" s="77" t="str">
        <f>H2095-F2095</f>
      </c>
      <c r="J2095" s="78" t="str">
        <f>G2095-E2095</f>
      </c>
    </row>
    <row r="2096">
      <c r="A2096" t="s">
        <v>259</v>
      </c>
      <c r="B2096" t="s">
        <v>261</v>
      </c>
      <c r="C2096" s="72" t="n">
        <v>2038</v>
      </c>
      <c r="D2096" t="s">
        <v>238</v>
      </c>
      <c r="E2096" s="73" t="n">
        <v>1173976.86043419</v>
      </c>
      <c r="F2096" s="74" t="n">
        <v>234182.108437514</v>
      </c>
      <c r="G2096" s="75" t="n">
        <v>1176286.23006217</v>
      </c>
      <c r="H2096" s="76" t="n">
        <v>234286.302403295</v>
      </c>
      <c r="I2096" s="77" t="str">
        <f>H2096-F2096</f>
      </c>
      <c r="J2096" s="78" t="str">
        <f>G2096-E2096</f>
      </c>
    </row>
    <row r="2097">
      <c r="A2097" t="s">
        <v>259</v>
      </c>
      <c r="B2097" t="s">
        <v>261</v>
      </c>
      <c r="C2097" s="72" t="n">
        <v>2038</v>
      </c>
      <c r="D2097" t="s">
        <v>184</v>
      </c>
      <c r="E2097" s="73" t="n">
        <v>133017.678675028</v>
      </c>
      <c r="F2097" s="74" t="n">
        <v>89766.1938793421</v>
      </c>
      <c r="G2097" s="75" t="n">
        <v>133004.77137127</v>
      </c>
      <c r="H2097" s="76" t="n">
        <v>89762.9085046272</v>
      </c>
      <c r="I2097" s="77" t="str">
        <f>H2097-F2097</f>
      </c>
      <c r="J2097" s="78" t="str">
        <f>G2097-E2097</f>
      </c>
    </row>
    <row r="2098">
      <c r="A2098" t="s">
        <v>259</v>
      </c>
      <c r="B2098" t="s">
        <v>261</v>
      </c>
      <c r="C2098" s="72" t="n">
        <v>2038</v>
      </c>
      <c r="D2098" t="s">
        <v>187</v>
      </c>
      <c r="E2098" s="73" t="n">
        <v>436410.093612661</v>
      </c>
      <c r="F2098" s="74" t="n">
        <v>405023.514390042</v>
      </c>
      <c r="G2098" s="75" t="n">
        <v>436878.359538317</v>
      </c>
      <c r="H2098" s="76" t="n">
        <v>405384.957772321</v>
      </c>
      <c r="I2098" s="77" t="str">
        <f>H2098-F2098</f>
      </c>
      <c r="J2098" s="78" t="str">
        <f>G2098-E2098</f>
      </c>
    </row>
    <row r="2099">
      <c r="A2099" t="s">
        <v>259</v>
      </c>
      <c r="B2099" t="s">
        <v>261</v>
      </c>
      <c r="C2099" s="72" t="n">
        <v>2038</v>
      </c>
      <c r="D2099" t="s">
        <v>190</v>
      </c>
      <c r="E2099" s="73" t="n">
        <v>751249.198881238</v>
      </c>
      <c r="F2099" s="74" t="n">
        <v>464655.391594693</v>
      </c>
      <c r="G2099" s="75" t="n">
        <v>753560.822146793</v>
      </c>
      <c r="H2099" s="76" t="n">
        <v>465342.91786371</v>
      </c>
      <c r="I2099" s="77" t="str">
        <f>H2099-F2099</f>
      </c>
      <c r="J2099" s="78" t="str">
        <f>G2099-E2099</f>
      </c>
    </row>
    <row r="2100">
      <c r="A2100" t="s">
        <v>259</v>
      </c>
      <c r="B2100" t="s">
        <v>261</v>
      </c>
      <c r="C2100" s="72" t="n">
        <v>2038</v>
      </c>
      <c r="D2100" t="s">
        <v>193</v>
      </c>
      <c r="E2100" s="73" t="n">
        <v>564267.473642685</v>
      </c>
      <c r="F2100" s="74" t="n">
        <v>318125.007275437</v>
      </c>
      <c r="G2100" s="75" t="n">
        <v>565403.758799385</v>
      </c>
      <c r="H2100" s="76" t="n">
        <v>318461.022248122</v>
      </c>
      <c r="I2100" s="77" t="str">
        <f>H2100-F2100</f>
      </c>
      <c r="J2100" s="78" t="str">
        <f>G2100-E2100</f>
      </c>
    </row>
    <row r="2101">
      <c r="A2101" t="s">
        <v>259</v>
      </c>
      <c r="B2101" t="s">
        <v>261</v>
      </c>
      <c r="C2101" s="72" t="n">
        <v>2038</v>
      </c>
      <c r="D2101" t="s">
        <v>424</v>
      </c>
      <c r="E2101" s="73" t="n">
        <v>43730.9957737781</v>
      </c>
      <c r="F2101" s="74" t="n">
        <v>7517.77770426049</v>
      </c>
      <c r="G2101" s="75" t="n">
        <v>43730.7448506382</v>
      </c>
      <c r="H2101" s="76" t="n">
        <v>7517.77035327065</v>
      </c>
      <c r="I2101" s="77" t="str">
        <f>H2101-F2101</f>
      </c>
      <c r="J2101" s="78" t="str">
        <f>G2101-E2101</f>
      </c>
    </row>
    <row r="2102">
      <c r="A2102" t="s">
        <v>259</v>
      </c>
      <c r="B2102" t="s">
        <v>261</v>
      </c>
      <c r="C2102" s="72" t="n">
        <v>2039</v>
      </c>
      <c r="D2102" t="s">
        <v>176</v>
      </c>
      <c r="E2102" s="73" t="n">
        <v>18754.8283580345</v>
      </c>
      <c r="F2102" s="74" t="n">
        <v>13405.5527264689</v>
      </c>
      <c r="G2102" s="75" t="n">
        <v>18752.090499403</v>
      </c>
      <c r="H2102" s="76" t="n">
        <v>13404.6696202756</v>
      </c>
      <c r="I2102" s="77" t="str">
        <f>H2102-F2102</f>
      </c>
      <c r="J2102" s="78" t="str">
        <f>G2102-E2102</f>
      </c>
    </row>
    <row r="2103">
      <c r="A2103" t="s">
        <v>259</v>
      </c>
      <c r="B2103" t="s">
        <v>261</v>
      </c>
      <c r="C2103" s="72" t="n">
        <v>2039</v>
      </c>
      <c r="D2103" t="s">
        <v>238</v>
      </c>
      <c r="E2103" s="73" t="n">
        <v>1182303.30423079</v>
      </c>
      <c r="F2103" s="74" t="n">
        <v>242010.658648982</v>
      </c>
      <c r="G2103" s="75" t="n">
        <v>1184738.39184491</v>
      </c>
      <c r="H2103" s="76" t="n">
        <v>242132.191153164</v>
      </c>
      <c r="I2103" s="77" t="str">
        <f>H2103-F2103</f>
      </c>
      <c r="J2103" s="78" t="str">
        <f>G2103-E2103</f>
      </c>
    </row>
    <row r="2104">
      <c r="A2104" t="s">
        <v>259</v>
      </c>
      <c r="B2104" t="s">
        <v>261</v>
      </c>
      <c r="C2104" s="72" t="n">
        <v>2039</v>
      </c>
      <c r="D2104" t="s">
        <v>184</v>
      </c>
      <c r="E2104" s="73" t="n">
        <v>135888.179265911</v>
      </c>
      <c r="F2104" s="74" t="n">
        <v>91720.7178508439</v>
      </c>
      <c r="G2104" s="75" t="n">
        <v>135872.13136763</v>
      </c>
      <c r="H2104" s="76" t="n">
        <v>91716.3663536023</v>
      </c>
      <c r="I2104" s="77" t="str">
        <f>H2104-F2104</f>
      </c>
      <c r="J2104" s="78" t="str">
        <f>G2104-E2104</f>
      </c>
    </row>
    <row r="2105">
      <c r="A2105" t="s">
        <v>259</v>
      </c>
      <c r="B2105" t="s">
        <v>261</v>
      </c>
      <c r="C2105" s="72" t="n">
        <v>2039</v>
      </c>
      <c r="D2105" t="s">
        <v>187</v>
      </c>
      <c r="E2105" s="73" t="n">
        <v>443409.524768807</v>
      </c>
      <c r="F2105" s="74" t="n">
        <v>411728.235466948</v>
      </c>
      <c r="G2105" s="75" t="n">
        <v>443905.980748337</v>
      </c>
      <c r="H2105" s="76" t="n">
        <v>412120.21350488</v>
      </c>
      <c r="I2105" s="77" t="str">
        <f>H2105-F2105</f>
      </c>
      <c r="J2105" s="78" t="str">
        <f>G2105-E2105</f>
      </c>
    </row>
    <row r="2106">
      <c r="A2106" t="s">
        <v>259</v>
      </c>
      <c r="B2106" t="s">
        <v>261</v>
      </c>
      <c r="C2106" s="72" t="n">
        <v>2039</v>
      </c>
      <c r="D2106" t="s">
        <v>190</v>
      </c>
      <c r="E2106" s="73" t="n">
        <v>763068.332723795</v>
      </c>
      <c r="F2106" s="74" t="n">
        <v>474485.733374338</v>
      </c>
      <c r="G2106" s="75" t="n">
        <v>765528.467838857</v>
      </c>
      <c r="H2106" s="76" t="n">
        <v>475269.787528918</v>
      </c>
      <c r="I2106" s="77" t="str">
        <f>H2106-F2106</f>
      </c>
      <c r="J2106" s="78" t="str">
        <f>G2106-E2106</f>
      </c>
    </row>
    <row r="2107">
      <c r="A2107" t="s">
        <v>259</v>
      </c>
      <c r="B2107" t="s">
        <v>261</v>
      </c>
      <c r="C2107" s="72" t="n">
        <v>2039</v>
      </c>
      <c r="D2107" t="s">
        <v>193</v>
      </c>
      <c r="E2107" s="73" t="n">
        <v>576203.158474509</v>
      </c>
      <c r="F2107" s="74" t="n">
        <v>327865.362659845</v>
      </c>
      <c r="G2107" s="75" t="n">
        <v>577414.514396235</v>
      </c>
      <c r="H2107" s="76" t="n">
        <v>328246.401276368</v>
      </c>
      <c r="I2107" s="77" t="str">
        <f>H2107-F2107</f>
      </c>
      <c r="J2107" s="78" t="str">
        <f>G2107-E2107</f>
      </c>
    </row>
    <row r="2108">
      <c r="A2108" t="s">
        <v>259</v>
      </c>
      <c r="B2108" t="s">
        <v>261</v>
      </c>
      <c r="C2108" s="72" t="n">
        <v>2039</v>
      </c>
      <c r="D2108" t="s">
        <v>424</v>
      </c>
      <c r="E2108" s="73" t="n">
        <v>43589.1560298001</v>
      </c>
      <c r="F2108" s="74" t="n">
        <v>7547.56961331144</v>
      </c>
      <c r="G2108" s="75" t="n">
        <v>43588.845456637</v>
      </c>
      <c r="H2108" s="76" t="n">
        <v>7547.5598608641</v>
      </c>
      <c r="I2108" s="77" t="str">
        <f>H2108-F2108</f>
      </c>
      <c r="J2108" s="78" t="str">
        <f>G2108-E2108</f>
      </c>
    </row>
    <row r="2109">
      <c r="A2109" t="s">
        <v>259</v>
      </c>
      <c r="B2109" t="s">
        <v>261</v>
      </c>
      <c r="C2109" s="72" t="n">
        <v>2040</v>
      </c>
      <c r="D2109" t="s">
        <v>176</v>
      </c>
      <c r="E2109" s="73" t="n">
        <v>19239.0918172653</v>
      </c>
      <c r="F2109" s="74" t="n">
        <v>13700.1042829629</v>
      </c>
      <c r="G2109" s="75" t="n">
        <v>19235.7365429273</v>
      </c>
      <c r="H2109" s="76" t="n">
        <v>13698.9721681132</v>
      </c>
      <c r="I2109" s="77" t="str">
        <f>H2109-F2109</f>
      </c>
      <c r="J2109" s="78" t="str">
        <f>G2109-E2109</f>
      </c>
    </row>
    <row r="2110">
      <c r="A2110" t="s">
        <v>259</v>
      </c>
      <c r="B2110" t="s">
        <v>261</v>
      </c>
      <c r="C2110" s="72" t="n">
        <v>2040</v>
      </c>
      <c r="D2110" t="s">
        <v>238</v>
      </c>
      <c r="E2110" s="73" t="n">
        <v>1190083.1334825</v>
      </c>
      <c r="F2110" s="74" t="n">
        <v>249754.611588035</v>
      </c>
      <c r="G2110" s="75" t="n">
        <v>1192634.43006365</v>
      </c>
      <c r="H2110" s="76" t="n">
        <v>249894.478827588</v>
      </c>
      <c r="I2110" s="77" t="str">
        <f>H2110-F2110</f>
      </c>
      <c r="J2110" s="78" t="str">
        <f>G2110-E2110</f>
      </c>
    </row>
    <row r="2111">
      <c r="A2111" t="s">
        <v>259</v>
      </c>
      <c r="B2111" t="s">
        <v>261</v>
      </c>
      <c r="C2111" s="72" t="n">
        <v>2040</v>
      </c>
      <c r="D2111" t="s">
        <v>184</v>
      </c>
      <c r="E2111" s="73" t="n">
        <v>138709.352511001</v>
      </c>
      <c r="F2111" s="74" t="n">
        <v>93642.4976774536</v>
      </c>
      <c r="G2111" s="75" t="n">
        <v>138689.796610277</v>
      </c>
      <c r="H2111" s="76" t="n">
        <v>93636.8967600593</v>
      </c>
      <c r="I2111" s="77" t="str">
        <f>H2111-F2111</f>
      </c>
      <c r="J2111" s="78" t="str">
        <f>G2111-E2111</f>
      </c>
    </row>
    <row r="2112">
      <c r="A2112" t="s">
        <v>259</v>
      </c>
      <c r="B2112" t="s">
        <v>261</v>
      </c>
      <c r="C2112" s="72" t="n">
        <v>2040</v>
      </c>
      <c r="D2112" t="s">
        <v>187</v>
      </c>
      <c r="E2112" s="73" t="n">
        <v>450318.898434318</v>
      </c>
      <c r="F2112" s="74" t="n">
        <v>418200.009088107</v>
      </c>
      <c r="G2112" s="75" t="n">
        <v>450841.764596063</v>
      </c>
      <c r="H2112" s="76" t="n">
        <v>418620.908948174</v>
      </c>
      <c r="I2112" s="77" t="str">
        <f>H2112-F2112</f>
      </c>
      <c r="J2112" s="78" t="str">
        <f>G2112-E2112</f>
      </c>
    </row>
    <row r="2113">
      <c r="A2113" t="s">
        <v>259</v>
      </c>
      <c r="B2113" t="s">
        <v>261</v>
      </c>
      <c r="C2113" s="72" t="n">
        <v>2040</v>
      </c>
      <c r="D2113" t="s">
        <v>190</v>
      </c>
      <c r="E2113" s="73" t="n">
        <v>774487.244115829</v>
      </c>
      <c r="F2113" s="74" t="n">
        <v>484064.882273322</v>
      </c>
      <c r="G2113" s="75" t="n">
        <v>777088.496702091</v>
      </c>
      <c r="H2113" s="76" t="n">
        <v>484947.105425179</v>
      </c>
      <c r="I2113" s="77" t="str">
        <f>H2113-F2113</f>
      </c>
      <c r="J2113" s="78" t="str">
        <f>G2113-E2113</f>
      </c>
    </row>
    <row r="2114">
      <c r="A2114" t="s">
        <v>259</v>
      </c>
      <c r="B2114" t="s">
        <v>261</v>
      </c>
      <c r="C2114" s="72" t="n">
        <v>2040</v>
      </c>
      <c r="D2114" t="s">
        <v>193</v>
      </c>
      <c r="E2114" s="73" t="n">
        <v>588076.739404061</v>
      </c>
      <c r="F2114" s="74" t="n">
        <v>337612.177644198</v>
      </c>
      <c r="G2114" s="75" t="n">
        <v>589359.733832842</v>
      </c>
      <c r="H2114" s="76" t="n">
        <v>338039.010430446</v>
      </c>
      <c r="I2114" s="77" t="str">
        <f>H2114-F2114</f>
      </c>
      <c r="J2114" s="78" t="str">
        <f>G2114-E2114</f>
      </c>
    </row>
    <row r="2115">
      <c r="A2115" t="s">
        <v>259</v>
      </c>
      <c r="B2115" t="s">
        <v>261</v>
      </c>
      <c r="C2115" s="72" t="n">
        <v>2040</v>
      </c>
      <c r="D2115" t="s">
        <v>424</v>
      </c>
      <c r="E2115" s="73" t="n">
        <v>43465.2366036699</v>
      </c>
      <c r="F2115" s="74" t="n">
        <v>7573.73813175851</v>
      </c>
      <c r="G2115" s="75" t="n">
        <v>43464.8596818836</v>
      </c>
      <c r="H2115" s="76" t="n">
        <v>7573.72556082699</v>
      </c>
      <c r="I2115" s="77" t="str">
        <f>H2115-F2115</f>
      </c>
      <c r="J2115" s="78" t="str">
        <f>G2115-E2115</f>
      </c>
    </row>
    <row r="2116">
      <c r="A2116" t="s">
        <v>259</v>
      </c>
      <c r="B2116" t="s">
        <v>261</v>
      </c>
      <c r="C2116" s="72" t="n">
        <v>2041</v>
      </c>
      <c r="D2116" t="s">
        <v>176</v>
      </c>
      <c r="E2116" s="73" t="n">
        <v>19731.3306072218</v>
      </c>
      <c r="F2116" s="74" t="n">
        <v>13993.025806972</v>
      </c>
      <c r="G2116" s="75" t="n">
        <v>19727.283486384</v>
      </c>
      <c r="H2116" s="76" t="n">
        <v>13991.6066902828</v>
      </c>
      <c r="I2116" s="77" t="str">
        <f>H2116-F2116</f>
      </c>
      <c r="J2116" s="78" t="str">
        <f>G2116-E2116</f>
      </c>
    </row>
    <row r="2117">
      <c r="A2117" t="s">
        <v>259</v>
      </c>
      <c r="B2117" t="s">
        <v>261</v>
      </c>
      <c r="C2117" s="72" t="n">
        <v>2041</v>
      </c>
      <c r="D2117" t="s">
        <v>238</v>
      </c>
      <c r="E2117" s="73" t="n">
        <v>1197329.69248155</v>
      </c>
      <c r="F2117" s="74" t="n">
        <v>257439.901662756</v>
      </c>
      <c r="G2117" s="75" t="n">
        <v>1199988.17586749</v>
      </c>
      <c r="H2117" s="76" t="n">
        <v>257599.044002988</v>
      </c>
      <c r="I2117" s="77" t="str">
        <f>H2117-F2117</f>
      </c>
      <c r="J2117" s="78" t="str">
        <f>G2117-E2117</f>
      </c>
    </row>
    <row r="2118">
      <c r="A2118" t="s">
        <v>259</v>
      </c>
      <c r="B2118" t="s">
        <v>261</v>
      </c>
      <c r="C2118" s="72" t="n">
        <v>2041</v>
      </c>
      <c r="D2118" t="s">
        <v>184</v>
      </c>
      <c r="E2118" s="73" t="n">
        <v>141499.007696074</v>
      </c>
      <c r="F2118" s="74" t="n">
        <v>95534.0460610021</v>
      </c>
      <c r="G2118" s="75" t="n">
        <v>141475.570851386</v>
      </c>
      <c r="H2118" s="76" t="n">
        <v>95527.0063786807</v>
      </c>
      <c r="I2118" s="77" t="str">
        <f>H2118-F2118</f>
      </c>
      <c r="J2118" s="78" t="str">
        <f>G2118-E2118</f>
      </c>
    </row>
    <row r="2119">
      <c r="A2119" t="s">
        <v>259</v>
      </c>
      <c r="B2119" t="s">
        <v>261</v>
      </c>
      <c r="C2119" s="72" t="n">
        <v>2041</v>
      </c>
      <c r="D2119" t="s">
        <v>187</v>
      </c>
      <c r="E2119" s="73" t="n">
        <v>457150.605388505</v>
      </c>
      <c r="F2119" s="74" t="n">
        <v>424557.491609566</v>
      </c>
      <c r="G2119" s="75" t="n">
        <v>457698.128134802</v>
      </c>
      <c r="H2119" s="76" t="n">
        <v>425005.77720965</v>
      </c>
      <c r="I2119" s="77" t="str">
        <f>H2119-F2119</f>
      </c>
      <c r="J2119" s="78" t="str">
        <f>G2119-E2119</f>
      </c>
    </row>
    <row r="2120">
      <c r="A2120" t="s">
        <v>259</v>
      </c>
      <c r="B2120" t="s">
        <v>261</v>
      </c>
      <c r="C2120" s="72" t="n">
        <v>2041</v>
      </c>
      <c r="D2120" t="s">
        <v>190</v>
      </c>
      <c r="E2120" s="73" t="n">
        <v>785558.019203532</v>
      </c>
      <c r="F2120" s="74" t="n">
        <v>493409.506861016</v>
      </c>
      <c r="G2120" s="75" t="n">
        <v>788293.242756689</v>
      </c>
      <c r="H2120" s="76" t="n">
        <v>494390.873248259</v>
      </c>
      <c r="I2120" s="77" t="str">
        <f>H2120-F2120</f>
      </c>
      <c r="J2120" s="78" t="str">
        <f>G2120-E2120</f>
      </c>
    </row>
    <row r="2121">
      <c r="A2121" t="s">
        <v>259</v>
      </c>
      <c r="B2121" t="s">
        <v>261</v>
      </c>
      <c r="C2121" s="72" t="n">
        <v>2041</v>
      </c>
      <c r="D2121" t="s">
        <v>193</v>
      </c>
      <c r="E2121" s="73" t="n">
        <v>599804.324513642</v>
      </c>
      <c r="F2121" s="74" t="n">
        <v>347451.468758991</v>
      </c>
      <c r="G2121" s="75" t="n">
        <v>601155.340946961</v>
      </c>
      <c r="H2121" s="76" t="n">
        <v>347924.766327078</v>
      </c>
      <c r="I2121" s="77" t="str">
        <f>H2121-F2121</f>
      </c>
      <c r="J2121" s="78" t="str">
        <f>G2121-E2121</f>
      </c>
    </row>
    <row r="2122">
      <c r="A2122" t="s">
        <v>259</v>
      </c>
      <c r="B2122" t="s">
        <v>261</v>
      </c>
      <c r="C2122" s="72" t="n">
        <v>2041</v>
      </c>
      <c r="D2122" t="s">
        <v>424</v>
      </c>
      <c r="E2122" s="73" t="n">
        <v>43361.3855830701</v>
      </c>
      <c r="F2122" s="74" t="n">
        <v>7596.01116121835</v>
      </c>
      <c r="G2122" s="75" t="n">
        <v>43360.9356755525</v>
      </c>
      <c r="H2122" s="76" t="n">
        <v>7595.99533386821</v>
      </c>
      <c r="I2122" s="77" t="str">
        <f>H2122-F2122</f>
      </c>
      <c r="J2122" s="78" t="str">
        <f>G2122-E2122</f>
      </c>
    </row>
    <row r="2123">
      <c r="A2123" t="s">
        <v>259</v>
      </c>
      <c r="B2123" t="s">
        <v>261</v>
      </c>
      <c r="C2123" s="72" t="n">
        <v>2042</v>
      </c>
      <c r="D2123" t="s">
        <v>176</v>
      </c>
      <c r="E2123" s="73" t="n">
        <v>20227.0840132614</v>
      </c>
      <c r="F2123" s="74" t="n">
        <v>14286.3634887564</v>
      </c>
      <c r="G2123" s="75" t="n">
        <v>20222.2683991647</v>
      </c>
      <c r="H2123" s="76" t="n">
        <v>14284.6169088399</v>
      </c>
      <c r="I2123" s="77" t="str">
        <f>H2123-F2123</f>
      </c>
      <c r="J2123" s="78" t="str">
        <f>G2123-E2123</f>
      </c>
    </row>
    <row r="2124">
      <c r="A2124" t="s">
        <v>259</v>
      </c>
      <c r="B2124" t="s">
        <v>261</v>
      </c>
      <c r="C2124" s="72" t="n">
        <v>2042</v>
      </c>
      <c r="D2124" t="s">
        <v>238</v>
      </c>
      <c r="E2124" s="73" t="n">
        <v>1204042.64430311</v>
      </c>
      <c r="F2124" s="74" t="n">
        <v>265110.091874552</v>
      </c>
      <c r="G2124" s="75" t="n">
        <v>1206799.58929471</v>
      </c>
      <c r="H2124" s="76" t="n">
        <v>265289.409116733</v>
      </c>
      <c r="I2124" s="77" t="str">
        <f>H2124-F2124</f>
      </c>
      <c r="J2124" s="78" t="str">
        <f>G2124-E2124</f>
      </c>
    </row>
    <row r="2125">
      <c r="A2125" t="s">
        <v>259</v>
      </c>
      <c r="B2125" t="s">
        <v>261</v>
      </c>
      <c r="C2125" s="72" t="n">
        <v>2042</v>
      </c>
      <c r="D2125" t="s">
        <v>184</v>
      </c>
      <c r="E2125" s="73" t="n">
        <v>144275.7697083</v>
      </c>
      <c r="F2125" s="74" t="n">
        <v>97414.8315110141</v>
      </c>
      <c r="G2125" s="75" t="n">
        <v>144248.066926011</v>
      </c>
      <c r="H2125" s="76" t="n">
        <v>97406.1569770963</v>
      </c>
      <c r="I2125" s="77" t="str">
        <f>H2125-F2125</f>
      </c>
      <c r="J2125" s="78" t="str">
        <f>G2125-E2125</f>
      </c>
    </row>
    <row r="2126">
      <c r="A2126" t="s">
        <v>259</v>
      </c>
      <c r="B2126" t="s">
        <v>261</v>
      </c>
      <c r="C2126" s="72" t="n">
        <v>2042</v>
      </c>
      <c r="D2126" t="s">
        <v>187</v>
      </c>
      <c r="E2126" s="73" t="n">
        <v>463916.593084987</v>
      </c>
      <c r="F2126" s="74" t="n">
        <v>430922.80781925</v>
      </c>
      <c r="G2126" s="75" t="n">
        <v>464487.038990191</v>
      </c>
      <c r="H2126" s="76" t="n">
        <v>431397.042999706</v>
      </c>
      <c r="I2126" s="77" t="str">
        <f>H2126-F2126</f>
      </c>
      <c r="J2126" s="78" t="str">
        <f>G2126-E2126</f>
      </c>
    </row>
    <row r="2127">
      <c r="A2127" t="s">
        <v>259</v>
      </c>
      <c r="B2127" t="s">
        <v>261</v>
      </c>
      <c r="C2127" s="72" t="n">
        <v>2042</v>
      </c>
      <c r="D2127" t="s">
        <v>190</v>
      </c>
      <c r="E2127" s="73" t="n">
        <v>796363.187342463</v>
      </c>
      <c r="F2127" s="74" t="n">
        <v>502522.934453023</v>
      </c>
      <c r="G2127" s="75" t="n">
        <v>799225.499121645</v>
      </c>
      <c r="H2127" s="76" t="n">
        <v>503603.803809569</v>
      </c>
      <c r="I2127" s="77" t="str">
        <f>H2127-F2127</f>
      </c>
      <c r="J2127" s="78" t="str">
        <f>G2127-E2127</f>
      </c>
    </row>
    <row r="2128">
      <c r="A2128" t="s">
        <v>259</v>
      </c>
      <c r="B2128" t="s">
        <v>261</v>
      </c>
      <c r="C2128" s="72" t="n">
        <v>2042</v>
      </c>
      <c r="D2128" t="s">
        <v>193</v>
      </c>
      <c r="E2128" s="73" t="n">
        <v>611249.105407086</v>
      </c>
      <c r="F2128" s="74" t="n">
        <v>357410.637287249</v>
      </c>
      <c r="G2128" s="75" t="n">
        <v>612664.177038008</v>
      </c>
      <c r="H2128" s="76" t="n">
        <v>357930.939504437</v>
      </c>
      <c r="I2128" s="77" t="str">
        <f>H2128-F2128</f>
      </c>
      <c r="J2128" s="78" t="str">
        <f>G2128-E2128</f>
      </c>
    </row>
    <row r="2129">
      <c r="A2129" t="s">
        <v>259</v>
      </c>
      <c r="B2129" t="s">
        <v>261</v>
      </c>
      <c r="C2129" s="72" t="n">
        <v>2042</v>
      </c>
      <c r="D2129" t="s">
        <v>424</v>
      </c>
      <c r="E2129" s="73" t="n">
        <v>43279.257974181</v>
      </c>
      <c r="F2129" s="74" t="n">
        <v>7616.61235350943</v>
      </c>
      <c r="G2129" s="75" t="n">
        <v>43278.7284816073</v>
      </c>
      <c r="H2129" s="76" t="n">
        <v>7616.59280355029</v>
      </c>
      <c r="I2129" s="77" t="str">
        <f>H2129-F2129</f>
      </c>
      <c r="J2129" s="78" t="str">
        <f>G2129-E2129</f>
      </c>
    </row>
    <row r="2130">
      <c r="A2130" t="s">
        <v>259</v>
      </c>
      <c r="B2130" t="s">
        <v>261</v>
      </c>
      <c r="C2130" s="72" t="n">
        <v>2043</v>
      </c>
      <c r="D2130" t="s">
        <v>176</v>
      </c>
      <c r="E2130" s="73" t="n">
        <v>20726.2129946353</v>
      </c>
      <c r="F2130" s="74" t="n">
        <v>14574.9995867228</v>
      </c>
      <c r="G2130" s="75" t="n">
        <v>20720.5482054553</v>
      </c>
      <c r="H2130" s="76" t="n">
        <v>14572.8831532714</v>
      </c>
      <c r="I2130" s="77" t="str">
        <f>H2130-F2130</f>
      </c>
      <c r="J2130" s="78" t="str">
        <f>G2130-E2130</f>
      </c>
    </row>
    <row r="2131">
      <c r="A2131" t="s">
        <v>259</v>
      </c>
      <c r="B2131" t="s">
        <v>261</v>
      </c>
      <c r="C2131" s="72" t="n">
        <v>2043</v>
      </c>
      <c r="D2131" t="s">
        <v>238</v>
      </c>
      <c r="E2131" s="73" t="n">
        <v>1210202.34441755</v>
      </c>
      <c r="F2131" s="74" t="n">
        <v>272750.121312565</v>
      </c>
      <c r="G2131" s="75" t="n">
        <v>1213049.26096591</v>
      </c>
      <c r="H2131" s="76" t="n">
        <v>272950.435419178</v>
      </c>
      <c r="I2131" s="77" t="str">
        <f>H2131-F2131</f>
      </c>
      <c r="J2131" s="78" t="str">
        <f>G2131-E2131</f>
      </c>
    </row>
    <row r="2132">
      <c r="A2132" t="s">
        <v>259</v>
      </c>
      <c r="B2132" t="s">
        <v>261</v>
      </c>
      <c r="C2132" s="72" t="n">
        <v>2043</v>
      </c>
      <c r="D2132" t="s">
        <v>184</v>
      </c>
      <c r="E2132" s="73" t="n">
        <v>147026.177090182</v>
      </c>
      <c r="F2132" s="74" t="n">
        <v>99281.9032704622</v>
      </c>
      <c r="G2132" s="75" t="n">
        <v>146993.814208207</v>
      </c>
      <c r="H2132" s="76" t="n">
        <v>99271.3911680729</v>
      </c>
      <c r="I2132" s="77" t="str">
        <f>H2132-F2132</f>
      </c>
      <c r="J2132" s="78" t="str">
        <f>G2132-E2132</f>
      </c>
    </row>
    <row r="2133">
      <c r="A2133" t="s">
        <v>259</v>
      </c>
      <c r="B2133" t="s">
        <v>261</v>
      </c>
      <c r="C2133" s="72" t="n">
        <v>2043</v>
      </c>
      <c r="D2133" t="s">
        <v>187</v>
      </c>
      <c r="E2133" s="73" t="n">
        <v>470563.265773225</v>
      </c>
      <c r="F2133" s="74" t="n">
        <v>437181.385957922</v>
      </c>
      <c r="G2133" s="75" t="n">
        <v>471154.839580669</v>
      </c>
      <c r="H2133" s="76" t="n">
        <v>437679.988471842</v>
      </c>
      <c r="I2133" s="77" t="str">
        <f>H2133-F2133</f>
      </c>
      <c r="J2133" s="78" t="str">
        <f>G2133-E2133</f>
      </c>
    </row>
    <row r="2134">
      <c r="A2134" t="s">
        <v>259</v>
      </c>
      <c r="B2134" t="s">
        <v>261</v>
      </c>
      <c r="C2134" s="72" t="n">
        <v>2043</v>
      </c>
      <c r="D2134" t="s">
        <v>190</v>
      </c>
      <c r="E2134" s="73" t="n">
        <v>807031.733099163</v>
      </c>
      <c r="F2134" s="74" t="n">
        <v>511430.207567714</v>
      </c>
      <c r="G2134" s="75" t="n">
        <v>810014.772834319</v>
      </c>
      <c r="H2134" s="76" t="n">
        <v>512610.449179313</v>
      </c>
      <c r="I2134" s="77" t="str">
        <f>H2134-F2134</f>
      </c>
      <c r="J2134" s="78" t="str">
        <f>G2134-E2134</f>
      </c>
    </row>
    <row r="2135">
      <c r="A2135" t="s">
        <v>259</v>
      </c>
      <c r="B2135" t="s">
        <v>261</v>
      </c>
      <c r="C2135" s="72" t="n">
        <v>2043</v>
      </c>
      <c r="D2135" t="s">
        <v>193</v>
      </c>
      <c r="E2135" s="73" t="n">
        <v>622478.066060759</v>
      </c>
      <c r="F2135" s="74" t="n">
        <v>367391.556687163</v>
      </c>
      <c r="G2135" s="75" t="n">
        <v>623953.356494139</v>
      </c>
      <c r="H2135" s="76" t="n">
        <v>367959.059248153</v>
      </c>
      <c r="I2135" s="77" t="str">
        <f>H2135-F2135</f>
      </c>
      <c r="J2135" s="78" t="str">
        <f>G2135-E2135</f>
      </c>
    </row>
    <row r="2136">
      <c r="A2136" t="s">
        <v>259</v>
      </c>
      <c r="B2136" t="s">
        <v>261</v>
      </c>
      <c r="C2136" s="72" t="n">
        <v>2043</v>
      </c>
      <c r="D2136" t="s">
        <v>424</v>
      </c>
      <c r="E2136" s="73" t="n">
        <v>43232.7542085761</v>
      </c>
      <c r="F2136" s="74" t="n">
        <v>7634.66186287627</v>
      </c>
      <c r="G2136" s="75" t="n">
        <v>43232.1385441846</v>
      </c>
      <c r="H2136" s="76" t="n">
        <v>7634.63809790975</v>
      </c>
      <c r="I2136" s="77" t="str">
        <f>H2136-F2136</f>
      </c>
      <c r="J2136" s="78" t="str">
        <f>G2136-E2136</f>
      </c>
    </row>
    <row r="2137">
      <c r="A2137" t="s">
        <v>259</v>
      </c>
      <c r="B2137" t="s">
        <v>261</v>
      </c>
      <c r="C2137" s="72" t="n">
        <v>2044</v>
      </c>
      <c r="D2137" t="s">
        <v>176</v>
      </c>
      <c r="E2137" s="73" t="n">
        <v>21226.8456399782</v>
      </c>
      <c r="F2137" s="74" t="n">
        <v>14863.9617631605</v>
      </c>
      <c r="G2137" s="75" t="n">
        <v>21220.2473713984</v>
      </c>
      <c r="H2137" s="76" t="n">
        <v>14861.4315691186</v>
      </c>
      <c r="I2137" s="77" t="str">
        <f>H2137-F2137</f>
      </c>
      <c r="J2137" s="78" t="str">
        <f>G2137-E2137</f>
      </c>
    </row>
    <row r="2138">
      <c r="A2138" t="s">
        <v>259</v>
      </c>
      <c r="B2138" t="s">
        <v>261</v>
      </c>
      <c r="C2138" s="72" t="n">
        <v>2044</v>
      </c>
      <c r="D2138" t="s">
        <v>238</v>
      </c>
      <c r="E2138" s="73" t="n">
        <v>1216059.11195297</v>
      </c>
      <c r="F2138" s="74" t="n">
        <v>280284.389924939</v>
      </c>
      <c r="G2138" s="75" t="n">
        <v>1218988.4670045</v>
      </c>
      <c r="H2138" s="76" t="n">
        <v>280506.441535508</v>
      </c>
      <c r="I2138" s="77" t="str">
        <f>H2138-F2138</f>
      </c>
      <c r="J2138" s="78" t="str">
        <f>G2138-E2138</f>
      </c>
    </row>
    <row r="2139">
      <c r="A2139" t="s">
        <v>259</v>
      </c>
      <c r="B2139" t="s">
        <v>261</v>
      </c>
      <c r="C2139" s="72" t="n">
        <v>2044</v>
      </c>
      <c r="D2139" t="s">
        <v>184</v>
      </c>
      <c r="E2139" s="73" t="n">
        <v>149733.638006286</v>
      </c>
      <c r="F2139" s="74" t="n">
        <v>101124.847450905</v>
      </c>
      <c r="G2139" s="75" t="n">
        <v>149696.213967301</v>
      </c>
      <c r="H2139" s="76" t="n">
        <v>101112.290089553</v>
      </c>
      <c r="I2139" s="77" t="str">
        <f>H2139-F2139</f>
      </c>
      <c r="J2139" s="78" t="str">
        <f>G2139-E2139</f>
      </c>
    </row>
    <row r="2140">
      <c r="A2140" t="s">
        <v>259</v>
      </c>
      <c r="B2140" t="s">
        <v>261</v>
      </c>
      <c r="C2140" s="72" t="n">
        <v>2044</v>
      </c>
      <c r="D2140" t="s">
        <v>187</v>
      </c>
      <c r="E2140" s="73" t="n">
        <v>476970.555656431</v>
      </c>
      <c r="F2140" s="74" t="n">
        <v>443279.340241374</v>
      </c>
      <c r="G2140" s="75" t="n">
        <v>477581.314836645</v>
      </c>
      <c r="H2140" s="76" t="n">
        <v>443800.637197395</v>
      </c>
      <c r="I2140" s="77" t="str">
        <f>H2140-F2140</f>
      </c>
      <c r="J2140" s="78" t="str">
        <f>G2140-E2140</f>
      </c>
    </row>
    <row r="2141">
      <c r="A2141" t="s">
        <v>259</v>
      </c>
      <c r="B2141" t="s">
        <v>261</v>
      </c>
      <c r="C2141" s="72" t="n">
        <v>2044</v>
      </c>
      <c r="D2141" t="s">
        <v>190</v>
      </c>
      <c r="E2141" s="73" t="n">
        <v>817644.565444497</v>
      </c>
      <c r="F2141" s="74" t="n">
        <v>520141.088943141</v>
      </c>
      <c r="G2141" s="75" t="n">
        <v>820742.370121934</v>
      </c>
      <c r="H2141" s="76" t="n">
        <v>521420.170330997</v>
      </c>
      <c r="I2141" s="77" t="str">
        <f>H2141-F2141</f>
      </c>
      <c r="J2141" s="78" t="str">
        <f>G2141-E2141</f>
      </c>
    </row>
    <row r="2142">
      <c r="A2142" t="s">
        <v>259</v>
      </c>
      <c r="B2142" t="s">
        <v>261</v>
      </c>
      <c r="C2142" s="72" t="n">
        <v>2044</v>
      </c>
      <c r="D2142" t="s">
        <v>193</v>
      </c>
      <c r="E2142" s="73" t="n">
        <v>633492.864426822</v>
      </c>
      <c r="F2142" s="74" t="n">
        <v>377304.040743454</v>
      </c>
      <c r="G2142" s="75" t="n">
        <v>635024.546467649</v>
      </c>
      <c r="H2142" s="76" t="n">
        <v>377918.589898958</v>
      </c>
      <c r="I2142" s="77" t="str">
        <f>H2142-F2142</f>
      </c>
      <c r="J2142" s="78" t="str">
        <f>G2142-E2142</f>
      </c>
    </row>
    <row r="2143">
      <c r="A2143" t="s">
        <v>259</v>
      </c>
      <c r="B2143" t="s">
        <v>261</v>
      </c>
      <c r="C2143" s="72" t="n">
        <v>2044</v>
      </c>
      <c r="D2143" t="s">
        <v>424</v>
      </c>
      <c r="E2143" s="73" t="n">
        <v>43203.3383511753</v>
      </c>
      <c r="F2143" s="74" t="n">
        <v>7652.75032620351</v>
      </c>
      <c r="G2143" s="75" t="n">
        <v>43202.6300388595</v>
      </c>
      <c r="H2143" s="76" t="n">
        <v>7652.72182573668</v>
      </c>
      <c r="I2143" s="77" t="str">
        <f>H2143-F2143</f>
      </c>
      <c r="J2143" s="78" t="str">
        <f>G2143-E2143</f>
      </c>
    </row>
    <row r="2144">
      <c r="A2144" t="s">
        <v>259</v>
      </c>
      <c r="B2144" t="s">
        <v>261</v>
      </c>
      <c r="C2144" s="72" t="n">
        <v>2045</v>
      </c>
      <c r="D2144" t="s">
        <v>176</v>
      </c>
      <c r="E2144" s="73" t="n">
        <v>21725.2339307562</v>
      </c>
      <c r="F2144" s="74" t="n">
        <v>15151.2871800579</v>
      </c>
      <c r="G2144" s="75" t="n">
        <v>21717.6165215297</v>
      </c>
      <c r="H2144" s="76" t="n">
        <v>15148.2979562423</v>
      </c>
      <c r="I2144" s="77" t="str">
        <f>H2144-F2144</f>
      </c>
      <c r="J2144" s="78" t="str">
        <f>G2144-E2144</f>
      </c>
    </row>
    <row r="2145">
      <c r="A2145" t="s">
        <v>259</v>
      </c>
      <c r="B2145" t="s">
        <v>261</v>
      </c>
      <c r="C2145" s="72" t="n">
        <v>2045</v>
      </c>
      <c r="D2145" t="s">
        <v>238</v>
      </c>
      <c r="E2145" s="73" t="n">
        <v>1221664.20132255</v>
      </c>
      <c r="F2145" s="74" t="n">
        <v>287680.606713217</v>
      </c>
      <c r="G2145" s="75" t="n">
        <v>1224668.96644768</v>
      </c>
      <c r="H2145" s="76" t="n">
        <v>287925.043222784</v>
      </c>
      <c r="I2145" s="77" t="str">
        <f>H2145-F2145</f>
      </c>
      <c r="J2145" s="78" t="str">
        <f>G2145-E2145</f>
      </c>
    </row>
    <row r="2146">
      <c r="A2146" t="s">
        <v>259</v>
      </c>
      <c r="B2146" t="s">
        <v>261</v>
      </c>
      <c r="C2146" s="72" t="n">
        <v>2045</v>
      </c>
      <c r="D2146" t="s">
        <v>184</v>
      </c>
      <c r="E2146" s="73" t="n">
        <v>152380.939507951</v>
      </c>
      <c r="F2146" s="74" t="n">
        <v>102950.129685016</v>
      </c>
      <c r="G2146" s="75" t="n">
        <v>152338.052815886</v>
      </c>
      <c r="H2146" s="76" t="n">
        <v>102935.314985138</v>
      </c>
      <c r="I2146" s="77" t="str">
        <f>H2146-F2146</f>
      </c>
      <c r="J2146" s="78" t="str">
        <f>G2146-E2146</f>
      </c>
    </row>
    <row r="2147">
      <c r="A2147" t="s">
        <v>259</v>
      </c>
      <c r="B2147" t="s">
        <v>261</v>
      </c>
      <c r="C2147" s="72" t="n">
        <v>2045</v>
      </c>
      <c r="D2147" t="s">
        <v>187</v>
      </c>
      <c r="E2147" s="73" t="n">
        <v>483095.552795586</v>
      </c>
      <c r="F2147" s="74" t="n">
        <v>449175.319746193</v>
      </c>
      <c r="G2147" s="75" t="n">
        <v>483723.516122198</v>
      </c>
      <c r="H2147" s="76" t="n">
        <v>449717.558047709</v>
      </c>
      <c r="I2147" s="77" t="str">
        <f>H2147-F2147</f>
      </c>
      <c r="J2147" s="78" t="str">
        <f>G2147-E2147</f>
      </c>
    </row>
    <row r="2148">
      <c r="A2148" t="s">
        <v>259</v>
      </c>
      <c r="B2148" t="s">
        <v>261</v>
      </c>
      <c r="C2148" s="72" t="n">
        <v>2045</v>
      </c>
      <c r="D2148" t="s">
        <v>190</v>
      </c>
      <c r="E2148" s="73" t="n">
        <v>828263.270755146</v>
      </c>
      <c r="F2148" s="74" t="n">
        <v>528617.38009169</v>
      </c>
      <c r="G2148" s="75" t="n">
        <v>831470.210098177</v>
      </c>
      <c r="H2148" s="76" t="n">
        <v>529994.226959208</v>
      </c>
      <c r="I2148" s="77" t="str">
        <f>H2148-F2148</f>
      </c>
      <c r="J2148" s="78" t="str">
        <f>G2148-E2148</f>
      </c>
    </row>
    <row r="2149">
      <c r="A2149" t="s">
        <v>259</v>
      </c>
      <c r="B2149" t="s">
        <v>261</v>
      </c>
      <c r="C2149" s="72" t="n">
        <v>2045</v>
      </c>
      <c r="D2149" t="s">
        <v>193</v>
      </c>
      <c r="E2149" s="73" t="n">
        <v>644146.55837206</v>
      </c>
      <c r="F2149" s="74" t="n">
        <v>387089.585383097</v>
      </c>
      <c r="G2149" s="75" t="n">
        <v>645730.44769896</v>
      </c>
      <c r="H2149" s="76" t="n">
        <v>387750.678781898</v>
      </c>
      <c r="I2149" s="77" t="str">
        <f>H2149-F2149</f>
      </c>
      <c r="J2149" s="78" t="str">
        <f>G2149-E2149</f>
      </c>
    </row>
    <row r="2150">
      <c r="A2150" t="s">
        <v>259</v>
      </c>
      <c r="B2150" t="s">
        <v>261</v>
      </c>
      <c r="C2150" s="72" t="n">
        <v>2045</v>
      </c>
      <c r="D2150" t="s">
        <v>424</v>
      </c>
      <c r="E2150" s="73" t="n">
        <v>43191.4110579099</v>
      </c>
      <c r="F2150" s="74" t="n">
        <v>7672.10200981246</v>
      </c>
      <c r="G2150" s="75" t="n">
        <v>43190.6037513161</v>
      </c>
      <c r="H2150" s="76" t="n">
        <v>7672.06822678464</v>
      </c>
      <c r="I2150" s="77" t="str">
        <f>H2150-F2150</f>
      </c>
      <c r="J2150" s="78" t="str">
        <f>G2150-E2150</f>
      </c>
    </row>
    <row r="2151">
      <c r="A2151" t="s">
        <v>259</v>
      </c>
      <c r="B2151" t="s">
        <v>261</v>
      </c>
      <c r="C2151" s="72" t="n">
        <v>2046</v>
      </c>
      <c r="D2151" t="s">
        <v>176</v>
      </c>
      <c r="E2151" s="73" t="n">
        <v>22219.6982083068</v>
      </c>
      <c r="F2151" s="74" t="n">
        <v>15440.3892099274</v>
      </c>
      <c r="G2151" s="75" t="n">
        <v>22210.9745219107</v>
      </c>
      <c r="H2151" s="76" t="n">
        <v>15436.8918612077</v>
      </c>
      <c r="I2151" s="77" t="str">
        <f>H2151-F2151</f>
      </c>
      <c r="J2151" s="78" t="str">
        <f>G2151-E2151</f>
      </c>
    </row>
    <row r="2152">
      <c r="A2152" t="s">
        <v>259</v>
      </c>
      <c r="B2152" t="s">
        <v>261</v>
      </c>
      <c r="C2152" s="72" t="n">
        <v>2046</v>
      </c>
      <c r="D2152" t="s">
        <v>238</v>
      </c>
      <c r="E2152" s="73" t="n">
        <v>1227051.45434233</v>
      </c>
      <c r="F2152" s="74" t="n">
        <v>294898.520852959</v>
      </c>
      <c r="G2152" s="75" t="n">
        <v>1230125.0687767</v>
      </c>
      <c r="H2152" s="76" t="n">
        <v>295165.877208802</v>
      </c>
      <c r="I2152" s="77" t="str">
        <f>H2152-F2152</f>
      </c>
      <c r="J2152" s="78" t="str">
        <f>G2152-E2152</f>
      </c>
    </row>
    <row r="2153">
      <c r="A2153" t="s">
        <v>259</v>
      </c>
      <c r="B2153" t="s">
        <v>261</v>
      </c>
      <c r="C2153" s="72" t="n">
        <v>2046</v>
      </c>
      <c r="D2153" t="s">
        <v>184</v>
      </c>
      <c r="E2153" s="73" t="n">
        <v>154967.94033917</v>
      </c>
      <c r="F2153" s="74" t="n">
        <v>104748.422637785</v>
      </c>
      <c r="G2153" s="75" t="n">
        <v>154919.185199882</v>
      </c>
      <c r="H2153" s="76" t="n">
        <v>104731.133984312</v>
      </c>
      <c r="I2153" s="77" t="str">
        <f>H2153-F2153</f>
      </c>
      <c r="J2153" s="78" t="str">
        <f>G2153-E2153</f>
      </c>
    </row>
    <row r="2154">
      <c r="A2154" t="s">
        <v>259</v>
      </c>
      <c r="B2154" t="s">
        <v>261</v>
      </c>
      <c r="C2154" s="72" t="n">
        <v>2046</v>
      </c>
      <c r="D2154" t="s">
        <v>187</v>
      </c>
      <c r="E2154" s="73" t="n">
        <v>488916.404958661</v>
      </c>
      <c r="F2154" s="74" t="n">
        <v>454748.814729281</v>
      </c>
      <c r="G2154" s="75" t="n">
        <v>489559.569488497</v>
      </c>
      <c r="H2154" s="76" t="n">
        <v>455310.080020589</v>
      </c>
      <c r="I2154" s="77" t="str">
        <f>H2154-F2154</f>
      </c>
      <c r="J2154" s="78" t="str">
        <f>G2154-E2154</f>
      </c>
    </row>
    <row r="2155">
      <c r="A2155" t="s">
        <v>259</v>
      </c>
      <c r="B2155" t="s">
        <v>261</v>
      </c>
      <c r="C2155" s="72" t="n">
        <v>2046</v>
      </c>
      <c r="D2155" t="s">
        <v>190</v>
      </c>
      <c r="E2155" s="73" t="n">
        <v>838712.297986575</v>
      </c>
      <c r="F2155" s="74" t="n">
        <v>536966.784649945</v>
      </c>
      <c r="G2155" s="75" t="n">
        <v>842022.211146035</v>
      </c>
      <c r="H2155" s="76" t="n">
        <v>538440.168228285</v>
      </c>
      <c r="I2155" s="77" t="str">
        <f>H2155-F2155</f>
      </c>
      <c r="J2155" s="78" t="str">
        <f>G2155-E2155</f>
      </c>
    </row>
    <row r="2156">
      <c r="A2156" t="s">
        <v>259</v>
      </c>
      <c r="B2156" t="s">
        <v>261</v>
      </c>
      <c r="C2156" s="72" t="n">
        <v>2046</v>
      </c>
      <c r="D2156" t="s">
        <v>193</v>
      </c>
      <c r="E2156" s="73" t="n">
        <v>654391.459985901</v>
      </c>
      <c r="F2156" s="74" t="n">
        <v>396725.114901039</v>
      </c>
      <c r="G2156" s="75" t="n">
        <v>656023.203848247</v>
      </c>
      <c r="H2156" s="76" t="n">
        <v>397431.950602612</v>
      </c>
      <c r="I2156" s="77" t="str">
        <f>H2156-F2156</f>
      </c>
      <c r="J2156" s="78" t="str">
        <f>G2156-E2156</f>
      </c>
    </row>
    <row r="2157">
      <c r="A2157" t="s">
        <v>259</v>
      </c>
      <c r="B2157" t="s">
        <v>261</v>
      </c>
      <c r="C2157" s="72" t="n">
        <v>2046</v>
      </c>
      <c r="D2157" t="s">
        <v>424</v>
      </c>
      <c r="E2157" s="73" t="n">
        <v>43197.2230481991</v>
      </c>
      <c r="F2157" s="74" t="n">
        <v>7693.59667823078</v>
      </c>
      <c r="G2157" s="75" t="n">
        <v>43196.3103231123</v>
      </c>
      <c r="H2157" s="76" t="n">
        <v>7693.55704865625</v>
      </c>
      <c r="I2157" s="77" t="str">
        <f>H2157-F2157</f>
      </c>
      <c r="J2157" s="78" t="str">
        <f>G2157-E2157</f>
      </c>
    </row>
    <row r="2158">
      <c r="A2158" t="s">
        <v>259</v>
      </c>
      <c r="B2158" t="s">
        <v>261</v>
      </c>
      <c r="C2158" s="72" t="n">
        <v>2047</v>
      </c>
      <c r="D2158" t="s">
        <v>176</v>
      </c>
      <c r="E2158" s="73" t="n">
        <v>22709.5822267546</v>
      </c>
      <c r="F2158" s="74" t="n">
        <v>15732.5436969475</v>
      </c>
      <c r="G2158" s="75" t="n">
        <v>22699.6629629007</v>
      </c>
      <c r="H2158" s="76" t="n">
        <v>15728.4854947303</v>
      </c>
      <c r="I2158" s="77" t="str">
        <f>H2158-F2158</f>
      </c>
      <c r="J2158" s="78" t="str">
        <f>G2158-E2158</f>
      </c>
    </row>
    <row r="2159">
      <c r="A2159" t="s">
        <v>259</v>
      </c>
      <c r="B2159" t="s">
        <v>261</v>
      </c>
      <c r="C2159" s="72" t="n">
        <v>2047</v>
      </c>
      <c r="D2159" t="s">
        <v>238</v>
      </c>
      <c r="E2159" s="73" t="n">
        <v>1232138.6160625</v>
      </c>
      <c r="F2159" s="74" t="n">
        <v>301889.854870039</v>
      </c>
      <c r="G2159" s="75" t="n">
        <v>1235274.66521773</v>
      </c>
      <c r="H2159" s="76" t="n">
        <v>302180.550312501</v>
      </c>
      <c r="I2159" s="77" t="str">
        <f>H2159-F2159</f>
      </c>
      <c r="J2159" s="78" t="str">
        <f>G2159-E2159</f>
      </c>
    </row>
    <row r="2160">
      <c r="A2160" t="s">
        <v>259</v>
      </c>
      <c r="B2160" t="s">
        <v>261</v>
      </c>
      <c r="C2160" s="72" t="n">
        <v>2047</v>
      </c>
      <c r="D2160" t="s">
        <v>184</v>
      </c>
      <c r="E2160" s="73" t="n">
        <v>157490.970605593</v>
      </c>
      <c r="F2160" s="74" t="n">
        <v>106507.661786532</v>
      </c>
      <c r="G2160" s="75" t="n">
        <v>157435.937342911</v>
      </c>
      <c r="H2160" s="76" t="n">
        <v>106487.677760342</v>
      </c>
      <c r="I2160" s="77" t="str">
        <f>H2160-F2160</f>
      </c>
      <c r="J2160" s="78" t="str">
        <f>G2160-E2160</f>
      </c>
    </row>
    <row r="2161">
      <c r="A2161" t="s">
        <v>259</v>
      </c>
      <c r="B2161" t="s">
        <v>261</v>
      </c>
      <c r="C2161" s="72" t="n">
        <v>2047</v>
      </c>
      <c r="D2161" t="s">
        <v>187</v>
      </c>
      <c r="E2161" s="73" t="n">
        <v>494391.020782828</v>
      </c>
      <c r="F2161" s="74" t="n">
        <v>459961.111354627</v>
      </c>
      <c r="G2161" s="75" t="n">
        <v>495047.331680699</v>
      </c>
      <c r="H2161" s="76" t="n">
        <v>460539.427749469</v>
      </c>
      <c r="I2161" s="77" t="str">
        <f>H2161-F2161</f>
      </c>
      <c r="J2161" s="78" t="str">
        <f>G2161-E2161</f>
      </c>
    </row>
    <row r="2162">
      <c r="A2162" t="s">
        <v>259</v>
      </c>
      <c r="B2162" t="s">
        <v>261</v>
      </c>
      <c r="C2162" s="72" t="n">
        <v>2047</v>
      </c>
      <c r="D2162" t="s">
        <v>190</v>
      </c>
      <c r="E2162" s="73" t="n">
        <v>848950.224287063</v>
      </c>
      <c r="F2162" s="74" t="n">
        <v>545324.20414473</v>
      </c>
      <c r="G2162" s="75" t="n">
        <v>852357.036896631</v>
      </c>
      <c r="H2162" s="76" t="n">
        <v>546892.884748123</v>
      </c>
      <c r="I2162" s="77" t="str">
        <f>H2162-F2162</f>
      </c>
      <c r="J2162" s="78" t="str">
        <f>G2162-E2162</f>
      </c>
    </row>
    <row r="2163">
      <c r="A2163" t="s">
        <v>259</v>
      </c>
      <c r="B2163" t="s">
        <v>261</v>
      </c>
      <c r="C2163" s="72" t="n">
        <v>2047</v>
      </c>
      <c r="D2163" t="s">
        <v>193</v>
      </c>
      <c r="E2163" s="73" t="n">
        <v>664285.168236332</v>
      </c>
      <c r="F2163" s="74" t="n">
        <v>406186.838393169</v>
      </c>
      <c r="G2163" s="75" t="n">
        <v>665960.530537607</v>
      </c>
      <c r="H2163" s="76" t="n">
        <v>406938.309858621</v>
      </c>
      <c r="I2163" s="77" t="str">
        <f>H2163-F2163</f>
      </c>
      <c r="J2163" s="78" t="str">
        <f>G2163-E2163</f>
      </c>
    </row>
    <row r="2164">
      <c r="A2164" t="s">
        <v>259</v>
      </c>
      <c r="B2164" t="s">
        <v>261</v>
      </c>
      <c r="C2164" s="72" t="n">
        <v>2047</v>
      </c>
      <c r="D2164" t="s">
        <v>424</v>
      </c>
      <c r="E2164" s="73" t="n">
        <v>43218.6588910154</v>
      </c>
      <c r="F2164" s="74" t="n">
        <v>7716.31057933373</v>
      </c>
      <c r="G2164" s="75" t="n">
        <v>43217.6341923504</v>
      </c>
      <c r="H2164" s="76" t="n">
        <v>7716.26452507886</v>
      </c>
      <c r="I2164" s="77" t="str">
        <f>H2164-F2164</f>
      </c>
      <c r="J2164" s="78" t="str">
        <f>G2164-E2164</f>
      </c>
    </row>
    <row r="2165">
      <c r="A2165" t="s">
        <v>259</v>
      </c>
      <c r="B2165" t="s">
        <v>261</v>
      </c>
      <c r="C2165" s="72" t="n">
        <v>2048</v>
      </c>
      <c r="D2165" t="s">
        <v>176</v>
      </c>
      <c r="E2165" s="73" t="n">
        <v>23190.9817084959</v>
      </c>
      <c r="F2165" s="74" t="n">
        <v>16029.8900180443</v>
      </c>
      <c r="G2165" s="75" t="n">
        <v>23179.7775298232</v>
      </c>
      <c r="H2165" s="76" t="n">
        <v>16025.2187605858</v>
      </c>
      <c r="I2165" s="77" t="str">
        <f>H2165-F2165</f>
      </c>
      <c r="J2165" s="78" t="str">
        <f>G2165-E2165</f>
      </c>
    </row>
    <row r="2166">
      <c r="A2166" t="s">
        <v>259</v>
      </c>
      <c r="B2166" t="s">
        <v>261</v>
      </c>
      <c r="C2166" s="72" t="n">
        <v>2048</v>
      </c>
      <c r="D2166" t="s">
        <v>238</v>
      </c>
      <c r="E2166" s="73" t="n">
        <v>1237016.44221043</v>
      </c>
      <c r="F2166" s="74" t="n">
        <v>308649.925923881</v>
      </c>
      <c r="G2166" s="75" t="n">
        <v>1240209.10376068</v>
      </c>
      <c r="H2166" s="76" t="n">
        <v>308964.310377282</v>
      </c>
      <c r="I2166" s="77" t="str">
        <f>H2166-F2166</f>
      </c>
      <c r="J2166" s="78" t="str">
        <f>G2166-E2166</f>
      </c>
    </row>
    <row r="2167">
      <c r="A2167" t="s">
        <v>259</v>
      </c>
      <c r="B2167" t="s">
        <v>261</v>
      </c>
      <c r="C2167" s="72" t="n">
        <v>2048</v>
      </c>
      <c r="D2167" t="s">
        <v>184</v>
      </c>
      <c r="E2167" s="73" t="n">
        <v>159938.782819822</v>
      </c>
      <c r="F2167" s="74" t="n">
        <v>108228.211722827</v>
      </c>
      <c r="G2167" s="75" t="n">
        <v>159877.069557409</v>
      </c>
      <c r="H2167" s="76" t="n">
        <v>108205.309376064</v>
      </c>
      <c r="I2167" s="77" t="str">
        <f>H2167-F2167</f>
      </c>
      <c r="J2167" s="78" t="str">
        <f>G2167-E2167</f>
      </c>
    </row>
    <row r="2168">
      <c r="A2168" t="s">
        <v>259</v>
      </c>
      <c r="B2168" t="s">
        <v>261</v>
      </c>
      <c r="C2168" s="72" t="n">
        <v>2048</v>
      </c>
      <c r="D2168" t="s">
        <v>187</v>
      </c>
      <c r="E2168" s="73" t="n">
        <v>499584.430525236</v>
      </c>
      <c r="F2168" s="74" t="n">
        <v>464964.894820914</v>
      </c>
      <c r="G2168" s="75" t="n">
        <v>500251.963676638</v>
      </c>
      <c r="H2168" s="76" t="n">
        <v>465558.478994868</v>
      </c>
      <c r="I2168" s="77" t="str">
        <f>H2168-F2168</f>
      </c>
      <c r="J2168" s="78" t="str">
        <f>G2168-E2168</f>
      </c>
    </row>
    <row r="2169">
      <c r="A2169" t="s">
        <v>259</v>
      </c>
      <c r="B2169" t="s">
        <v>261</v>
      </c>
      <c r="C2169" s="72" t="n">
        <v>2048</v>
      </c>
      <c r="D2169" t="s">
        <v>190</v>
      </c>
      <c r="E2169" s="73" t="n">
        <v>858923.634780439</v>
      </c>
      <c r="F2169" s="74" t="n">
        <v>553557.192483136</v>
      </c>
      <c r="G2169" s="75" t="n">
        <v>862421.197666068</v>
      </c>
      <c r="H2169" s="76" t="n">
        <v>555219.254274076</v>
      </c>
      <c r="I2169" s="77" t="str">
        <f>H2169-F2169</f>
      </c>
      <c r="J2169" s="78" t="str">
        <f>G2169-E2169</f>
      </c>
    </row>
    <row r="2170">
      <c r="A2170" t="s">
        <v>259</v>
      </c>
      <c r="B2170" t="s">
        <v>261</v>
      </c>
      <c r="C2170" s="72" t="n">
        <v>2048</v>
      </c>
      <c r="D2170" t="s">
        <v>193</v>
      </c>
      <c r="E2170" s="73" t="n">
        <v>673823.267713047</v>
      </c>
      <c r="F2170" s="74" t="n">
        <v>415426.485530798</v>
      </c>
      <c r="G2170" s="75" t="n">
        <v>675538.067131439</v>
      </c>
      <c r="H2170" s="76" t="n">
        <v>416221.145643516</v>
      </c>
      <c r="I2170" s="77" t="str">
        <f>H2170-F2170</f>
      </c>
      <c r="J2170" s="78" t="str">
        <f>G2170-E2170</f>
      </c>
    </row>
    <row r="2171">
      <c r="A2171" t="s">
        <v>259</v>
      </c>
      <c r="B2171" t="s">
        <v>261</v>
      </c>
      <c r="C2171" s="72" t="n">
        <v>2048</v>
      </c>
      <c r="D2171" t="s">
        <v>424</v>
      </c>
      <c r="E2171" s="73" t="n">
        <v>43248.2595662455</v>
      </c>
      <c r="F2171" s="74" t="n">
        <v>7741.02131806027</v>
      </c>
      <c r="G2171" s="75" t="n">
        <v>43247.1165682685</v>
      </c>
      <c r="H2171" s="76" t="n">
        <v>7740.96823230914</v>
      </c>
      <c r="I2171" s="77" t="str">
        <f>H2171-F2171</f>
      </c>
      <c r="J2171" s="78" t="str">
        <f>G2171-E2171</f>
      </c>
    </row>
    <row r="2172">
      <c r="A2172" t="s">
        <v>259</v>
      </c>
      <c r="B2172" t="s">
        <v>261</v>
      </c>
      <c r="C2172" s="72" t="n">
        <v>2049</v>
      </c>
      <c r="D2172" t="s">
        <v>176</v>
      </c>
      <c r="E2172" s="73" t="n">
        <v>23662.9377830564</v>
      </c>
      <c r="F2172" s="74" t="n">
        <v>16327.9487882536</v>
      </c>
      <c r="G2172" s="75" t="n">
        <v>23650.3614840449</v>
      </c>
      <c r="H2172" s="76" t="n">
        <v>16322.61151708</v>
      </c>
      <c r="I2172" s="77" t="str">
        <f>H2172-F2172</f>
      </c>
      <c r="J2172" s="78" t="str">
        <f>G2172-E2172</f>
      </c>
    </row>
    <row r="2173">
      <c r="A2173" t="s">
        <v>259</v>
      </c>
      <c r="B2173" t="s">
        <v>261</v>
      </c>
      <c r="C2173" s="72" t="n">
        <v>2049</v>
      </c>
      <c r="D2173" t="s">
        <v>238</v>
      </c>
      <c r="E2173" s="73" t="n">
        <v>1241714.53271498</v>
      </c>
      <c r="F2173" s="74" t="n">
        <v>315190.310077505</v>
      </c>
      <c r="G2173" s="75" t="n">
        <v>1244958.37630862</v>
      </c>
      <c r="H2173" s="76" t="n">
        <v>315528.654574656</v>
      </c>
      <c r="I2173" s="77" t="str">
        <f>H2173-F2173</f>
      </c>
      <c r="J2173" s="78" t="str">
        <f>G2173-E2173</f>
      </c>
    </row>
    <row r="2174">
      <c r="A2174" t="s">
        <v>259</v>
      </c>
      <c r="B2174" t="s">
        <v>261</v>
      </c>
      <c r="C2174" s="72" t="n">
        <v>2049</v>
      </c>
      <c r="D2174" t="s">
        <v>184</v>
      </c>
      <c r="E2174" s="73" t="n">
        <v>162306.916168896</v>
      </c>
      <c r="F2174" s="74" t="n">
        <v>109908.412842833</v>
      </c>
      <c r="G2174" s="75" t="n">
        <v>162238.134685625</v>
      </c>
      <c r="H2174" s="76" t="n">
        <v>109882.371148655</v>
      </c>
      <c r="I2174" s="77" t="str">
        <f>H2174-F2174</f>
      </c>
      <c r="J2174" s="78" t="str">
        <f>G2174-E2174</f>
      </c>
    </row>
    <row r="2175">
      <c r="A2175" t="s">
        <v>259</v>
      </c>
      <c r="B2175" t="s">
        <v>261</v>
      </c>
      <c r="C2175" s="72" t="n">
        <v>2049</v>
      </c>
      <c r="D2175" t="s">
        <v>187</v>
      </c>
      <c r="E2175" s="73" t="n">
        <v>504538.956803585</v>
      </c>
      <c r="F2175" s="74" t="n">
        <v>469776.750559207</v>
      </c>
      <c r="G2175" s="75" t="n">
        <v>505215.900508139</v>
      </c>
      <c r="H2175" s="76" t="n">
        <v>470383.880162835</v>
      </c>
      <c r="I2175" s="77" t="str">
        <f>H2175-F2175</f>
      </c>
      <c r="J2175" s="78" t="str">
        <f>G2175-E2175</f>
      </c>
    </row>
    <row r="2176">
      <c r="A2176" t="s">
        <v>259</v>
      </c>
      <c r="B2176" t="s">
        <v>261</v>
      </c>
      <c r="C2176" s="72" t="n">
        <v>2049</v>
      </c>
      <c r="D2176" t="s">
        <v>190</v>
      </c>
      <c r="E2176" s="73" t="n">
        <v>868457.85564679</v>
      </c>
      <c r="F2176" s="74" t="n">
        <v>561584.834815861</v>
      </c>
      <c r="G2176" s="75" t="n">
        <v>872039.412561908</v>
      </c>
      <c r="H2176" s="76" t="n">
        <v>563337.765593671</v>
      </c>
      <c r="I2176" s="77" t="str">
        <f>H2176-F2176</f>
      </c>
      <c r="J2176" s="78" t="str">
        <f>G2176-E2176</f>
      </c>
    </row>
    <row r="2177">
      <c r="A2177" t="s">
        <v>259</v>
      </c>
      <c r="B2177" t="s">
        <v>261</v>
      </c>
      <c r="C2177" s="72" t="n">
        <v>2049</v>
      </c>
      <c r="D2177" t="s">
        <v>193</v>
      </c>
      <c r="E2177" s="73" t="n">
        <v>683049.248126979</v>
      </c>
      <c r="F2177" s="74" t="n">
        <v>424375.249468207</v>
      </c>
      <c r="G2177" s="75" t="n">
        <v>684799.519243418</v>
      </c>
      <c r="H2177" s="76" t="n">
        <v>425211.294806661</v>
      </c>
      <c r="I2177" s="77" t="str">
        <f>H2177-F2177</f>
      </c>
      <c r="J2177" s="78" t="str">
        <f>G2177-E2177</f>
      </c>
    </row>
    <row r="2178">
      <c r="A2178" t="s">
        <v>259</v>
      </c>
      <c r="B2178" t="s">
        <v>261</v>
      </c>
      <c r="C2178" s="72" t="n">
        <v>2049</v>
      </c>
      <c r="D2178" t="s">
        <v>424</v>
      </c>
      <c r="E2178" s="73" t="n">
        <v>43288.9613487359</v>
      </c>
      <c r="F2178" s="74" t="n">
        <v>7764.48580455385</v>
      </c>
      <c r="G2178" s="75" t="n">
        <v>43287.6941181752</v>
      </c>
      <c r="H2178" s="76" t="n">
        <v>7764.42505773382</v>
      </c>
      <c r="I2178" s="77" t="str">
        <f>H2178-F2178</f>
      </c>
      <c r="J2178" s="78" t="str">
        <f>G2178-E2178</f>
      </c>
    </row>
    <row r="2179">
      <c r="A2179" t="s">
        <v>259</v>
      </c>
      <c r="B2179" t="s">
        <v>261</v>
      </c>
      <c r="C2179" s="72" t="n">
        <v>2050</v>
      </c>
      <c r="D2179" t="s">
        <v>176</v>
      </c>
      <c r="E2179" s="73" t="n">
        <v>24124.4638314763</v>
      </c>
      <c r="F2179" s="74" t="n">
        <v>16624.979835065</v>
      </c>
      <c r="G2179" s="75" t="n">
        <v>24110.4306261692</v>
      </c>
      <c r="H2179" s="76" t="n">
        <v>16618.9237091261</v>
      </c>
      <c r="I2179" s="77" t="str">
        <f>H2179-F2179</f>
      </c>
      <c r="J2179" s="78" t="str">
        <f>G2179-E2179</f>
      </c>
    </row>
    <row r="2180">
      <c r="A2180" t="s">
        <v>259</v>
      </c>
      <c r="B2180" t="s">
        <v>261</v>
      </c>
      <c r="C2180" s="72" t="n">
        <v>2050</v>
      </c>
      <c r="D2180" t="s">
        <v>238</v>
      </c>
      <c r="E2180" s="73" t="n">
        <v>1246284.92592966</v>
      </c>
      <c r="F2180" s="74" t="n">
        <v>321503.645713698</v>
      </c>
      <c r="G2180" s="75" t="n">
        <v>1249574.98129843</v>
      </c>
      <c r="H2180" s="76" t="n">
        <v>321866.145423905</v>
      </c>
      <c r="I2180" s="77" t="str">
        <f>H2180-F2180</f>
      </c>
      <c r="J2180" s="78" t="str">
        <f>G2180-E2180</f>
      </c>
    </row>
    <row r="2181">
      <c r="A2181" t="s">
        <v>259</v>
      </c>
      <c r="B2181" t="s">
        <v>261</v>
      </c>
      <c r="C2181" s="72" t="n">
        <v>2050</v>
      </c>
      <c r="D2181" t="s">
        <v>184</v>
      </c>
      <c r="E2181" s="73" t="n">
        <v>164603.174631276</v>
      </c>
      <c r="F2181" s="74" t="n">
        <v>111525.654935522</v>
      </c>
      <c r="G2181" s="75" t="n">
        <v>164526.94959842</v>
      </c>
      <c r="H2181" s="76" t="n">
        <v>111496.260054028</v>
      </c>
      <c r="I2181" s="77" t="str">
        <f>H2181-F2181</f>
      </c>
      <c r="J2181" s="78" t="str">
        <f>G2181-E2181</f>
      </c>
    </row>
    <row r="2182">
      <c r="A2182" t="s">
        <v>259</v>
      </c>
      <c r="B2182" t="s">
        <v>261</v>
      </c>
      <c r="C2182" s="72" t="n">
        <v>2050</v>
      </c>
      <c r="D2182" t="s">
        <v>187</v>
      </c>
      <c r="E2182" s="73" t="n">
        <v>509239.223169952</v>
      </c>
      <c r="F2182" s="74" t="n">
        <v>474274.420832833</v>
      </c>
      <c r="G2182" s="75" t="n">
        <v>509923.794653266</v>
      </c>
      <c r="H2182" s="76" t="n">
        <v>474893.254554943</v>
      </c>
      <c r="I2182" s="77" t="str">
        <f>H2182-F2182</f>
      </c>
      <c r="J2182" s="78" t="str">
        <f>G2182-E2182</f>
      </c>
    </row>
    <row r="2183">
      <c r="A2183" t="s">
        <v>259</v>
      </c>
      <c r="B2183" t="s">
        <v>261</v>
      </c>
      <c r="C2183" s="72" t="n">
        <v>2050</v>
      </c>
      <c r="D2183" t="s">
        <v>190</v>
      </c>
      <c r="E2183" s="73" t="n">
        <v>877561.185250077</v>
      </c>
      <c r="F2183" s="74" t="n">
        <v>569463.885791716</v>
      </c>
      <c r="G2183" s="75" t="n">
        <v>881220.210178615</v>
      </c>
      <c r="H2183" s="76" t="n">
        <v>571305.130665456</v>
      </c>
      <c r="I2183" s="77" t="str">
        <f>H2183-F2183</f>
      </c>
      <c r="J2183" s="78" t="str">
        <f>G2183-E2183</f>
      </c>
    </row>
    <row r="2184">
      <c r="A2184" t="s">
        <v>259</v>
      </c>
      <c r="B2184" t="s">
        <v>261</v>
      </c>
      <c r="C2184" s="72" t="n">
        <v>2050</v>
      </c>
      <c r="D2184" t="s">
        <v>193</v>
      </c>
      <c r="E2184" s="73" t="n">
        <v>692051.234573195</v>
      </c>
      <c r="F2184" s="74" t="n">
        <v>433052.645204576</v>
      </c>
      <c r="G2184" s="75" t="n">
        <v>693833.375810026</v>
      </c>
      <c r="H2184" s="76" t="n">
        <v>433928.116842437</v>
      </c>
      <c r="I2184" s="77" t="str">
        <f>H2184-F2184</f>
      </c>
      <c r="J2184" s="78" t="str">
        <f>G2184-E2184</f>
      </c>
    </row>
    <row r="2185">
      <c r="A2185" t="s">
        <v>259</v>
      </c>
      <c r="B2185" t="s">
        <v>261</v>
      </c>
      <c r="C2185" s="72" t="n">
        <v>2050</v>
      </c>
      <c r="D2185" t="s">
        <v>424</v>
      </c>
      <c r="E2185" s="73" t="n">
        <v>43338.7310864403</v>
      </c>
      <c r="F2185" s="74" t="n">
        <v>7785.66156524511</v>
      </c>
      <c r="G2185" s="75" t="n">
        <v>43337.3340718481</v>
      </c>
      <c r="H2185" s="76" t="n">
        <v>7785.59251624651</v>
      </c>
      <c r="I2185" s="77" t="str">
        <f>H2185-F2185</f>
      </c>
      <c r="J2185" s="78" t="str">
        <f>G2185-E2185</f>
      </c>
    </row>
    <row r="2186">
      <c r="A2186" t="s">
        <v>267</v>
      </c>
      <c r="B2186" t="s">
        <v>269</v>
      </c>
      <c r="C2186" s="72" t="n">
        <v>2025</v>
      </c>
      <c r="D2186" t="s">
        <v>176</v>
      </c>
      <c r="E2186" s="73" t="n">
        <v>12347.3896757033</v>
      </c>
      <c r="F2186" s="74" t="n">
        <v>8975.30849722876</v>
      </c>
      <c r="G2186" s="75" t="n">
        <v>12347.3896757033</v>
      </c>
      <c r="H2186" s="76" t="n">
        <v>8975.30849722876</v>
      </c>
      <c r="I2186" s="77" t="str">
        <f>H2186-F2186</f>
      </c>
      <c r="J2186" s="78" t="str">
        <f>G2186-E2186</f>
      </c>
    </row>
    <row r="2187">
      <c r="A2187" t="s">
        <v>267</v>
      </c>
      <c r="B2187" t="s">
        <v>269</v>
      </c>
      <c r="C2187" s="72" t="n">
        <v>2025</v>
      </c>
      <c r="D2187" t="s">
        <v>238</v>
      </c>
      <c r="E2187" s="73" t="n">
        <v>1026043.97207164</v>
      </c>
      <c r="F2187" s="74" t="n">
        <v>129403.022830672</v>
      </c>
      <c r="G2187" s="75" t="n">
        <v>1026043.97207164</v>
      </c>
      <c r="H2187" s="76" t="n">
        <v>129403.022830672</v>
      </c>
      <c r="I2187" s="77" t="str">
        <f>H2187-F2187</f>
      </c>
      <c r="J2187" s="78" t="str">
        <f>G2187-E2187</f>
      </c>
    </row>
    <row r="2188">
      <c r="A2188" t="s">
        <v>267</v>
      </c>
      <c r="B2188" t="s">
        <v>269</v>
      </c>
      <c r="C2188" s="72" t="n">
        <v>2025</v>
      </c>
      <c r="D2188" t="s">
        <v>184</v>
      </c>
      <c r="E2188" s="73" t="n">
        <v>91684.5090142746</v>
      </c>
      <c r="F2188" s="74" t="n">
        <v>63318.7518252021</v>
      </c>
      <c r="G2188" s="75" t="n">
        <v>91684.5090142746</v>
      </c>
      <c r="H2188" s="76" t="n">
        <v>63318.7518252021</v>
      </c>
      <c r="I2188" s="77" t="str">
        <f>H2188-F2188</f>
      </c>
      <c r="J2188" s="78" t="str">
        <f>G2188-E2188</f>
      </c>
    </row>
    <row r="2189">
      <c r="A2189" t="s">
        <v>267</v>
      </c>
      <c r="B2189" t="s">
        <v>269</v>
      </c>
      <c r="C2189" s="72" t="n">
        <v>2025</v>
      </c>
      <c r="D2189" t="s">
        <v>187</v>
      </c>
      <c r="E2189" s="73" t="n">
        <v>327817.992111529</v>
      </c>
      <c r="F2189" s="74" t="n">
        <v>300216.82861998</v>
      </c>
      <c r="G2189" s="75" t="n">
        <v>327817.992111529</v>
      </c>
      <c r="H2189" s="76" t="n">
        <v>300216.82861998</v>
      </c>
      <c r="I2189" s="77" t="str">
        <f>H2189-F2189</f>
      </c>
      <c r="J2189" s="78" t="str">
        <f>G2189-E2189</f>
      </c>
    </row>
    <row r="2190">
      <c r="A2190" t="s">
        <v>267</v>
      </c>
      <c r="B2190" t="s">
        <v>269</v>
      </c>
      <c r="C2190" s="72" t="n">
        <v>2025</v>
      </c>
      <c r="D2190" t="s">
        <v>190</v>
      </c>
      <c r="E2190" s="73" t="n">
        <v>563964.128928848</v>
      </c>
      <c r="F2190" s="74" t="n">
        <v>321188.162987932</v>
      </c>
      <c r="G2190" s="75" t="n">
        <v>563964.128928848</v>
      </c>
      <c r="H2190" s="76" t="n">
        <v>321188.162987932</v>
      </c>
      <c r="I2190" s="77" t="str">
        <f>H2190-F2190</f>
      </c>
      <c r="J2190" s="78" t="str">
        <f>G2190-E2190</f>
      </c>
    </row>
    <row r="2191">
      <c r="A2191" t="s">
        <v>267</v>
      </c>
      <c r="B2191" t="s">
        <v>269</v>
      </c>
      <c r="C2191" s="72" t="n">
        <v>2025</v>
      </c>
      <c r="D2191" t="s">
        <v>193</v>
      </c>
      <c r="E2191" s="73" t="n">
        <v>396205.912797568</v>
      </c>
      <c r="F2191" s="74" t="n">
        <v>191954.713579597</v>
      </c>
      <c r="G2191" s="75" t="n">
        <v>396205.912797568</v>
      </c>
      <c r="H2191" s="76" t="n">
        <v>191954.713579597</v>
      </c>
      <c r="I2191" s="77" t="str">
        <f>H2191-F2191</f>
      </c>
      <c r="J2191" s="78" t="str">
        <f>G2191-E2191</f>
      </c>
    </row>
    <row r="2192">
      <c r="A2192" t="s">
        <v>267</v>
      </c>
      <c r="B2192" t="s">
        <v>269</v>
      </c>
      <c r="C2192" s="72" t="n">
        <v>2025</v>
      </c>
      <c r="D2192" t="s">
        <v>424</v>
      </c>
      <c r="E2192" s="73" t="n">
        <v>44024.8557845561</v>
      </c>
      <c r="F2192" s="74" t="n">
        <v>6961.02866951274</v>
      </c>
      <c r="G2192" s="75" t="n">
        <v>44024.8557845561</v>
      </c>
      <c r="H2192" s="76" t="n">
        <v>6961.02866951274</v>
      </c>
      <c r="I2192" s="77" t="str">
        <f>H2192-F2192</f>
      </c>
      <c r="J2192" s="78" t="str">
        <f>G2192-E2192</f>
      </c>
    </row>
    <row r="2193">
      <c r="A2193" t="s">
        <v>267</v>
      </c>
      <c r="B2193" t="s">
        <v>269</v>
      </c>
      <c r="C2193" s="72" t="n">
        <v>2026</v>
      </c>
      <c r="D2193" t="s">
        <v>176</v>
      </c>
      <c r="E2193" s="73" t="n">
        <v>12812.507871628</v>
      </c>
      <c r="F2193" s="74" t="n">
        <v>9308.26420910955</v>
      </c>
      <c r="G2193" s="75" t="n">
        <v>12812.507871628</v>
      </c>
      <c r="H2193" s="76" t="n">
        <v>9308.26420910955</v>
      </c>
      <c r="I2193" s="77" t="str">
        <f>H2193-F2193</f>
      </c>
      <c r="J2193" s="78" t="str">
        <f>G2193-E2193</f>
      </c>
    </row>
    <row r="2194">
      <c r="A2194" t="s">
        <v>267</v>
      </c>
      <c r="B2194" t="s">
        <v>269</v>
      </c>
      <c r="C2194" s="72" t="n">
        <v>2026</v>
      </c>
      <c r="D2194" t="s">
        <v>238</v>
      </c>
      <c r="E2194" s="73" t="n">
        <v>1040956.74283153</v>
      </c>
      <c r="F2194" s="74" t="n">
        <v>137191.896136923</v>
      </c>
      <c r="G2194" s="75" t="n">
        <v>1040956.74283153</v>
      </c>
      <c r="H2194" s="76" t="n">
        <v>137191.896136923</v>
      </c>
      <c r="I2194" s="77" t="str">
        <f>H2194-F2194</f>
      </c>
      <c r="J2194" s="78" t="str">
        <f>G2194-E2194</f>
      </c>
    </row>
    <row r="2195">
      <c r="A2195" t="s">
        <v>267</v>
      </c>
      <c r="B2195" t="s">
        <v>269</v>
      </c>
      <c r="C2195" s="72" t="n">
        <v>2026</v>
      </c>
      <c r="D2195" t="s">
        <v>184</v>
      </c>
      <c r="E2195" s="73" t="n">
        <v>95077.1833035265</v>
      </c>
      <c r="F2195" s="74" t="n">
        <v>65164.4704134017</v>
      </c>
      <c r="G2195" s="75" t="n">
        <v>95077.1833035265</v>
      </c>
      <c r="H2195" s="76" t="n">
        <v>65164.4704134017</v>
      </c>
      <c r="I2195" s="77" t="str">
        <f>H2195-F2195</f>
      </c>
      <c r="J2195" s="78" t="str">
        <f>G2195-E2195</f>
      </c>
    </row>
    <row r="2196">
      <c r="A2196" t="s">
        <v>267</v>
      </c>
      <c r="B2196" t="s">
        <v>269</v>
      </c>
      <c r="C2196" s="72" t="n">
        <v>2026</v>
      </c>
      <c r="D2196" t="s">
        <v>187</v>
      </c>
      <c r="E2196" s="73" t="n">
        <v>336875.423495605</v>
      </c>
      <c r="F2196" s="74" t="n">
        <v>308606.943045308</v>
      </c>
      <c r="G2196" s="75" t="n">
        <v>336875.423495605</v>
      </c>
      <c r="H2196" s="76" t="n">
        <v>308606.943045308</v>
      </c>
      <c r="I2196" s="77" t="str">
        <f>H2196-F2196</f>
      </c>
      <c r="J2196" s="78" t="str">
        <f>G2196-E2196</f>
      </c>
    </row>
    <row r="2197">
      <c r="A2197" t="s">
        <v>267</v>
      </c>
      <c r="B2197" t="s">
        <v>269</v>
      </c>
      <c r="C2197" s="72" t="n">
        <v>2026</v>
      </c>
      <c r="D2197" t="s">
        <v>190</v>
      </c>
      <c r="E2197" s="73" t="n">
        <v>580111.541957649</v>
      </c>
      <c r="F2197" s="74" t="n">
        <v>332896.185768311</v>
      </c>
      <c r="G2197" s="75" t="n">
        <v>580111.541957649</v>
      </c>
      <c r="H2197" s="76" t="n">
        <v>332896.185768311</v>
      </c>
      <c r="I2197" s="77" t="str">
        <f>H2197-F2197</f>
      </c>
      <c r="J2197" s="78" t="str">
        <f>G2197-E2197</f>
      </c>
    </row>
    <row r="2198">
      <c r="A2198" t="s">
        <v>267</v>
      </c>
      <c r="B2198" t="s">
        <v>269</v>
      </c>
      <c r="C2198" s="72" t="n">
        <v>2026</v>
      </c>
      <c r="D2198" t="s">
        <v>193</v>
      </c>
      <c r="E2198" s="73" t="n">
        <v>409829.87281699</v>
      </c>
      <c r="F2198" s="74" t="n">
        <v>202008.199783237</v>
      </c>
      <c r="G2198" s="75" t="n">
        <v>409829.87281699</v>
      </c>
      <c r="H2198" s="76" t="n">
        <v>202008.199783237</v>
      </c>
      <c r="I2198" s="77" t="str">
        <f>H2198-F2198</f>
      </c>
      <c r="J2198" s="78" t="str">
        <f>G2198-E2198</f>
      </c>
    </row>
    <row r="2199">
      <c r="A2199" t="s">
        <v>267</v>
      </c>
      <c r="B2199" t="s">
        <v>269</v>
      </c>
      <c r="C2199" s="72" t="n">
        <v>2026</v>
      </c>
      <c r="D2199" t="s">
        <v>424</v>
      </c>
      <c r="E2199" s="73" t="n">
        <v>44219.1707517653</v>
      </c>
      <c r="F2199" s="74" t="n">
        <v>7023.77126872287</v>
      </c>
      <c r="G2199" s="75" t="n">
        <v>44219.1707517653</v>
      </c>
      <c r="H2199" s="76" t="n">
        <v>7023.77126872287</v>
      </c>
      <c r="I2199" s="77" t="str">
        <f>H2199-F2199</f>
      </c>
      <c r="J2199" s="78" t="str">
        <f>G2199-E2199</f>
      </c>
    </row>
    <row r="2200">
      <c r="A2200" t="s">
        <v>267</v>
      </c>
      <c r="B2200" t="s">
        <v>269</v>
      </c>
      <c r="C2200" s="72" t="n">
        <v>2027</v>
      </c>
      <c r="D2200" t="s">
        <v>176</v>
      </c>
      <c r="E2200" s="73" t="n">
        <v>13273.481772584</v>
      </c>
      <c r="F2200" s="74" t="n">
        <v>9640.71530777017</v>
      </c>
      <c r="G2200" s="75" t="n">
        <v>13273.481772584</v>
      </c>
      <c r="H2200" s="76" t="n">
        <v>9640.71530777017</v>
      </c>
      <c r="I2200" s="77" t="str">
        <f>H2200-F2200</f>
      </c>
      <c r="J2200" s="78" t="str">
        <f>G2200-E2200</f>
      </c>
    </row>
    <row r="2201">
      <c r="A2201" t="s">
        <v>267</v>
      </c>
      <c r="B2201" t="s">
        <v>269</v>
      </c>
      <c r="C2201" s="72" t="n">
        <v>2027</v>
      </c>
      <c r="D2201" t="s">
        <v>238</v>
      </c>
      <c r="E2201" s="73" t="n">
        <v>1054909.08664016</v>
      </c>
      <c r="F2201" s="74" t="n">
        <v>145087.130776418</v>
      </c>
      <c r="G2201" s="75" t="n">
        <v>1055255.40879996</v>
      </c>
      <c r="H2201" s="76" t="n">
        <v>145087.130776418</v>
      </c>
      <c r="I2201" s="77" t="str">
        <f>H2201-F2201</f>
      </c>
      <c r="J2201" s="78" t="str">
        <f>G2201-E2201</f>
      </c>
    </row>
    <row r="2202">
      <c r="A2202" t="s">
        <v>267</v>
      </c>
      <c r="B2202" t="s">
        <v>269</v>
      </c>
      <c r="C2202" s="72" t="n">
        <v>2027</v>
      </c>
      <c r="D2202" t="s">
        <v>184</v>
      </c>
      <c r="E2202" s="73" t="n">
        <v>98448.8278839669</v>
      </c>
      <c r="F2202" s="74" t="n">
        <v>67068.0169086102</v>
      </c>
      <c r="G2202" s="75" t="n">
        <v>98448.8278839669</v>
      </c>
      <c r="H2202" s="76" t="n">
        <v>67068.0169086102</v>
      </c>
      <c r="I2202" s="77" t="str">
        <f>H2202-F2202</f>
      </c>
      <c r="J2202" s="78" t="str">
        <f>G2202-E2202</f>
      </c>
    </row>
    <row r="2203">
      <c r="A2203" t="s">
        <v>267</v>
      </c>
      <c r="B2203" t="s">
        <v>269</v>
      </c>
      <c r="C2203" s="72" t="n">
        <v>2027</v>
      </c>
      <c r="D2203" t="s">
        <v>187</v>
      </c>
      <c r="E2203" s="73" t="n">
        <v>345874.050163838</v>
      </c>
      <c r="F2203" s="74" t="n">
        <v>317119.553552555</v>
      </c>
      <c r="G2203" s="75" t="n">
        <v>345936.706716403</v>
      </c>
      <c r="H2203" s="76" t="n">
        <v>317119.553552555</v>
      </c>
      <c r="I2203" s="77" t="str">
        <f>H2203-F2203</f>
      </c>
      <c r="J2203" s="78" t="str">
        <f>G2203-E2203</f>
      </c>
    </row>
    <row r="2204">
      <c r="A2204" t="s">
        <v>267</v>
      </c>
      <c r="B2204" t="s">
        <v>269</v>
      </c>
      <c r="C2204" s="72" t="n">
        <v>2027</v>
      </c>
      <c r="D2204" t="s">
        <v>190</v>
      </c>
      <c r="E2204" s="73" t="n">
        <v>595842.90791716</v>
      </c>
      <c r="F2204" s="74" t="n">
        <v>344517.274659827</v>
      </c>
      <c r="G2204" s="75" t="n">
        <v>596148.832334676</v>
      </c>
      <c r="H2204" s="76" t="n">
        <v>344517.274659827</v>
      </c>
      <c r="I2204" s="77" t="str">
        <f>H2204-F2204</f>
      </c>
      <c r="J2204" s="78" t="str">
        <f>G2204-E2204</f>
      </c>
    </row>
    <row r="2205">
      <c r="A2205" t="s">
        <v>267</v>
      </c>
      <c r="B2205" t="s">
        <v>269</v>
      </c>
      <c r="C2205" s="72" t="n">
        <v>2027</v>
      </c>
      <c r="D2205" t="s">
        <v>193</v>
      </c>
      <c r="E2205" s="73" t="n">
        <v>423339.721077053</v>
      </c>
      <c r="F2205" s="74" t="n">
        <v>211995.488024171</v>
      </c>
      <c r="G2205" s="75" t="n">
        <v>423485.101321999</v>
      </c>
      <c r="H2205" s="76" t="n">
        <v>211995.488024171</v>
      </c>
      <c r="I2205" s="77" t="str">
        <f>H2205-F2205</f>
      </c>
      <c r="J2205" s="78" t="str">
        <f>G2205-E2205</f>
      </c>
    </row>
    <row r="2206">
      <c r="A2206" t="s">
        <v>267</v>
      </c>
      <c r="B2206" t="s">
        <v>269</v>
      </c>
      <c r="C2206" s="72" t="n">
        <v>2027</v>
      </c>
      <c r="D2206" t="s">
        <v>424</v>
      </c>
      <c r="E2206" s="73" t="n">
        <v>44384.2018393689</v>
      </c>
      <c r="F2206" s="74" t="n">
        <v>7080.05700568168</v>
      </c>
      <c r="G2206" s="75" t="n">
        <v>44384.2018393689</v>
      </c>
      <c r="H2206" s="76" t="n">
        <v>7080.05700568168</v>
      </c>
      <c r="I2206" s="77" t="str">
        <f>H2206-F2206</f>
      </c>
      <c r="J2206" s="78" t="str">
        <f>G2206-E2206</f>
      </c>
    </row>
    <row r="2207">
      <c r="A2207" t="s">
        <v>267</v>
      </c>
      <c r="B2207" t="s">
        <v>269</v>
      </c>
      <c r="C2207" s="72" t="n">
        <v>2028</v>
      </c>
      <c r="D2207" t="s">
        <v>176</v>
      </c>
      <c r="E2207" s="73" t="n">
        <v>13729.5005000864</v>
      </c>
      <c r="F2207" s="74" t="n">
        <v>9971.45472163389</v>
      </c>
      <c r="G2207" s="75" t="n">
        <v>13729.5005000864</v>
      </c>
      <c r="H2207" s="76" t="n">
        <v>9971.45472163389</v>
      </c>
      <c r="I2207" s="77" t="str">
        <f>H2207-F2207</f>
      </c>
      <c r="J2207" s="78" t="str">
        <f>G2207-E2207</f>
      </c>
    </row>
    <row r="2208">
      <c r="A2208" t="s">
        <v>267</v>
      </c>
      <c r="B2208" t="s">
        <v>269</v>
      </c>
      <c r="C2208" s="72" t="n">
        <v>2028</v>
      </c>
      <c r="D2208" t="s">
        <v>238</v>
      </c>
      <c r="E2208" s="73" t="n">
        <v>1068327.33956651</v>
      </c>
      <c r="F2208" s="74" t="n">
        <v>153075.516629969</v>
      </c>
      <c r="G2208" s="75" t="n">
        <v>1069005.07088018</v>
      </c>
      <c r="H2208" s="76" t="n">
        <v>153077.867387244</v>
      </c>
      <c r="I2208" s="77" t="str">
        <f>H2208-F2208</f>
      </c>
      <c r="J2208" s="78" t="str">
        <f>G2208-E2208</f>
      </c>
    </row>
    <row r="2209">
      <c r="A2209" t="s">
        <v>267</v>
      </c>
      <c r="B2209" t="s">
        <v>269</v>
      </c>
      <c r="C2209" s="72" t="n">
        <v>2028</v>
      </c>
      <c r="D2209" t="s">
        <v>184</v>
      </c>
      <c r="E2209" s="73" t="n">
        <v>101797.96761407</v>
      </c>
      <c r="F2209" s="74" t="n">
        <v>69019.933123165</v>
      </c>
      <c r="G2209" s="75" t="n">
        <v>101797.96761407</v>
      </c>
      <c r="H2209" s="76" t="n">
        <v>69019.933123165</v>
      </c>
      <c r="I2209" s="77" t="str">
        <f>H2209-F2209</f>
      </c>
      <c r="J2209" s="78" t="str">
        <f>G2209-E2209</f>
      </c>
    </row>
    <row r="2210">
      <c r="A2210" t="s">
        <v>267</v>
      </c>
      <c r="B2210" t="s">
        <v>269</v>
      </c>
      <c r="C2210" s="72" t="n">
        <v>2028</v>
      </c>
      <c r="D2210" t="s">
        <v>187</v>
      </c>
      <c r="E2210" s="73" t="n">
        <v>354841.095400239</v>
      </c>
      <c r="F2210" s="74" t="n">
        <v>325662.898034366</v>
      </c>
      <c r="G2210" s="75" t="n">
        <v>354965.535819133</v>
      </c>
      <c r="H2210" s="76" t="n">
        <v>325690.683016893</v>
      </c>
      <c r="I2210" s="77" t="str">
        <f>H2210-F2210</f>
      </c>
      <c r="J2210" s="78" t="str">
        <f>G2210-E2210</f>
      </c>
    </row>
    <row r="2211">
      <c r="A2211" t="s">
        <v>267</v>
      </c>
      <c r="B2211" t="s">
        <v>269</v>
      </c>
      <c r="C2211" s="72" t="n">
        <v>2028</v>
      </c>
      <c r="D2211" t="s">
        <v>190</v>
      </c>
      <c r="E2211" s="73" t="n">
        <v>611424.963601976</v>
      </c>
      <c r="F2211" s="74" t="n">
        <v>356053.557168739</v>
      </c>
      <c r="G2211" s="75" t="n">
        <v>612031.659444751</v>
      </c>
      <c r="H2211" s="76" t="n">
        <v>356073.571438059</v>
      </c>
      <c r="I2211" s="77" t="str">
        <f>H2211-F2211</f>
      </c>
      <c r="J2211" s="78" t="str">
        <f>G2211-E2211</f>
      </c>
    </row>
    <row r="2212">
      <c r="A2212" t="s">
        <v>267</v>
      </c>
      <c r="B2212" t="s">
        <v>269</v>
      </c>
      <c r="C2212" s="72" t="n">
        <v>2028</v>
      </c>
      <c r="D2212" t="s">
        <v>193</v>
      </c>
      <c r="E2212" s="73" t="n">
        <v>436869.881467062</v>
      </c>
      <c r="F2212" s="74" t="n">
        <v>221897.438246346</v>
      </c>
      <c r="G2212" s="75" t="n">
        <v>437159.755191958</v>
      </c>
      <c r="H2212" s="76" t="n">
        <v>221908.958563303</v>
      </c>
      <c r="I2212" s="77" t="str">
        <f>H2212-F2212</f>
      </c>
      <c r="J2212" s="78" t="str">
        <f>G2212-E2212</f>
      </c>
    </row>
    <row r="2213">
      <c r="A2213" t="s">
        <v>267</v>
      </c>
      <c r="B2213" t="s">
        <v>269</v>
      </c>
      <c r="C2213" s="72" t="n">
        <v>2028</v>
      </c>
      <c r="D2213" t="s">
        <v>424</v>
      </c>
      <c r="E2213" s="73" t="n">
        <v>44510.0649629929</v>
      </c>
      <c r="F2213" s="74" t="n">
        <v>7131.07016356498</v>
      </c>
      <c r="G2213" s="75" t="n">
        <v>44510.0649629929</v>
      </c>
      <c r="H2213" s="76" t="n">
        <v>7131.07016356498</v>
      </c>
      <c r="I2213" s="77" t="str">
        <f>H2213-F2213</f>
      </c>
      <c r="J2213" s="78" t="str">
        <f>G2213-E2213</f>
      </c>
    </row>
    <row r="2214">
      <c r="A2214" t="s">
        <v>267</v>
      </c>
      <c r="B2214" t="s">
        <v>269</v>
      </c>
      <c r="C2214" s="72" t="n">
        <v>2029</v>
      </c>
      <c r="D2214" t="s">
        <v>176</v>
      </c>
      <c r="E2214" s="73" t="n">
        <v>14181.4468743893</v>
      </c>
      <c r="F2214" s="74" t="n">
        <v>10301.2295792609</v>
      </c>
      <c r="G2214" s="75" t="n">
        <v>14181.4236375467</v>
      </c>
      <c r="H2214" s="76" t="n">
        <v>10301.2295792609</v>
      </c>
      <c r="I2214" s="77" t="str">
        <f>H2214-F2214</f>
      </c>
      <c r="J2214" s="78" t="str">
        <f>G2214-E2214</f>
      </c>
    </row>
    <row r="2215">
      <c r="A2215" t="s">
        <v>267</v>
      </c>
      <c r="B2215" t="s">
        <v>269</v>
      </c>
      <c r="C2215" s="72" t="n">
        <v>2029</v>
      </c>
      <c r="D2215" t="s">
        <v>238</v>
      </c>
      <c r="E2215" s="73" t="n">
        <v>1081258.47181884</v>
      </c>
      <c r="F2215" s="74" t="n">
        <v>161154.019370165</v>
      </c>
      <c r="G2215" s="75" t="n">
        <v>1082252.39423074</v>
      </c>
      <c r="H2215" s="76" t="n">
        <v>161161.062132093</v>
      </c>
      <c r="I2215" s="77" t="str">
        <f>H2215-F2215</f>
      </c>
      <c r="J2215" s="78" t="str">
        <f>G2215-E2215</f>
      </c>
    </row>
    <row r="2216">
      <c r="A2216" t="s">
        <v>267</v>
      </c>
      <c r="B2216" t="s">
        <v>269</v>
      </c>
      <c r="C2216" s="72" t="n">
        <v>2029</v>
      </c>
      <c r="D2216" t="s">
        <v>184</v>
      </c>
      <c r="E2216" s="73" t="n">
        <v>105114.829354325</v>
      </c>
      <c r="F2216" s="74" t="n">
        <v>71042.0544294395</v>
      </c>
      <c r="G2216" s="75" t="n">
        <v>105114.693344183</v>
      </c>
      <c r="H2216" s="76" t="n">
        <v>71042.0544294395</v>
      </c>
      <c r="I2216" s="77" t="str">
        <f>H2216-F2216</f>
      </c>
      <c r="J2216" s="78" t="str">
        <f>G2216-E2216</f>
      </c>
    </row>
    <row r="2217">
      <c r="A2217" t="s">
        <v>267</v>
      </c>
      <c r="B2217" t="s">
        <v>269</v>
      </c>
      <c r="C2217" s="72" t="n">
        <v>2029</v>
      </c>
      <c r="D2217" t="s">
        <v>187</v>
      </c>
      <c r="E2217" s="73" t="n">
        <v>363711.140550412</v>
      </c>
      <c r="F2217" s="74" t="n">
        <v>334225.860768564</v>
      </c>
      <c r="G2217" s="75" t="n">
        <v>363896.204247168</v>
      </c>
      <c r="H2217" s="76" t="n">
        <v>334292.677138926</v>
      </c>
      <c r="I2217" s="77" t="str">
        <f>H2217-F2217</f>
      </c>
      <c r="J2217" s="78" t="str">
        <f>G2217-E2217</f>
      </c>
    </row>
    <row r="2218">
      <c r="A2218" t="s">
        <v>267</v>
      </c>
      <c r="B2218" t="s">
        <v>269</v>
      </c>
      <c r="C2218" s="72" t="n">
        <v>2029</v>
      </c>
      <c r="D2218" t="s">
        <v>190</v>
      </c>
      <c r="E2218" s="73" t="n">
        <v>626825.009614938</v>
      </c>
      <c r="F2218" s="74" t="n">
        <v>367517.009318855</v>
      </c>
      <c r="G2218" s="75" t="n">
        <v>627726.336898794</v>
      </c>
      <c r="H2218" s="76" t="n">
        <v>367575.22274735</v>
      </c>
      <c r="I2218" s="77" t="str">
        <f>H2218-F2218</f>
      </c>
      <c r="J2218" s="78" t="str">
        <f>G2218-E2218</f>
      </c>
    </row>
    <row r="2219">
      <c r="A2219" t="s">
        <v>267</v>
      </c>
      <c r="B2219" t="s">
        <v>269</v>
      </c>
      <c r="C2219" s="72" t="n">
        <v>2029</v>
      </c>
      <c r="D2219" t="s">
        <v>193</v>
      </c>
      <c r="E2219" s="73" t="n">
        <v>450353.411544121</v>
      </c>
      <c r="F2219" s="74" t="n">
        <v>231675.675470332</v>
      </c>
      <c r="G2219" s="75" t="n">
        <v>450786.134013569</v>
      </c>
      <c r="H2219" s="76" t="n">
        <v>231708.01887569</v>
      </c>
      <c r="I2219" s="77" t="str">
        <f>H2219-F2219</f>
      </c>
      <c r="J2219" s="78" t="str">
        <f>G2219-E2219</f>
      </c>
    </row>
    <row r="2220">
      <c r="A2220" t="s">
        <v>267</v>
      </c>
      <c r="B2220" t="s">
        <v>269</v>
      </c>
      <c r="C2220" s="72" t="n">
        <v>2029</v>
      </c>
      <c r="D2220" t="s">
        <v>424</v>
      </c>
      <c r="E2220" s="73" t="n">
        <v>44600.2642562334</v>
      </c>
      <c r="F2220" s="74" t="n">
        <v>7178.21931597252</v>
      </c>
      <c r="G2220" s="75" t="n">
        <v>44600.2614435955</v>
      </c>
      <c r="H2220" s="76" t="n">
        <v>7178.21931597252</v>
      </c>
      <c r="I2220" s="77" t="str">
        <f>H2220-F2220</f>
      </c>
      <c r="J2220" s="78" t="str">
        <f>G2220-E2220</f>
      </c>
    </row>
    <row r="2221">
      <c r="A2221" t="s">
        <v>267</v>
      </c>
      <c r="B2221" t="s">
        <v>269</v>
      </c>
      <c r="C2221" s="72" t="n">
        <v>2030</v>
      </c>
      <c r="D2221" t="s">
        <v>176</v>
      </c>
      <c r="E2221" s="73" t="n">
        <v>14631.0110761835</v>
      </c>
      <c r="F2221" s="74" t="n">
        <v>10630.2748654672</v>
      </c>
      <c r="G2221" s="75" t="n">
        <v>14630.9263575645</v>
      </c>
      <c r="H2221" s="76" t="n">
        <v>10630.2702680602</v>
      </c>
      <c r="I2221" s="77" t="str">
        <f>H2221-F2221</f>
      </c>
      <c r="J2221" s="78" t="str">
        <f>G2221-E2221</f>
      </c>
    </row>
    <row r="2222">
      <c r="A2222" t="s">
        <v>267</v>
      </c>
      <c r="B2222" t="s">
        <v>269</v>
      </c>
      <c r="C2222" s="72" t="n">
        <v>2030</v>
      </c>
      <c r="D2222" t="s">
        <v>238</v>
      </c>
      <c r="E2222" s="73" t="n">
        <v>1093662.06394579</v>
      </c>
      <c r="F2222" s="74" t="n">
        <v>169300.795192367</v>
      </c>
      <c r="G2222" s="75" t="n">
        <v>1094956.84444967</v>
      </c>
      <c r="H2222" s="76" t="n">
        <v>169314.834038038</v>
      </c>
      <c r="I2222" s="77" t="str">
        <f>H2222-F2222</f>
      </c>
      <c r="J2222" s="78" t="str">
        <f>G2222-E2222</f>
      </c>
    </row>
    <row r="2223">
      <c r="A2223" t="s">
        <v>267</v>
      </c>
      <c r="B2223" t="s">
        <v>269</v>
      </c>
      <c r="C2223" s="72" t="n">
        <v>2030</v>
      </c>
      <c r="D2223" t="s">
        <v>184</v>
      </c>
      <c r="E2223" s="73" t="n">
        <v>108394.27286849</v>
      </c>
      <c r="F2223" s="74" t="n">
        <v>73120.8220776158</v>
      </c>
      <c r="G2223" s="75" t="n">
        <v>108393.77376612</v>
      </c>
      <c r="H2223" s="76" t="n">
        <v>73120.8011068864</v>
      </c>
      <c r="I2223" s="77" t="str">
        <f>H2223-F2223</f>
      </c>
      <c r="J2223" s="78" t="str">
        <f>G2223-E2223</f>
      </c>
    </row>
    <row r="2224">
      <c r="A2224" t="s">
        <v>267</v>
      </c>
      <c r="B2224" t="s">
        <v>269</v>
      </c>
      <c r="C2224" s="72" t="n">
        <v>2030</v>
      </c>
      <c r="D2224" t="s">
        <v>187</v>
      </c>
      <c r="E2224" s="73" t="n">
        <v>372497.506322616</v>
      </c>
      <c r="F2224" s="74" t="n">
        <v>342777.801958623</v>
      </c>
      <c r="G2224" s="75" t="n">
        <v>372741.795461264</v>
      </c>
      <c r="H2224" s="76" t="n">
        <v>342889.635366394</v>
      </c>
      <c r="I2224" s="77" t="str">
        <f>H2224-F2224</f>
      </c>
      <c r="J2224" s="78" t="str">
        <f>G2224-E2224</f>
      </c>
    </row>
    <row r="2225">
      <c r="A2225" t="s">
        <v>267</v>
      </c>
      <c r="B2225" t="s">
        <v>269</v>
      </c>
      <c r="C2225" s="72" t="n">
        <v>2030</v>
      </c>
      <c r="D2225" t="s">
        <v>190</v>
      </c>
      <c r="E2225" s="73" t="n">
        <v>641965.21706326</v>
      </c>
      <c r="F2225" s="74" t="n">
        <v>378827.466497381</v>
      </c>
      <c r="G2225" s="75" t="n">
        <v>643154.211305628</v>
      </c>
      <c r="H2225" s="76" t="n">
        <v>378940.231267445</v>
      </c>
      <c r="I2225" s="77" t="str">
        <f>H2225-F2225</f>
      </c>
      <c r="J2225" s="78" t="str">
        <f>G2225-E2225</f>
      </c>
    </row>
    <row r="2226">
      <c r="A2226" t="s">
        <v>267</v>
      </c>
      <c r="B2226" t="s">
        <v>269</v>
      </c>
      <c r="C2226" s="72" t="n">
        <v>2030</v>
      </c>
      <c r="D2226" t="s">
        <v>193</v>
      </c>
      <c r="E2226" s="73" t="n">
        <v>463787.139290524</v>
      </c>
      <c r="F2226" s="74" t="n">
        <v>241249.309862981</v>
      </c>
      <c r="G2226" s="75" t="n">
        <v>464360.518103772</v>
      </c>
      <c r="H2226" s="76" t="n">
        <v>241310.309903655</v>
      </c>
      <c r="I2226" s="77" t="str">
        <f>H2226-F2226</f>
      </c>
      <c r="J2226" s="78" t="str">
        <f>G2226-E2226</f>
      </c>
    </row>
    <row r="2227">
      <c r="A2227" t="s">
        <v>267</v>
      </c>
      <c r="B2227" t="s">
        <v>269</v>
      </c>
      <c r="C2227" s="72" t="n">
        <v>2030</v>
      </c>
      <c r="D2227" t="s">
        <v>424</v>
      </c>
      <c r="E2227" s="73" t="n">
        <v>44647.2791574265</v>
      </c>
      <c r="F2227" s="74" t="n">
        <v>7223.11035958578</v>
      </c>
      <c r="G2227" s="75" t="n">
        <v>44647.268915283</v>
      </c>
      <c r="H2227" s="76" t="n">
        <v>7223.11031474236</v>
      </c>
      <c r="I2227" s="77" t="str">
        <f>H2227-F2227</f>
      </c>
      <c r="J2227" s="78" t="str">
        <f>G2227-E2227</f>
      </c>
    </row>
    <row r="2228">
      <c r="A2228" t="s">
        <v>267</v>
      </c>
      <c r="B2228" t="s">
        <v>269</v>
      </c>
      <c r="C2228" s="72" t="n">
        <v>2031</v>
      </c>
      <c r="D2228" t="s">
        <v>176</v>
      </c>
      <c r="E2228" s="73" t="n">
        <v>15080.5789474886</v>
      </c>
      <c r="F2228" s="74" t="n">
        <v>10955.4455052959</v>
      </c>
      <c r="G2228" s="75" t="n">
        <v>15080.3825495532</v>
      </c>
      <c r="H2228" s="76" t="n">
        <v>10955.4255331558</v>
      </c>
      <c r="I2228" s="77" t="str">
        <f>H2228-F2228</f>
      </c>
      <c r="J2228" s="78" t="str">
        <f>G2228-E2228</f>
      </c>
    </row>
    <row r="2229">
      <c r="A2229" t="s">
        <v>267</v>
      </c>
      <c r="B2229" t="s">
        <v>269</v>
      </c>
      <c r="C2229" s="72" t="n">
        <v>2031</v>
      </c>
      <c r="D2229" t="s">
        <v>238</v>
      </c>
      <c r="E2229" s="73" t="n">
        <v>1105447.22809369</v>
      </c>
      <c r="F2229" s="74" t="n">
        <v>177487.627210866</v>
      </c>
      <c r="G2229" s="75" t="n">
        <v>1107027.69162894</v>
      </c>
      <c r="H2229" s="76" t="n">
        <v>177510.906196669</v>
      </c>
      <c r="I2229" s="77" t="str">
        <f>H2229-F2229</f>
      </c>
      <c r="J2229" s="78" t="str">
        <f>G2229-E2229</f>
      </c>
    </row>
    <row r="2230">
      <c r="A2230" t="s">
        <v>267</v>
      </c>
      <c r="B2230" t="s">
        <v>269</v>
      </c>
      <c r="C2230" s="72" t="n">
        <v>2031</v>
      </c>
      <c r="D2230" t="s">
        <v>184</v>
      </c>
      <c r="E2230" s="73" t="n">
        <v>111634.109556785</v>
      </c>
      <c r="F2230" s="74" t="n">
        <v>75230.3119036001</v>
      </c>
      <c r="G2230" s="75" t="n">
        <v>111632.947554352</v>
      </c>
      <c r="H2230" s="76" t="n">
        <v>75230.219664338</v>
      </c>
      <c r="I2230" s="77" t="str">
        <f>H2230-F2230</f>
      </c>
      <c r="J2230" s="78" t="str">
        <f>G2230-E2230</f>
      </c>
    </row>
    <row r="2231">
      <c r="A2231" t="s">
        <v>267</v>
      </c>
      <c r="B2231" t="s">
        <v>269</v>
      </c>
      <c r="C2231" s="72" t="n">
        <v>2031</v>
      </c>
      <c r="D2231" t="s">
        <v>187</v>
      </c>
      <c r="E2231" s="73" t="n">
        <v>381168.377355151</v>
      </c>
      <c r="F2231" s="74" t="n">
        <v>351272.423682797</v>
      </c>
      <c r="G2231" s="75" t="n">
        <v>381470.266781021</v>
      </c>
      <c r="H2231" s="76" t="n">
        <v>351432.518672951</v>
      </c>
      <c r="I2231" s="77" t="str">
        <f>H2231-F2231</f>
      </c>
      <c r="J2231" s="78" t="str">
        <f>G2231-E2231</f>
      </c>
    </row>
    <row r="2232">
      <c r="A2232" t="s">
        <v>267</v>
      </c>
      <c r="B2232" t="s">
        <v>269</v>
      </c>
      <c r="C2232" s="72" t="n">
        <v>2031</v>
      </c>
      <c r="D2232" t="s">
        <v>190</v>
      </c>
      <c r="E2232" s="73" t="n">
        <v>656813.041475227</v>
      </c>
      <c r="F2232" s="74" t="n">
        <v>389999.130806722</v>
      </c>
      <c r="G2232" s="75" t="n">
        <v>658282.149268814</v>
      </c>
      <c r="H2232" s="76" t="n">
        <v>390181.003020302</v>
      </c>
      <c r="I2232" s="77" t="str">
        <f>H2232-F2232</f>
      </c>
      <c r="J2232" s="78" t="str">
        <f>G2232-E2232</f>
      </c>
    </row>
    <row r="2233">
      <c r="A2233" t="s">
        <v>267</v>
      </c>
      <c r="B2233" t="s">
        <v>269</v>
      </c>
      <c r="C2233" s="72" t="n">
        <v>2031</v>
      </c>
      <c r="D2233" t="s">
        <v>193</v>
      </c>
      <c r="E2233" s="73" t="n">
        <v>477066.900249315</v>
      </c>
      <c r="F2233" s="74" t="n">
        <v>250719.443704085</v>
      </c>
      <c r="G2233" s="75" t="n">
        <v>477778.146047482</v>
      </c>
      <c r="H2233" s="76" t="n">
        <v>250815.782662592</v>
      </c>
      <c r="I2233" s="77" t="str">
        <f>H2233-F2233</f>
      </c>
      <c r="J2233" s="78" t="str">
        <f>G2233-E2233</f>
      </c>
    </row>
    <row r="2234">
      <c r="A2234" t="s">
        <v>267</v>
      </c>
      <c r="B2234" t="s">
        <v>269</v>
      </c>
      <c r="C2234" s="72" t="n">
        <v>2031</v>
      </c>
      <c r="D2234" t="s">
        <v>424</v>
      </c>
      <c r="E2234" s="73" t="n">
        <v>44640.3709361287</v>
      </c>
      <c r="F2234" s="74" t="n">
        <v>7266.76619990263</v>
      </c>
      <c r="G2234" s="75" t="n">
        <v>44640.3472954778</v>
      </c>
      <c r="H2234" s="76" t="n">
        <v>7266.76600020754</v>
      </c>
      <c r="I2234" s="77" t="str">
        <f>H2234-F2234</f>
      </c>
      <c r="J2234" s="78" t="str">
        <f>G2234-E2234</f>
      </c>
    </row>
    <row r="2235">
      <c r="A2235" t="s">
        <v>267</v>
      </c>
      <c r="B2235" t="s">
        <v>269</v>
      </c>
      <c r="C2235" s="72" t="n">
        <v>2032</v>
      </c>
      <c r="D2235" t="s">
        <v>176</v>
      </c>
      <c r="E2235" s="73" t="n">
        <v>15531.6281593928</v>
      </c>
      <c r="F2235" s="74" t="n">
        <v>11274.5481838449</v>
      </c>
      <c r="G2235" s="75" t="n">
        <v>15531.2601955666</v>
      </c>
      <c r="H2235" s="76" t="n">
        <v>11274.4954497352</v>
      </c>
      <c r="I2235" s="77" t="str">
        <f>H2235-F2235</f>
      </c>
      <c r="J2235" s="78" t="str">
        <f>G2235-E2235</f>
      </c>
    </row>
    <row r="2236">
      <c r="A2236" t="s">
        <v>267</v>
      </c>
      <c r="B2236" t="s">
        <v>269</v>
      </c>
      <c r="C2236" s="72" t="n">
        <v>2032</v>
      </c>
      <c r="D2236" t="s">
        <v>238</v>
      </c>
      <c r="E2236" s="73" t="n">
        <v>1116625.95918618</v>
      </c>
      <c r="F2236" s="74" t="n">
        <v>185691.315365528</v>
      </c>
      <c r="G2236" s="75" t="n">
        <v>1118477.32749824</v>
      </c>
      <c r="H2236" s="76" t="n">
        <v>185725.999058801</v>
      </c>
      <c r="I2236" s="77" t="str">
        <f>H2236-F2236</f>
      </c>
      <c r="J2236" s="78" t="str">
        <f>G2236-E2236</f>
      </c>
    </row>
    <row r="2237">
      <c r="A2237" t="s">
        <v>267</v>
      </c>
      <c r="B2237" t="s">
        <v>269</v>
      </c>
      <c r="C2237" s="72" t="n">
        <v>2032</v>
      </c>
      <c r="D2237" t="s">
        <v>184</v>
      </c>
      <c r="E2237" s="73" t="n">
        <v>114837.405745125</v>
      </c>
      <c r="F2237" s="74" t="n">
        <v>77353.307228436</v>
      </c>
      <c r="G2237" s="75" t="n">
        <v>114835.221802653</v>
      </c>
      <c r="H2237" s="76" t="n">
        <v>77353.0610239329</v>
      </c>
      <c r="I2237" s="77" t="str">
        <f>H2237-F2237</f>
      </c>
      <c r="J2237" s="78" t="str">
        <f>G2237-E2237</f>
      </c>
    </row>
    <row r="2238">
      <c r="A2238" t="s">
        <v>267</v>
      </c>
      <c r="B2238" t="s">
        <v>269</v>
      </c>
      <c r="C2238" s="72" t="n">
        <v>2032</v>
      </c>
      <c r="D2238" t="s">
        <v>187</v>
      </c>
      <c r="E2238" s="73" t="n">
        <v>389640.771331959</v>
      </c>
      <c r="F2238" s="74" t="n">
        <v>359624.607465872</v>
      </c>
      <c r="G2238" s="75" t="n">
        <v>389998.376688754</v>
      </c>
      <c r="H2238" s="76" t="n">
        <v>359834.546852866</v>
      </c>
      <c r="I2238" s="77" t="str">
        <f>H2238-F2238</f>
      </c>
      <c r="J2238" s="78" t="str">
        <f>G2238-E2238</f>
      </c>
    </row>
    <row r="2239">
      <c r="A2239" t="s">
        <v>267</v>
      </c>
      <c r="B2239" t="s">
        <v>269</v>
      </c>
      <c r="C2239" s="72" t="n">
        <v>2032</v>
      </c>
      <c r="D2239" t="s">
        <v>190</v>
      </c>
      <c r="E2239" s="73" t="n">
        <v>671392.54202027</v>
      </c>
      <c r="F2239" s="74" t="n">
        <v>401054.472741343</v>
      </c>
      <c r="G2239" s="75" t="n">
        <v>673133.888273266</v>
      </c>
      <c r="H2239" s="76" t="n">
        <v>401318.286193472</v>
      </c>
      <c r="I2239" s="77" t="str">
        <f>H2239-F2239</f>
      </c>
      <c r="J2239" s="78" t="str">
        <f>G2239-E2239</f>
      </c>
    </row>
    <row r="2240">
      <c r="A2240" t="s">
        <v>267</v>
      </c>
      <c r="B2240" t="s">
        <v>269</v>
      </c>
      <c r="C2240" s="72" t="n">
        <v>2032</v>
      </c>
      <c r="D2240" t="s">
        <v>193</v>
      </c>
      <c r="E2240" s="73" t="n">
        <v>490059.046779432</v>
      </c>
      <c r="F2240" s="74" t="n">
        <v>260209.527543894</v>
      </c>
      <c r="G2240" s="75" t="n">
        <v>490904.70344578</v>
      </c>
      <c r="H2240" s="76" t="n">
        <v>260346.937343717</v>
      </c>
      <c r="I2240" s="77" t="str">
        <f>H2240-F2240</f>
      </c>
      <c r="J2240" s="78" t="str">
        <f>G2240-E2240</f>
      </c>
    </row>
    <row r="2241">
      <c r="A2241" t="s">
        <v>267</v>
      </c>
      <c r="B2241" t="s">
        <v>269</v>
      </c>
      <c r="C2241" s="72" t="n">
        <v>2032</v>
      </c>
      <c r="D2241" t="s">
        <v>424</v>
      </c>
      <c r="E2241" s="73" t="n">
        <v>44583.289539496</v>
      </c>
      <c r="F2241" s="74" t="n">
        <v>7308.69010673804</v>
      </c>
      <c r="G2241" s="75" t="n">
        <v>44583.2455015959</v>
      </c>
      <c r="H2241" s="76" t="n">
        <v>7308.68956833998</v>
      </c>
      <c r="I2241" s="77" t="str">
        <f>H2241-F2241</f>
      </c>
      <c r="J2241" s="78" t="str">
        <f>G2241-E2241</f>
      </c>
    </row>
    <row r="2242">
      <c r="A2242" t="s">
        <v>267</v>
      </c>
      <c r="B2242" t="s">
        <v>269</v>
      </c>
      <c r="C2242" s="72" t="n">
        <v>2033</v>
      </c>
      <c r="D2242" t="s">
        <v>176</v>
      </c>
      <c r="E2242" s="73" t="n">
        <v>15984.3251732062</v>
      </c>
      <c r="F2242" s="74" t="n">
        <v>11587.0427307514</v>
      </c>
      <c r="G2242" s="75" t="n">
        <v>15983.7175379286</v>
      </c>
      <c r="H2242" s="76" t="n">
        <v>11586.9335708044</v>
      </c>
      <c r="I2242" s="77" t="str">
        <f>H2242-F2242</f>
      </c>
      <c r="J2242" s="78" t="str">
        <f>G2242-E2242</f>
      </c>
    </row>
    <row r="2243">
      <c r="A2243" t="s">
        <v>267</v>
      </c>
      <c r="B2243" t="s">
        <v>269</v>
      </c>
      <c r="C2243" s="72" t="n">
        <v>2033</v>
      </c>
      <c r="D2243" t="s">
        <v>238</v>
      </c>
      <c r="E2243" s="73" t="n">
        <v>1127125.80803949</v>
      </c>
      <c r="F2243" s="74" t="n">
        <v>193905.057052156</v>
      </c>
      <c r="G2243" s="75" t="n">
        <v>1129233.47845058</v>
      </c>
      <c r="H2243" s="76" t="n">
        <v>193953.224223645</v>
      </c>
      <c r="I2243" s="77" t="str">
        <f>H2243-F2243</f>
      </c>
      <c r="J2243" s="78" t="str">
        <f>G2243-E2243</f>
      </c>
    </row>
    <row r="2244">
      <c r="A2244" t="s">
        <v>267</v>
      </c>
      <c r="B2244" t="s">
        <v>269</v>
      </c>
      <c r="C2244" s="72" t="n">
        <v>2033</v>
      </c>
      <c r="D2244" t="s">
        <v>184</v>
      </c>
      <c r="E2244" s="73" t="n">
        <v>118002.349845004</v>
      </c>
      <c r="F2244" s="74" t="n">
        <v>79480.9915165183</v>
      </c>
      <c r="G2244" s="75" t="n">
        <v>117998.738437442</v>
      </c>
      <c r="H2244" s="76" t="n">
        <v>79480.4761690429</v>
      </c>
      <c r="I2244" s="77" t="str">
        <f>H2244-F2244</f>
      </c>
      <c r="J2244" s="78" t="str">
        <f>G2244-E2244</f>
      </c>
    </row>
    <row r="2245">
      <c r="A2245" t="s">
        <v>267</v>
      </c>
      <c r="B2245" t="s">
        <v>269</v>
      </c>
      <c r="C2245" s="72" t="n">
        <v>2033</v>
      </c>
      <c r="D2245" t="s">
        <v>187</v>
      </c>
      <c r="E2245" s="73" t="n">
        <v>397943.062220055</v>
      </c>
      <c r="F2245" s="74" t="n">
        <v>367791.401441386</v>
      </c>
      <c r="G2245" s="75" t="n">
        <v>398354.344992358</v>
      </c>
      <c r="H2245" s="76" t="n">
        <v>368051.624575443</v>
      </c>
      <c r="I2245" s="77" t="str">
        <f>H2245-F2245</f>
      </c>
      <c r="J2245" s="78" t="str">
        <f>G2245-E2245</f>
      </c>
    </row>
    <row r="2246">
      <c r="A2246" t="s">
        <v>267</v>
      </c>
      <c r="B2246" t="s">
        <v>269</v>
      </c>
      <c r="C2246" s="72" t="n">
        <v>2033</v>
      </c>
      <c r="D2246" t="s">
        <v>190</v>
      </c>
      <c r="E2246" s="73" t="n">
        <v>685629.55394903</v>
      </c>
      <c r="F2246" s="74" t="n">
        <v>411990.954199075</v>
      </c>
      <c r="G2246" s="75" t="n">
        <v>687634.699546926</v>
      </c>
      <c r="H2246" s="76" t="n">
        <v>412348.075678578</v>
      </c>
      <c r="I2246" s="77" t="str">
        <f>H2246-F2246</f>
      </c>
      <c r="J2246" s="78" t="str">
        <f>G2246-E2246</f>
      </c>
    </row>
    <row r="2247">
      <c r="A2247" t="s">
        <v>267</v>
      </c>
      <c r="B2247" t="s">
        <v>269</v>
      </c>
      <c r="C2247" s="72" t="n">
        <v>2033</v>
      </c>
      <c r="D2247" t="s">
        <v>193</v>
      </c>
      <c r="E2247" s="73" t="n">
        <v>502774.929240706</v>
      </c>
      <c r="F2247" s="74" t="n">
        <v>269700.090498273</v>
      </c>
      <c r="G2247" s="75" t="n">
        <v>503751.109420694</v>
      </c>
      <c r="H2247" s="76" t="n">
        <v>269883.407599987</v>
      </c>
      <c r="I2247" s="77" t="str">
        <f>H2247-F2247</f>
      </c>
      <c r="J2247" s="78" t="str">
        <f>G2247-E2247</f>
      </c>
    </row>
    <row r="2248">
      <c r="A2248" t="s">
        <v>267</v>
      </c>
      <c r="B2248" t="s">
        <v>269</v>
      </c>
      <c r="C2248" s="72" t="n">
        <v>2033</v>
      </c>
      <c r="D2248" t="s">
        <v>424</v>
      </c>
      <c r="E2248" s="73" t="n">
        <v>44483.7558206245</v>
      </c>
      <c r="F2248" s="74" t="n">
        <v>7348.07528222405</v>
      </c>
      <c r="G2248" s="75" t="n">
        <v>44483.6835898413</v>
      </c>
      <c r="H2248" s="76" t="n">
        <v>7348.07414732206</v>
      </c>
      <c r="I2248" s="77" t="str">
        <f>H2248-F2248</f>
      </c>
      <c r="J2248" s="78" t="str">
        <f>G2248-E2248</f>
      </c>
    </row>
    <row r="2249">
      <c r="A2249" t="s">
        <v>267</v>
      </c>
      <c r="B2249" t="s">
        <v>269</v>
      </c>
      <c r="C2249" s="72" t="n">
        <v>2034</v>
      </c>
      <c r="D2249" t="s">
        <v>176</v>
      </c>
      <c r="E2249" s="73" t="n">
        <v>16437.8531017968</v>
      </c>
      <c r="F2249" s="74" t="n">
        <v>11896.5773434784</v>
      </c>
      <c r="G2249" s="75" t="n">
        <v>16436.9312806497</v>
      </c>
      <c r="H2249" s="76" t="n">
        <v>11896.3823187386</v>
      </c>
      <c r="I2249" s="77" t="str">
        <f>H2249-F2249</f>
      </c>
      <c r="J2249" s="78" t="str">
        <f>G2249-E2249</f>
      </c>
    </row>
    <row r="2250">
      <c r="A2250" t="s">
        <v>267</v>
      </c>
      <c r="B2250" t="s">
        <v>269</v>
      </c>
      <c r="C2250" s="72" t="n">
        <v>2034</v>
      </c>
      <c r="D2250" t="s">
        <v>238</v>
      </c>
      <c r="E2250" s="73" t="n">
        <v>1137007.81832387</v>
      </c>
      <c r="F2250" s="74" t="n">
        <v>202083.634746582</v>
      </c>
      <c r="G2250" s="75" t="n">
        <v>1139357.01951607</v>
      </c>
      <c r="H2250" s="76" t="n">
        <v>202147.27044605</v>
      </c>
      <c r="I2250" s="77" t="str">
        <f>H2250-F2250</f>
      </c>
      <c r="J2250" s="78" t="str">
        <f>G2250-E2250</f>
      </c>
    </row>
    <row r="2251">
      <c r="A2251" t="s">
        <v>267</v>
      </c>
      <c r="B2251" t="s">
        <v>269</v>
      </c>
      <c r="C2251" s="72" t="n">
        <v>2034</v>
      </c>
      <c r="D2251" t="s">
        <v>184</v>
      </c>
      <c r="E2251" s="73" t="n">
        <v>121110.950567189</v>
      </c>
      <c r="F2251" s="74" t="n">
        <v>81595.8781011722</v>
      </c>
      <c r="G2251" s="75" t="n">
        <v>121105.471839437</v>
      </c>
      <c r="H2251" s="76" t="n">
        <v>81594.9482339212</v>
      </c>
      <c r="I2251" s="77" t="str">
        <f>H2251-F2251</f>
      </c>
      <c r="J2251" s="78" t="str">
        <f>G2251-E2251</f>
      </c>
    </row>
    <row r="2252">
      <c r="A2252" t="s">
        <v>267</v>
      </c>
      <c r="B2252" t="s">
        <v>269</v>
      </c>
      <c r="C2252" s="72" t="n">
        <v>2034</v>
      </c>
      <c r="D2252" t="s">
        <v>187</v>
      </c>
      <c r="E2252" s="73" t="n">
        <v>406097.070703356</v>
      </c>
      <c r="F2252" s="74" t="n">
        <v>375717.960297015</v>
      </c>
      <c r="G2252" s="75" t="n">
        <v>406559.867353788</v>
      </c>
      <c r="H2252" s="76" t="n">
        <v>376028.132278335</v>
      </c>
      <c r="I2252" s="77" t="str">
        <f>H2252-F2252</f>
      </c>
      <c r="J2252" s="78" t="str">
        <f>G2252-E2252</f>
      </c>
    </row>
    <row r="2253">
      <c r="A2253" t="s">
        <v>267</v>
      </c>
      <c r="B2253" t="s">
        <v>269</v>
      </c>
      <c r="C2253" s="72" t="n">
        <v>2034</v>
      </c>
      <c r="D2253" t="s">
        <v>190</v>
      </c>
      <c r="E2253" s="73" t="n">
        <v>699431.970653646</v>
      </c>
      <c r="F2253" s="74" t="n">
        <v>422798.756256866</v>
      </c>
      <c r="G2253" s="75" t="n">
        <v>701691.677358768</v>
      </c>
      <c r="H2253" s="76" t="n">
        <v>423259.100590806</v>
      </c>
      <c r="I2253" s="77" t="str">
        <f>H2253-F2253</f>
      </c>
      <c r="J2253" s="78" t="str">
        <f>G2253-E2253</f>
      </c>
    </row>
    <row r="2254">
      <c r="A2254" t="s">
        <v>267</v>
      </c>
      <c r="B2254" t="s">
        <v>269</v>
      </c>
      <c r="C2254" s="72" t="n">
        <v>2034</v>
      </c>
      <c r="D2254" t="s">
        <v>193</v>
      </c>
      <c r="E2254" s="73" t="n">
        <v>515303.971521621</v>
      </c>
      <c r="F2254" s="74" t="n">
        <v>279251.677093495</v>
      </c>
      <c r="G2254" s="75" t="n">
        <v>516406.53850878</v>
      </c>
      <c r="H2254" s="76" t="n">
        <v>279484.980285229</v>
      </c>
      <c r="I2254" s="77" t="str">
        <f>H2254-F2254</f>
      </c>
      <c r="J2254" s="78" t="str">
        <f>G2254-E2254</f>
      </c>
    </row>
    <row r="2255">
      <c r="A2255" t="s">
        <v>267</v>
      </c>
      <c r="B2255" t="s">
        <v>269</v>
      </c>
      <c r="C2255" s="72" t="n">
        <v>2034</v>
      </c>
      <c r="D2255" t="s">
        <v>424</v>
      </c>
      <c r="E2255" s="73" t="n">
        <v>44355.2932567356</v>
      </c>
      <c r="F2255" s="74" t="n">
        <v>7385.04300530955</v>
      </c>
      <c r="G2255" s="75" t="n">
        <v>44355.184450179</v>
      </c>
      <c r="H2255" s="76" t="n">
        <v>7385.04094675217</v>
      </c>
      <c r="I2255" s="77" t="str">
        <f>H2255-F2255</f>
      </c>
      <c r="J2255" s="78" t="str">
        <f>G2255-E2255</f>
      </c>
    </row>
    <row r="2256">
      <c r="A2256" t="s">
        <v>267</v>
      </c>
      <c r="B2256" t="s">
        <v>269</v>
      </c>
      <c r="C2256" s="72" t="n">
        <v>2035</v>
      </c>
      <c r="D2256" t="s">
        <v>176</v>
      </c>
      <c r="E2256" s="73" t="n">
        <v>16893.529758671</v>
      </c>
      <c r="F2256" s="74" t="n">
        <v>12203.3730496838</v>
      </c>
      <c r="G2256" s="75" t="n">
        <v>16892.2141390053</v>
      </c>
      <c r="H2256" s="76" t="n">
        <v>12203.0577178634</v>
      </c>
      <c r="I2256" s="77" t="str">
        <f>H2256-F2256</f>
      </c>
      <c r="J2256" s="78" t="str">
        <f>G2256-E2256</f>
      </c>
    </row>
    <row r="2257">
      <c r="A2257" t="s">
        <v>267</v>
      </c>
      <c r="B2257" t="s">
        <v>269</v>
      </c>
      <c r="C2257" s="72" t="n">
        <v>2035</v>
      </c>
      <c r="D2257" t="s">
        <v>238</v>
      </c>
      <c r="E2257" s="73" t="n">
        <v>1146395.97951292</v>
      </c>
      <c r="F2257" s="74" t="n">
        <v>210209.99432451</v>
      </c>
      <c r="G2257" s="75" t="n">
        <v>1148972.16574985</v>
      </c>
      <c r="H2257" s="76" t="n">
        <v>210290.980527925</v>
      </c>
      <c r="I2257" s="77" t="str">
        <f>H2257-F2257</f>
      </c>
      <c r="J2257" s="78" t="str">
        <f>G2257-E2257</f>
      </c>
    </row>
    <row r="2258">
      <c r="A2258" t="s">
        <v>267</v>
      </c>
      <c r="B2258" t="s">
        <v>269</v>
      </c>
      <c r="C2258" s="72" t="n">
        <v>2035</v>
      </c>
      <c r="D2258" t="s">
        <v>184</v>
      </c>
      <c r="E2258" s="73" t="n">
        <v>124156.017471022</v>
      </c>
      <c r="F2258" s="74" t="n">
        <v>83696.6344441604</v>
      </c>
      <c r="G2258" s="75" t="n">
        <v>124148.207195844</v>
      </c>
      <c r="H2258" s="76" t="n">
        <v>83695.1178728798</v>
      </c>
      <c r="I2258" s="77" t="str">
        <f>H2258-F2258</f>
      </c>
      <c r="J2258" s="78" t="str">
        <f>G2258-E2258</f>
      </c>
    </row>
    <row r="2259">
      <c r="A2259" t="s">
        <v>267</v>
      </c>
      <c r="B2259" t="s">
        <v>269</v>
      </c>
      <c r="C2259" s="72" t="n">
        <v>2035</v>
      </c>
      <c r="D2259" t="s">
        <v>187</v>
      </c>
      <c r="E2259" s="73" t="n">
        <v>414021.227528576</v>
      </c>
      <c r="F2259" s="74" t="n">
        <v>383429.509856627</v>
      </c>
      <c r="G2259" s="75" t="n">
        <v>414533.160603145</v>
      </c>
      <c r="H2259" s="76" t="n">
        <v>383788.762526672</v>
      </c>
      <c r="I2259" s="77" t="str">
        <f>H2259-F2259</f>
      </c>
      <c r="J2259" s="78" t="str">
        <f>G2259-E2259</f>
      </c>
    </row>
    <row r="2260">
      <c r="A2260" t="s">
        <v>267</v>
      </c>
      <c r="B2260" t="s">
        <v>269</v>
      </c>
      <c r="C2260" s="72" t="n">
        <v>2035</v>
      </c>
      <c r="D2260" t="s">
        <v>190</v>
      </c>
      <c r="E2260" s="73" t="n">
        <v>712827.09697227</v>
      </c>
      <c r="F2260" s="74" t="n">
        <v>433509.901559944</v>
      </c>
      <c r="G2260" s="75" t="n">
        <v>715331.788822102</v>
      </c>
      <c r="H2260" s="76" t="n">
        <v>434082.031551195</v>
      </c>
      <c r="I2260" s="77" t="str">
        <f>H2260-F2260</f>
      </c>
      <c r="J2260" s="78" t="str">
        <f>G2260-E2260</f>
      </c>
    </row>
    <row r="2261">
      <c r="A2261" t="s">
        <v>267</v>
      </c>
      <c r="B2261" t="s">
        <v>269</v>
      </c>
      <c r="C2261" s="72" t="n">
        <v>2035</v>
      </c>
      <c r="D2261" t="s">
        <v>193</v>
      </c>
      <c r="E2261" s="73" t="n">
        <v>527593.974190978</v>
      </c>
      <c r="F2261" s="74" t="n">
        <v>288864.089973284</v>
      </c>
      <c r="G2261" s="75" t="n">
        <v>528818.371883953</v>
      </c>
      <c r="H2261" s="76" t="n">
        <v>289150.802435983</v>
      </c>
      <c r="I2261" s="77" t="str">
        <f>H2261-F2261</f>
      </c>
      <c r="J2261" s="78" t="str">
        <f>G2261-E2261</f>
      </c>
    </row>
    <row r="2262">
      <c r="A2262" t="s">
        <v>267</v>
      </c>
      <c r="B2262" t="s">
        <v>269</v>
      </c>
      <c r="C2262" s="72" t="n">
        <v>2035</v>
      </c>
      <c r="D2262" t="s">
        <v>424</v>
      </c>
      <c r="E2262" s="73" t="n">
        <v>44206.8614879852</v>
      </c>
      <c r="F2262" s="74" t="n">
        <v>7419.98222571276</v>
      </c>
      <c r="G2262" s="75" t="n">
        <v>44206.7073067121</v>
      </c>
      <c r="H2262" s="76" t="n">
        <v>7419.97885519321</v>
      </c>
      <c r="I2262" s="77" t="str">
        <f>H2262-F2262</f>
      </c>
      <c r="J2262" s="78" t="str">
        <f>G2262-E2262</f>
      </c>
    </row>
    <row r="2263">
      <c r="A2263" t="s">
        <v>267</v>
      </c>
      <c r="B2263" t="s">
        <v>269</v>
      </c>
      <c r="C2263" s="72" t="n">
        <v>2036</v>
      </c>
      <c r="D2263" t="s">
        <v>176</v>
      </c>
      <c r="E2263" s="73" t="n">
        <v>17352.4479549045</v>
      </c>
      <c r="F2263" s="74" t="n">
        <v>12507.3764394543</v>
      </c>
      <c r="G2263" s="75" t="n">
        <v>17350.6546269342</v>
      </c>
      <c r="H2263" s="76" t="n">
        <v>12506.9021026876</v>
      </c>
      <c r="I2263" s="77" t="str">
        <f>H2263-F2263</f>
      </c>
      <c r="J2263" s="78" t="str">
        <f>G2263-E2263</f>
      </c>
    </row>
    <row r="2264">
      <c r="A2264" t="s">
        <v>267</v>
      </c>
      <c r="B2264" t="s">
        <v>269</v>
      </c>
      <c r="C2264" s="72" t="n">
        <v>2036</v>
      </c>
      <c r="D2264" t="s">
        <v>238</v>
      </c>
      <c r="E2264" s="73" t="n">
        <v>1155476.81774384</v>
      </c>
      <c r="F2264" s="74" t="n">
        <v>218270.577837731</v>
      </c>
      <c r="G2264" s="75" t="n">
        <v>1158266.13775829</v>
      </c>
      <c r="H2264" s="76" t="n">
        <v>218370.687575925</v>
      </c>
      <c r="I2264" s="77" t="str">
        <f>H2264-F2264</f>
      </c>
      <c r="J2264" s="78" t="str">
        <f>G2264-E2264</f>
      </c>
    </row>
    <row r="2265">
      <c r="A2265" t="s">
        <v>267</v>
      </c>
      <c r="B2265" t="s">
        <v>269</v>
      </c>
      <c r="C2265" s="72" t="n">
        <v>2036</v>
      </c>
      <c r="D2265" t="s">
        <v>184</v>
      </c>
      <c r="E2265" s="73" t="n">
        <v>127149.075292167</v>
      </c>
      <c r="F2265" s="74" t="n">
        <v>85767.8629797798</v>
      </c>
      <c r="G2265" s="75" t="n">
        <v>127138.451085333</v>
      </c>
      <c r="H2265" s="76" t="n">
        <v>85765.5647353171</v>
      </c>
      <c r="I2265" s="77" t="str">
        <f>H2265-F2265</f>
      </c>
      <c r="J2265" s="78" t="str">
        <f>G2265-E2265</f>
      </c>
    </row>
    <row r="2266">
      <c r="A2266" t="s">
        <v>267</v>
      </c>
      <c r="B2266" t="s">
        <v>269</v>
      </c>
      <c r="C2266" s="72" t="n">
        <v>2036</v>
      </c>
      <c r="D2266" t="s">
        <v>187</v>
      </c>
      <c r="E2266" s="73" t="n">
        <v>421674.125535138</v>
      </c>
      <c r="F2266" s="74" t="n">
        <v>390878.972475158</v>
      </c>
      <c r="G2266" s="75" t="n">
        <v>422232.659922133</v>
      </c>
      <c r="H2266" s="76" t="n">
        <v>391285.955739587</v>
      </c>
      <c r="I2266" s="77" t="str">
        <f>H2266-F2266</f>
      </c>
      <c r="J2266" s="78" t="str">
        <f>G2266-E2266</f>
      </c>
    </row>
    <row r="2267">
      <c r="A2267" t="s">
        <v>267</v>
      </c>
      <c r="B2267" t="s">
        <v>269</v>
      </c>
      <c r="C2267" s="72" t="n">
        <v>2036</v>
      </c>
      <c r="D2267" t="s">
        <v>190</v>
      </c>
      <c r="E2267" s="73" t="n">
        <v>725791.866047066</v>
      </c>
      <c r="F2267" s="74" t="n">
        <v>444056.789393479</v>
      </c>
      <c r="G2267" s="75" t="n">
        <v>728531.610160843</v>
      </c>
      <c r="H2267" s="76" t="n">
        <v>444747.907566169</v>
      </c>
      <c r="I2267" s="77" t="str">
        <f>H2267-F2267</f>
      </c>
      <c r="J2267" s="78" t="str">
        <f>G2267-E2267</f>
      </c>
    </row>
    <row r="2268">
      <c r="A2268" t="s">
        <v>267</v>
      </c>
      <c r="B2268" t="s">
        <v>269</v>
      </c>
      <c r="C2268" s="72" t="n">
        <v>2036</v>
      </c>
      <c r="D2268" t="s">
        <v>193</v>
      </c>
      <c r="E2268" s="73" t="n">
        <v>539710.69400593</v>
      </c>
      <c r="F2268" s="74" t="n">
        <v>298536.645065676</v>
      </c>
      <c r="G2268" s="75" t="n">
        <v>541052.28077363</v>
      </c>
      <c r="H2268" s="76" t="n">
        <v>298879.611309733</v>
      </c>
      <c r="I2268" s="77" t="str">
        <f>H2268-F2268</f>
      </c>
      <c r="J2268" s="78" t="str">
        <f>G2268-E2268</f>
      </c>
    </row>
    <row r="2269">
      <c r="A2269" t="s">
        <v>267</v>
      </c>
      <c r="B2269" t="s">
        <v>269</v>
      </c>
      <c r="C2269" s="72" t="n">
        <v>2036</v>
      </c>
      <c r="D2269" t="s">
        <v>424</v>
      </c>
      <c r="E2269" s="73" t="n">
        <v>44050.2069995768</v>
      </c>
      <c r="F2269" s="74" t="n">
        <v>7453.34024937003</v>
      </c>
      <c r="G2269" s="75" t="n">
        <v>44049.9983782722</v>
      </c>
      <c r="H2269" s="76" t="n">
        <v>7453.3351271514</v>
      </c>
      <c r="I2269" s="77" t="str">
        <f>H2269-F2269</f>
      </c>
      <c r="J2269" s="78" t="str">
        <f>G2269-E2269</f>
      </c>
    </row>
    <row r="2270">
      <c r="A2270" t="s">
        <v>267</v>
      </c>
      <c r="B2270" t="s">
        <v>269</v>
      </c>
      <c r="C2270" s="72" t="n">
        <v>2037</v>
      </c>
      <c r="D2270" t="s">
        <v>176</v>
      </c>
      <c r="E2270" s="73" t="n">
        <v>17814.8621993774</v>
      </c>
      <c r="F2270" s="74" t="n">
        <v>12808.1767306689</v>
      </c>
      <c r="G2270" s="75" t="n">
        <v>17812.5035281772</v>
      </c>
      <c r="H2270" s="76" t="n">
        <v>12807.5012683992</v>
      </c>
      <c r="I2270" s="77" t="str">
        <f>H2270-F2270</f>
      </c>
      <c r="J2270" s="78" t="str">
        <f>G2270-E2270</f>
      </c>
    </row>
    <row r="2271">
      <c r="A2271" t="s">
        <v>267</v>
      </c>
      <c r="B2271" t="s">
        <v>269</v>
      </c>
      <c r="C2271" s="72" t="n">
        <v>2037</v>
      </c>
      <c r="D2271" t="s">
        <v>238</v>
      </c>
      <c r="E2271" s="73" t="n">
        <v>1164375.35062297</v>
      </c>
      <c r="F2271" s="74" t="n">
        <v>226252.463516805</v>
      </c>
      <c r="G2271" s="75" t="n">
        <v>1167364.66541375</v>
      </c>
      <c r="H2271" s="76" t="n">
        <v>226373.365626062</v>
      </c>
      <c r="I2271" s="77" t="str">
        <f>H2271-F2271</f>
      </c>
      <c r="J2271" s="78" t="str">
        <f>G2271-E2271</f>
      </c>
    </row>
    <row r="2272">
      <c r="A2272" t="s">
        <v>267</v>
      </c>
      <c r="B2272" t="s">
        <v>269</v>
      </c>
      <c r="C2272" s="72" t="n">
        <v>2037</v>
      </c>
      <c r="D2272" t="s">
        <v>184</v>
      </c>
      <c r="E2272" s="73" t="n">
        <v>130106.047774244</v>
      </c>
      <c r="F2272" s="74" t="n">
        <v>87789.1674623718</v>
      </c>
      <c r="G2272" s="75" t="n">
        <v>130092.112965313</v>
      </c>
      <c r="H2272" s="76" t="n">
        <v>87785.8739142287</v>
      </c>
      <c r="I2272" s="77" t="str">
        <f>H2272-F2272</f>
      </c>
      <c r="J2272" s="78" t="str">
        <f>G2272-E2272</f>
      </c>
    </row>
    <row r="2273">
      <c r="A2273" t="s">
        <v>267</v>
      </c>
      <c r="B2273" t="s">
        <v>269</v>
      </c>
      <c r="C2273" s="72" t="n">
        <v>2037</v>
      </c>
      <c r="D2273" t="s">
        <v>187</v>
      </c>
      <c r="E2273" s="73" t="n">
        <v>429072.141123765</v>
      </c>
      <c r="F2273" s="74" t="n">
        <v>398020.847003294</v>
      </c>
      <c r="G2273" s="75" t="n">
        <v>429674.679324948</v>
      </c>
      <c r="H2273" s="76" t="n">
        <v>398473.813386608</v>
      </c>
      <c r="I2273" s="77" t="str">
        <f>H2273-F2273</f>
      </c>
      <c r="J2273" s="78" t="str">
        <f>G2273-E2273</f>
      </c>
    </row>
    <row r="2274">
      <c r="A2274" t="s">
        <v>267</v>
      </c>
      <c r="B2274" t="s">
        <v>269</v>
      </c>
      <c r="C2274" s="72" t="n">
        <v>2037</v>
      </c>
      <c r="D2274" t="s">
        <v>190</v>
      </c>
      <c r="E2274" s="73" t="n">
        <v>738296.904666243</v>
      </c>
      <c r="F2274" s="74" t="n">
        <v>454352.216250692</v>
      </c>
      <c r="G2274" s="75" t="n">
        <v>741261.427234993</v>
      </c>
      <c r="H2274" s="76" t="n">
        <v>455168.184528758</v>
      </c>
      <c r="I2274" s="77" t="str">
        <f>H2274-F2274</f>
      </c>
      <c r="J2274" s="78" t="str">
        <f>G2274-E2274</f>
      </c>
    </row>
    <row r="2275">
      <c r="A2275" t="s">
        <v>267</v>
      </c>
      <c r="B2275" t="s">
        <v>269</v>
      </c>
      <c r="C2275" s="72" t="n">
        <v>2037</v>
      </c>
      <c r="D2275" t="s">
        <v>193</v>
      </c>
      <c r="E2275" s="73" t="n">
        <v>551804.144858178</v>
      </c>
      <c r="F2275" s="74" t="n">
        <v>308264.47287335</v>
      </c>
      <c r="G2275" s="75" t="n">
        <v>553258.517761357</v>
      </c>
      <c r="H2275" s="76" t="n">
        <v>308666.043562302</v>
      </c>
      <c r="I2275" s="77" t="str">
        <f>H2275-F2275</f>
      </c>
      <c r="J2275" s="78" t="str">
        <f>G2275-E2275</f>
      </c>
    </row>
    <row r="2276">
      <c r="A2276" t="s">
        <v>267</v>
      </c>
      <c r="B2276" t="s">
        <v>269</v>
      </c>
      <c r="C2276" s="72" t="n">
        <v>2037</v>
      </c>
      <c r="D2276" t="s">
        <v>424</v>
      </c>
      <c r="E2276" s="73" t="n">
        <v>43886.7688659718</v>
      </c>
      <c r="F2276" s="74" t="n">
        <v>7485.64681406008</v>
      </c>
      <c r="G2276" s="75" t="n">
        <v>43886.4966397613</v>
      </c>
      <c r="H2276" s="76" t="n">
        <v>7485.63945861012</v>
      </c>
      <c r="I2276" s="77" t="str">
        <f>H2276-F2276</f>
      </c>
      <c r="J2276" s="78" t="str">
        <f>G2276-E2276</f>
      </c>
    </row>
    <row r="2277">
      <c r="A2277" t="s">
        <v>267</v>
      </c>
      <c r="B2277" t="s">
        <v>269</v>
      </c>
      <c r="C2277" s="72" t="n">
        <v>2038</v>
      </c>
      <c r="D2277" t="s">
        <v>176</v>
      </c>
      <c r="E2277" s="73" t="n">
        <v>18281.634079666</v>
      </c>
      <c r="F2277" s="74" t="n">
        <v>13109.1800992509</v>
      </c>
      <c r="G2277" s="75" t="n">
        <v>18278.6195315823</v>
      </c>
      <c r="H2277" s="76" t="n">
        <v>13108.2586821674</v>
      </c>
      <c r="I2277" s="77" t="str">
        <f>H2277-F2277</f>
      </c>
      <c r="J2277" s="78" t="str">
        <f>G2277-E2277</f>
      </c>
    </row>
    <row r="2278">
      <c r="A2278" t="s">
        <v>267</v>
      </c>
      <c r="B2278" t="s">
        <v>269</v>
      </c>
      <c r="C2278" s="72" t="n">
        <v>2038</v>
      </c>
      <c r="D2278" t="s">
        <v>238</v>
      </c>
      <c r="E2278" s="73" t="n">
        <v>1173110.69302851</v>
      </c>
      <c r="F2278" s="74" t="n">
        <v>234143.031014911</v>
      </c>
      <c r="G2278" s="75" t="n">
        <v>1176286.23006217</v>
      </c>
      <c r="H2278" s="76" t="n">
        <v>234286.302403295</v>
      </c>
      <c r="I2278" s="77" t="str">
        <f>H2278-F2278</f>
      </c>
      <c r="J2278" s="78" t="str">
        <f>G2278-E2278</f>
      </c>
    </row>
    <row r="2279">
      <c r="A2279" t="s">
        <v>267</v>
      </c>
      <c r="B2279" t="s">
        <v>269</v>
      </c>
      <c r="C2279" s="72" t="n">
        <v>2038</v>
      </c>
      <c r="D2279" t="s">
        <v>184</v>
      </c>
      <c r="E2279" s="73" t="n">
        <v>133022.519601066</v>
      </c>
      <c r="F2279" s="74" t="n">
        <v>89767.4260057534</v>
      </c>
      <c r="G2279" s="75" t="n">
        <v>133004.77137127</v>
      </c>
      <c r="H2279" s="76" t="n">
        <v>89762.9085046272</v>
      </c>
      <c r="I2279" s="77" t="str">
        <f>H2279-F2279</f>
      </c>
      <c r="J2279" s="78" t="str">
        <f>G2279-E2279</f>
      </c>
    </row>
    <row r="2280">
      <c r="A2280" t="s">
        <v>267</v>
      </c>
      <c r="B2280" t="s">
        <v>269</v>
      </c>
      <c r="C2280" s="72" t="n">
        <v>2038</v>
      </c>
      <c r="D2280" t="s">
        <v>187</v>
      </c>
      <c r="E2280" s="73" t="n">
        <v>436234.475639152</v>
      </c>
      <c r="F2280" s="74" t="n">
        <v>404887.962426067</v>
      </c>
      <c r="G2280" s="75" t="n">
        <v>436878.359538317</v>
      </c>
      <c r="H2280" s="76" t="n">
        <v>405384.957772321</v>
      </c>
      <c r="I2280" s="77" t="str">
        <f>H2280-F2280</f>
      </c>
      <c r="J2280" s="78" t="str">
        <f>G2280-E2280</f>
      </c>
    </row>
    <row r="2281">
      <c r="A2281" t="s">
        <v>267</v>
      </c>
      <c r="B2281" t="s">
        <v>269</v>
      </c>
      <c r="C2281" s="72" t="n">
        <v>2038</v>
      </c>
      <c r="D2281" t="s">
        <v>190</v>
      </c>
      <c r="E2281" s="73" t="n">
        <v>750382.118630655</v>
      </c>
      <c r="F2281" s="74" t="n">
        <v>464397.528202323</v>
      </c>
      <c r="G2281" s="75" t="n">
        <v>753560.822146793</v>
      </c>
      <c r="H2281" s="76" t="n">
        <v>465342.91786371</v>
      </c>
      <c r="I2281" s="77" t="str">
        <f>H2281-F2281</f>
      </c>
      <c r="J2281" s="78" t="str">
        <f>G2281-E2281</f>
      </c>
    </row>
    <row r="2282">
      <c r="A2282" t="s">
        <v>267</v>
      </c>
      <c r="B2282" t="s">
        <v>269</v>
      </c>
      <c r="C2282" s="72" t="n">
        <v>2038</v>
      </c>
      <c r="D2282" t="s">
        <v>193</v>
      </c>
      <c r="E2282" s="73" t="n">
        <v>563841.265304782</v>
      </c>
      <c r="F2282" s="74" t="n">
        <v>317998.976492413</v>
      </c>
      <c r="G2282" s="75" t="n">
        <v>565403.758799385</v>
      </c>
      <c r="H2282" s="76" t="n">
        <v>318461.022248122</v>
      </c>
      <c r="I2282" s="77" t="str">
        <f>H2282-F2282</f>
      </c>
      <c r="J2282" s="78" t="str">
        <f>G2282-E2282</f>
      </c>
    </row>
    <row r="2283">
      <c r="A2283" t="s">
        <v>267</v>
      </c>
      <c r="B2283" t="s">
        <v>269</v>
      </c>
      <c r="C2283" s="72" t="n">
        <v>2038</v>
      </c>
      <c r="D2283" t="s">
        <v>424</v>
      </c>
      <c r="E2283" s="73" t="n">
        <v>43731.0898800174</v>
      </c>
      <c r="F2283" s="74" t="n">
        <v>7517.780461196</v>
      </c>
      <c r="G2283" s="75" t="n">
        <v>43730.7448506382</v>
      </c>
      <c r="H2283" s="76" t="n">
        <v>7517.77035327065</v>
      </c>
      <c r="I2283" s="77" t="str">
        <f>H2283-F2283</f>
      </c>
      <c r="J2283" s="78" t="str">
        <f>G2283-E2283</f>
      </c>
    </row>
    <row r="2284">
      <c r="A2284" t="s">
        <v>267</v>
      </c>
      <c r="B2284" t="s">
        <v>269</v>
      </c>
      <c r="C2284" s="72" t="n">
        <v>2039</v>
      </c>
      <c r="D2284" t="s">
        <v>176</v>
      </c>
      <c r="E2284" s="73" t="n">
        <v>18755.8552448437</v>
      </c>
      <c r="F2284" s="74" t="n">
        <v>13405.8839415482</v>
      </c>
      <c r="G2284" s="75" t="n">
        <v>18752.090499403</v>
      </c>
      <c r="H2284" s="76" t="n">
        <v>13404.6696202756</v>
      </c>
      <c r="I2284" s="77" t="str">
        <f>H2284-F2284</f>
      </c>
      <c r="J2284" s="78" t="str">
        <f>G2284-E2284</f>
      </c>
    </row>
    <row r="2285">
      <c r="A2285" t="s">
        <v>267</v>
      </c>
      <c r="B2285" t="s">
        <v>269</v>
      </c>
      <c r="C2285" s="72" t="n">
        <v>2039</v>
      </c>
      <c r="D2285" t="s">
        <v>238</v>
      </c>
      <c r="E2285" s="73" t="n">
        <v>1181389.95583651</v>
      </c>
      <c r="F2285" s="74" t="n">
        <v>241965.077436026</v>
      </c>
      <c r="G2285" s="75" t="n">
        <v>1184738.39184491</v>
      </c>
      <c r="H2285" s="76" t="n">
        <v>242132.191153164</v>
      </c>
      <c r="I2285" s="77" t="str">
        <f>H2285-F2285</f>
      </c>
      <c r="J2285" s="78" t="str">
        <f>G2285-E2285</f>
      </c>
    </row>
    <row r="2286">
      <c r="A2286" t="s">
        <v>267</v>
      </c>
      <c r="B2286" t="s">
        <v>269</v>
      </c>
      <c r="C2286" s="72" t="n">
        <v>2039</v>
      </c>
      <c r="D2286" t="s">
        <v>184</v>
      </c>
      <c r="E2286" s="73" t="n">
        <v>135894.198249574</v>
      </c>
      <c r="F2286" s="74" t="n">
        <v>91722.3498427611</v>
      </c>
      <c r="G2286" s="75" t="n">
        <v>135872.13136763</v>
      </c>
      <c r="H2286" s="76" t="n">
        <v>91716.3663536023</v>
      </c>
      <c r="I2286" s="77" t="str">
        <f>H2286-F2286</f>
      </c>
      <c r="J2286" s="78" t="str">
        <f>G2286-E2286</f>
      </c>
    </row>
    <row r="2287">
      <c r="A2287" t="s">
        <v>267</v>
      </c>
      <c r="B2287" t="s">
        <v>269</v>
      </c>
      <c r="C2287" s="72" t="n">
        <v>2039</v>
      </c>
      <c r="D2287" t="s">
        <v>187</v>
      </c>
      <c r="E2287" s="73" t="n">
        <v>443223.330432777</v>
      </c>
      <c r="F2287" s="74" t="n">
        <v>411581.229449617</v>
      </c>
      <c r="G2287" s="75" t="n">
        <v>443905.980748337</v>
      </c>
      <c r="H2287" s="76" t="n">
        <v>412120.21350488</v>
      </c>
      <c r="I2287" s="77" t="str">
        <f>H2287-F2287</f>
      </c>
      <c r="J2287" s="78" t="str">
        <f>G2287-E2287</f>
      </c>
    </row>
    <row r="2288">
      <c r="A2288" t="s">
        <v>267</v>
      </c>
      <c r="B2288" t="s">
        <v>269</v>
      </c>
      <c r="C2288" s="72" t="n">
        <v>2039</v>
      </c>
      <c r="D2288" t="s">
        <v>190</v>
      </c>
      <c r="E2288" s="73" t="n">
        <v>762145.507354912</v>
      </c>
      <c r="F2288" s="74" t="n">
        <v>474191.658063804</v>
      </c>
      <c r="G2288" s="75" t="n">
        <v>765528.467838857</v>
      </c>
      <c r="H2288" s="76" t="n">
        <v>475269.787528918</v>
      </c>
      <c r="I2288" s="77" t="str">
        <f>H2288-F2288</f>
      </c>
      <c r="J2288" s="78" t="str">
        <f>G2288-E2288</f>
      </c>
    </row>
    <row r="2289">
      <c r="A2289" t="s">
        <v>267</v>
      </c>
      <c r="B2289" t="s">
        <v>269</v>
      </c>
      <c r="C2289" s="72" t="n">
        <v>2039</v>
      </c>
      <c r="D2289" t="s">
        <v>193</v>
      </c>
      <c r="E2289" s="73" t="n">
        <v>575748.772251371</v>
      </c>
      <c r="F2289" s="74" t="n">
        <v>327722.439410989</v>
      </c>
      <c r="G2289" s="75" t="n">
        <v>577414.514396235</v>
      </c>
      <c r="H2289" s="76" t="n">
        <v>328246.401276368</v>
      </c>
      <c r="I2289" s="77" t="str">
        <f>H2289-F2289</f>
      </c>
      <c r="J2289" s="78" t="str">
        <f>G2289-E2289</f>
      </c>
    </row>
    <row r="2290">
      <c r="A2290" t="s">
        <v>267</v>
      </c>
      <c r="B2290" t="s">
        <v>269</v>
      </c>
      <c r="C2290" s="72" t="n">
        <v>2039</v>
      </c>
      <c r="D2290" t="s">
        <v>424</v>
      </c>
      <c r="E2290" s="73" t="n">
        <v>43589.2725097416</v>
      </c>
      <c r="F2290" s="74" t="n">
        <v>7547.57327098917</v>
      </c>
      <c r="G2290" s="75" t="n">
        <v>43588.845456637</v>
      </c>
      <c r="H2290" s="76" t="n">
        <v>7547.5598608641</v>
      </c>
      <c r="I2290" s="77" t="str">
        <f>H2290-F2290</f>
      </c>
      <c r="J2290" s="78" t="str">
        <f>G2290-E2290</f>
      </c>
    </row>
    <row r="2291">
      <c r="A2291" t="s">
        <v>267</v>
      </c>
      <c r="B2291" t="s">
        <v>269</v>
      </c>
      <c r="C2291" s="72" t="n">
        <v>2040</v>
      </c>
      <c r="D2291" t="s">
        <v>176</v>
      </c>
      <c r="E2291" s="73" t="n">
        <v>19240.3503169637</v>
      </c>
      <c r="F2291" s="74" t="n">
        <v>13700.5289026711</v>
      </c>
      <c r="G2291" s="75" t="n">
        <v>19235.7365429273</v>
      </c>
      <c r="H2291" s="76" t="n">
        <v>13698.9721681132</v>
      </c>
      <c r="I2291" s="77" t="str">
        <f>H2291-F2291</f>
      </c>
      <c r="J2291" s="78" t="str">
        <f>G2291-E2291</f>
      </c>
    </row>
    <row r="2292">
      <c r="A2292" t="s">
        <v>267</v>
      </c>
      <c r="B2292" t="s">
        <v>269</v>
      </c>
      <c r="C2292" s="72" t="n">
        <v>2040</v>
      </c>
      <c r="D2292" t="s">
        <v>238</v>
      </c>
      <c r="E2292" s="73" t="n">
        <v>1189126.16594496</v>
      </c>
      <c r="F2292" s="74" t="n">
        <v>249702.152562552</v>
      </c>
      <c r="G2292" s="75" t="n">
        <v>1192634.43006365</v>
      </c>
      <c r="H2292" s="76" t="n">
        <v>249894.478827588</v>
      </c>
      <c r="I2292" s="77" t="str">
        <f>H2292-F2292</f>
      </c>
      <c r="J2292" s="78" t="str">
        <f>G2292-E2292</f>
      </c>
    </row>
    <row r="2293">
      <c r="A2293" t="s">
        <v>267</v>
      </c>
      <c r="B2293" t="s">
        <v>269</v>
      </c>
      <c r="C2293" s="72" t="n">
        <v>2040</v>
      </c>
      <c r="D2293" t="s">
        <v>184</v>
      </c>
      <c r="E2293" s="73" t="n">
        <v>138716.687432706</v>
      </c>
      <c r="F2293" s="74" t="n">
        <v>93644.5982998063</v>
      </c>
      <c r="G2293" s="75" t="n">
        <v>138689.796610277</v>
      </c>
      <c r="H2293" s="76" t="n">
        <v>93636.8967600593</v>
      </c>
      <c r="I2293" s="77" t="str">
        <f>H2293-F2293</f>
      </c>
      <c r="J2293" s="78" t="str">
        <f>G2293-E2293</f>
      </c>
    </row>
    <row r="2294">
      <c r="A2294" t="s">
        <v>267</v>
      </c>
      <c r="B2294" t="s">
        <v>269</v>
      </c>
      <c r="C2294" s="72" t="n">
        <v>2040</v>
      </c>
      <c r="D2294" t="s">
        <v>187</v>
      </c>
      <c r="E2294" s="73" t="n">
        <v>450122.79445141</v>
      </c>
      <c r="F2294" s="74" t="n">
        <v>418042.153197688</v>
      </c>
      <c r="G2294" s="75" t="n">
        <v>450841.764596063</v>
      </c>
      <c r="H2294" s="76" t="n">
        <v>418620.908948174</v>
      </c>
      <c r="I2294" s="77" t="str">
        <f>H2294-F2294</f>
      </c>
      <c r="J2294" s="78" t="str">
        <f>G2294-E2294</f>
      </c>
    </row>
    <row r="2295">
      <c r="A2295" t="s">
        <v>267</v>
      </c>
      <c r="B2295" t="s">
        <v>269</v>
      </c>
      <c r="C2295" s="72" t="n">
        <v>2040</v>
      </c>
      <c r="D2295" t="s">
        <v>190</v>
      </c>
      <c r="E2295" s="73" t="n">
        <v>773511.440626379</v>
      </c>
      <c r="F2295" s="74" t="n">
        <v>483733.97698278</v>
      </c>
      <c r="G2295" s="75" t="n">
        <v>777088.496702091</v>
      </c>
      <c r="H2295" s="76" t="n">
        <v>484947.105425179</v>
      </c>
      <c r="I2295" s="77" t="str">
        <f>H2295-F2295</f>
      </c>
      <c r="J2295" s="78" t="str">
        <f>G2295-E2295</f>
      </c>
    </row>
    <row r="2296">
      <c r="A2296" t="s">
        <v>267</v>
      </c>
      <c r="B2296" t="s">
        <v>269</v>
      </c>
      <c r="C2296" s="72" t="n">
        <v>2040</v>
      </c>
      <c r="D2296" t="s">
        <v>193</v>
      </c>
      <c r="E2296" s="73" t="n">
        <v>587595.458838423</v>
      </c>
      <c r="F2296" s="74" t="n">
        <v>337452.071276578</v>
      </c>
      <c r="G2296" s="75" t="n">
        <v>589359.733832842</v>
      </c>
      <c r="H2296" s="76" t="n">
        <v>338039.010430446</v>
      </c>
      <c r="I2296" s="77" t="str">
        <f>H2296-F2296</f>
      </c>
      <c r="J2296" s="78" t="str">
        <f>G2296-E2296</f>
      </c>
    </row>
    <row r="2297">
      <c r="A2297" t="s">
        <v>267</v>
      </c>
      <c r="B2297" t="s">
        <v>269</v>
      </c>
      <c r="C2297" s="72" t="n">
        <v>2040</v>
      </c>
      <c r="D2297" t="s">
        <v>424</v>
      </c>
      <c r="E2297" s="73" t="n">
        <v>43465.3779708346</v>
      </c>
      <c r="F2297" s="74" t="n">
        <v>7573.74284664183</v>
      </c>
      <c r="G2297" s="75" t="n">
        <v>43464.8596818836</v>
      </c>
      <c r="H2297" s="76" t="n">
        <v>7573.72556082699</v>
      </c>
      <c r="I2297" s="77" t="str">
        <f>H2297-F2297</f>
      </c>
      <c r="J2297" s="78" t="str">
        <f>G2297-E2297</f>
      </c>
    </row>
    <row r="2298">
      <c r="A2298" t="s">
        <v>267</v>
      </c>
      <c r="B2298" t="s">
        <v>269</v>
      </c>
      <c r="C2298" s="72" t="n">
        <v>2041</v>
      </c>
      <c r="D2298" t="s">
        <v>176</v>
      </c>
      <c r="E2298" s="73" t="n">
        <v>19732.8486542297</v>
      </c>
      <c r="F2298" s="74" t="n">
        <v>13993.558087683</v>
      </c>
      <c r="G2298" s="75" t="n">
        <v>19727.283486384</v>
      </c>
      <c r="H2298" s="76" t="n">
        <v>13991.6066902828</v>
      </c>
      <c r="I2298" s="77" t="str">
        <f>H2298-F2298</f>
      </c>
      <c r="J2298" s="78" t="str">
        <f>G2298-E2298</f>
      </c>
    </row>
    <row r="2299">
      <c r="A2299" t="s">
        <v>267</v>
      </c>
      <c r="B2299" t="s">
        <v>269</v>
      </c>
      <c r="C2299" s="72" t="n">
        <v>2041</v>
      </c>
      <c r="D2299" t="s">
        <v>238</v>
      </c>
      <c r="E2299" s="73" t="n">
        <v>1196332.48523639</v>
      </c>
      <c r="F2299" s="74" t="n">
        <v>257380.211689194</v>
      </c>
      <c r="G2299" s="75" t="n">
        <v>1199988.17586749</v>
      </c>
      <c r="H2299" s="76" t="n">
        <v>257599.044002988</v>
      </c>
      <c r="I2299" s="77" t="str">
        <f>H2299-F2299</f>
      </c>
      <c r="J2299" s="78" t="str">
        <f>G2299-E2299</f>
      </c>
    </row>
    <row r="2300">
      <c r="A2300" t="s">
        <v>267</v>
      </c>
      <c r="B2300" t="s">
        <v>269</v>
      </c>
      <c r="C2300" s="72" t="n">
        <v>2041</v>
      </c>
      <c r="D2300" t="s">
        <v>184</v>
      </c>
      <c r="E2300" s="73" t="n">
        <v>141507.798526914</v>
      </c>
      <c r="F2300" s="74" t="n">
        <v>95536.6863525998</v>
      </c>
      <c r="G2300" s="75" t="n">
        <v>141475.570851386</v>
      </c>
      <c r="H2300" s="76" t="n">
        <v>95527.0063786807</v>
      </c>
      <c r="I2300" s="77" t="str">
        <f>H2300-F2300</f>
      </c>
      <c r="J2300" s="78" t="str">
        <f>G2300-E2300</f>
      </c>
    </row>
    <row r="2301">
      <c r="A2301" t="s">
        <v>267</v>
      </c>
      <c r="B2301" t="s">
        <v>269</v>
      </c>
      <c r="C2301" s="72" t="n">
        <v>2041</v>
      </c>
      <c r="D2301" t="s">
        <v>187</v>
      </c>
      <c r="E2301" s="73" t="n">
        <v>456945.248614848</v>
      </c>
      <c r="F2301" s="74" t="n">
        <v>424389.361223279</v>
      </c>
      <c r="G2301" s="75" t="n">
        <v>457698.128134802</v>
      </c>
      <c r="H2301" s="76" t="n">
        <v>425005.77720965</v>
      </c>
      <c r="I2301" s="77" t="str">
        <f>H2301-F2301</f>
      </c>
      <c r="J2301" s="78" t="str">
        <f>G2301-E2301</f>
      </c>
    </row>
    <row r="2302">
      <c r="A2302" t="s">
        <v>267</v>
      </c>
      <c r="B2302" t="s">
        <v>269</v>
      </c>
      <c r="C2302" s="72" t="n">
        <v>2041</v>
      </c>
      <c r="D2302" t="s">
        <v>190</v>
      </c>
      <c r="E2302" s="73" t="n">
        <v>784531.911736331</v>
      </c>
      <c r="F2302" s="74" t="n">
        <v>493041.403479456</v>
      </c>
      <c r="G2302" s="75" t="n">
        <v>788293.242756689</v>
      </c>
      <c r="H2302" s="76" t="n">
        <v>494390.873248259</v>
      </c>
      <c r="I2302" s="77" t="str">
        <f>H2302-F2302</f>
      </c>
      <c r="J2302" s="78" t="str">
        <f>G2302-E2302</f>
      </c>
    </row>
    <row r="2303">
      <c r="A2303" t="s">
        <v>267</v>
      </c>
      <c r="B2303" t="s">
        <v>269</v>
      </c>
      <c r="C2303" s="72" t="n">
        <v>2041</v>
      </c>
      <c r="D2303" t="s">
        <v>193</v>
      </c>
      <c r="E2303" s="73" t="n">
        <v>599297.502241399</v>
      </c>
      <c r="F2303" s="74" t="n">
        <v>347273.925951464</v>
      </c>
      <c r="G2303" s="75" t="n">
        <v>601155.340946961</v>
      </c>
      <c r="H2303" s="76" t="n">
        <v>347924.766327078</v>
      </c>
      <c r="I2303" s="77" t="str">
        <f>H2303-F2303</f>
      </c>
      <c r="J2303" s="78" t="str">
        <f>G2303-E2303</f>
      </c>
    </row>
    <row r="2304">
      <c r="A2304" t="s">
        <v>267</v>
      </c>
      <c r="B2304" t="s">
        <v>269</v>
      </c>
      <c r="C2304" s="72" t="n">
        <v>2041</v>
      </c>
      <c r="D2304" t="s">
        <v>424</v>
      </c>
      <c r="E2304" s="73" t="n">
        <v>43361.5543281625</v>
      </c>
      <c r="F2304" s="74" t="n">
        <v>7596.0170976276</v>
      </c>
      <c r="G2304" s="75" t="n">
        <v>43360.9356755525</v>
      </c>
      <c r="H2304" s="76" t="n">
        <v>7595.99533386821</v>
      </c>
      <c r="I2304" s="77" t="str">
        <f>H2304-F2304</f>
      </c>
      <c r="J2304" s="78" t="str">
        <f>G2304-E2304</f>
      </c>
    </row>
    <row r="2305">
      <c r="A2305" t="s">
        <v>267</v>
      </c>
      <c r="B2305" t="s">
        <v>269</v>
      </c>
      <c r="C2305" s="72" t="n">
        <v>2042</v>
      </c>
      <c r="D2305" t="s">
        <v>176</v>
      </c>
      <c r="E2305" s="73" t="n">
        <v>20228.8903764153</v>
      </c>
      <c r="F2305" s="74" t="n">
        <v>14287.0186140848</v>
      </c>
      <c r="G2305" s="75" t="n">
        <v>20222.2683991647</v>
      </c>
      <c r="H2305" s="76" t="n">
        <v>14284.6169088399</v>
      </c>
      <c r="I2305" s="77" t="str">
        <f>H2305-F2305</f>
      </c>
      <c r="J2305" s="78" t="str">
        <f>G2305-E2305</f>
      </c>
    </row>
    <row r="2306">
      <c r="A2306" t="s">
        <v>267</v>
      </c>
      <c r="B2306" t="s">
        <v>269</v>
      </c>
      <c r="C2306" s="72" t="n">
        <v>2042</v>
      </c>
      <c r="D2306" t="s">
        <v>238</v>
      </c>
      <c r="E2306" s="73" t="n">
        <v>1203008.46563425</v>
      </c>
      <c r="F2306" s="74" t="n">
        <v>265042.832977806</v>
      </c>
      <c r="G2306" s="75" t="n">
        <v>1206799.58929471</v>
      </c>
      <c r="H2306" s="76" t="n">
        <v>265289.409116733</v>
      </c>
      <c r="I2306" s="77" t="str">
        <f>H2306-F2306</f>
      </c>
      <c r="J2306" s="78" t="str">
        <f>G2306-E2306</f>
      </c>
    </row>
    <row r="2307">
      <c r="A2307" t="s">
        <v>267</v>
      </c>
      <c r="B2307" t="s">
        <v>269</v>
      </c>
      <c r="C2307" s="72" t="n">
        <v>2042</v>
      </c>
      <c r="D2307" t="s">
        <v>184</v>
      </c>
      <c r="E2307" s="73" t="n">
        <v>144286.160955498</v>
      </c>
      <c r="F2307" s="74" t="n">
        <v>97418.0850454194</v>
      </c>
      <c r="G2307" s="75" t="n">
        <v>144248.066926011</v>
      </c>
      <c r="H2307" s="76" t="n">
        <v>97406.1569770963</v>
      </c>
      <c r="I2307" s="77" t="str">
        <f>H2307-F2307</f>
      </c>
      <c r="J2307" s="78" t="str">
        <f>G2307-E2307</f>
      </c>
    </row>
    <row r="2308">
      <c r="A2308" t="s">
        <v>267</v>
      </c>
      <c r="B2308" t="s">
        <v>269</v>
      </c>
      <c r="C2308" s="72" t="n">
        <v>2042</v>
      </c>
      <c r="D2308" t="s">
        <v>187</v>
      </c>
      <c r="E2308" s="73" t="n">
        <v>463702.632808172</v>
      </c>
      <c r="F2308" s="74" t="n">
        <v>430744.940822312</v>
      </c>
      <c r="G2308" s="75" t="n">
        <v>464487.038990191</v>
      </c>
      <c r="H2308" s="76" t="n">
        <v>431397.042999706</v>
      </c>
      <c r="I2308" s="77" t="str">
        <f>H2308-F2308</f>
      </c>
      <c r="J2308" s="78" t="str">
        <f>G2308-E2308</f>
      </c>
    </row>
    <row r="2309">
      <c r="A2309" t="s">
        <v>267</v>
      </c>
      <c r="B2309" t="s">
        <v>269</v>
      </c>
      <c r="C2309" s="72" t="n">
        <v>2042</v>
      </c>
      <c r="D2309" t="s">
        <v>190</v>
      </c>
      <c r="E2309" s="73" t="n">
        <v>795289.351083262</v>
      </c>
      <c r="F2309" s="74" t="n">
        <v>502117.495167169</v>
      </c>
      <c r="G2309" s="75" t="n">
        <v>799225.499121645</v>
      </c>
      <c r="H2309" s="76" t="n">
        <v>503603.803809569</v>
      </c>
      <c r="I2309" s="77" t="str">
        <f>H2309-F2309</f>
      </c>
      <c r="J2309" s="78" t="str">
        <f>G2309-E2309</f>
      </c>
    </row>
    <row r="2310">
      <c r="A2310" t="s">
        <v>267</v>
      </c>
      <c r="B2310" t="s">
        <v>269</v>
      </c>
      <c r="C2310" s="72" t="n">
        <v>2042</v>
      </c>
      <c r="D2310" t="s">
        <v>193</v>
      </c>
      <c r="E2310" s="73" t="n">
        <v>610718.225477888</v>
      </c>
      <c r="F2310" s="74" t="n">
        <v>357215.453609259</v>
      </c>
      <c r="G2310" s="75" t="n">
        <v>612664.177038008</v>
      </c>
      <c r="H2310" s="76" t="n">
        <v>357930.939504437</v>
      </c>
      <c r="I2310" s="77" t="str">
        <f>H2310-F2310</f>
      </c>
      <c r="J2310" s="78" t="str">
        <f>G2310-E2310</f>
      </c>
    </row>
    <row r="2311">
      <c r="A2311" t="s">
        <v>267</v>
      </c>
      <c r="B2311" t="s">
        <v>269</v>
      </c>
      <c r="C2311" s="72" t="n">
        <v>2042</v>
      </c>
      <c r="D2311" t="s">
        <v>424</v>
      </c>
      <c r="E2311" s="73" t="n">
        <v>43279.4565739882</v>
      </c>
      <c r="F2311" s="74" t="n">
        <v>7616.61968637834</v>
      </c>
      <c r="G2311" s="75" t="n">
        <v>43278.7284816073</v>
      </c>
      <c r="H2311" s="76" t="n">
        <v>7616.59280355029</v>
      </c>
      <c r="I2311" s="77" t="str">
        <f>H2311-F2311</f>
      </c>
      <c r="J2311" s="78" t="str">
        <f>G2311-E2311</f>
      </c>
    </row>
    <row r="2312">
      <c r="A2312" t="s">
        <v>267</v>
      </c>
      <c r="B2312" t="s">
        <v>269</v>
      </c>
      <c r="C2312" s="72" t="n">
        <v>2043</v>
      </c>
      <c r="D2312" t="s">
        <v>176</v>
      </c>
      <c r="E2312" s="73" t="n">
        <v>20728.3379598037</v>
      </c>
      <c r="F2312" s="74" t="n">
        <v>14575.7934653668</v>
      </c>
      <c r="G2312" s="75" t="n">
        <v>20720.5482054553</v>
      </c>
      <c r="H2312" s="76" t="n">
        <v>14572.8831532714</v>
      </c>
      <c r="I2312" s="77" t="str">
        <f>H2312-F2312</f>
      </c>
      <c r="J2312" s="78" t="str">
        <f>G2312-E2312</f>
      </c>
    </row>
    <row r="2313">
      <c r="A2313" t="s">
        <v>267</v>
      </c>
      <c r="B2313" t="s">
        <v>269</v>
      </c>
      <c r="C2313" s="72" t="n">
        <v>2043</v>
      </c>
      <c r="D2313" t="s">
        <v>238</v>
      </c>
      <c r="E2313" s="73" t="n">
        <v>1209134.37465234</v>
      </c>
      <c r="F2313" s="74" t="n">
        <v>272674.984660382</v>
      </c>
      <c r="G2313" s="75" t="n">
        <v>1213049.26096591</v>
      </c>
      <c r="H2313" s="76" t="n">
        <v>272950.435419178</v>
      </c>
      <c r="I2313" s="77" t="str">
        <f>H2313-F2313</f>
      </c>
      <c r="J2313" s="78" t="str">
        <f>G2313-E2313</f>
      </c>
    </row>
    <row r="2314">
      <c r="A2314" t="s">
        <v>267</v>
      </c>
      <c r="B2314" t="s">
        <v>269</v>
      </c>
      <c r="C2314" s="72" t="n">
        <v>2043</v>
      </c>
      <c r="D2314" t="s">
        <v>184</v>
      </c>
      <c r="E2314" s="73" t="n">
        <v>147038.316716914</v>
      </c>
      <c r="F2314" s="74" t="n">
        <v>99285.8461146186</v>
      </c>
      <c r="G2314" s="75" t="n">
        <v>146993.814208207</v>
      </c>
      <c r="H2314" s="76" t="n">
        <v>99271.3911680729</v>
      </c>
      <c r="I2314" s="77" t="str">
        <f>H2314-F2314</f>
      </c>
      <c r="J2314" s="78" t="str">
        <f>G2314-E2314</f>
      </c>
    </row>
    <row r="2315">
      <c r="A2315" t="s">
        <v>267</v>
      </c>
      <c r="B2315" t="s">
        <v>269</v>
      </c>
      <c r="C2315" s="72" t="n">
        <v>2043</v>
      </c>
      <c r="D2315" t="s">
        <v>187</v>
      </c>
      <c r="E2315" s="73" t="n">
        <v>470341.374475298</v>
      </c>
      <c r="F2315" s="74" t="n">
        <v>436994.375017884</v>
      </c>
      <c r="G2315" s="75" t="n">
        <v>471154.839580669</v>
      </c>
      <c r="H2315" s="76" t="n">
        <v>437679.988471842</v>
      </c>
      <c r="I2315" s="77" t="str">
        <f>H2315-F2315</f>
      </c>
      <c r="J2315" s="78" t="str">
        <f>G2315-E2315</f>
      </c>
    </row>
    <row r="2316">
      <c r="A2316" t="s">
        <v>267</v>
      </c>
      <c r="B2316" t="s">
        <v>269</v>
      </c>
      <c r="C2316" s="72" t="n">
        <v>2043</v>
      </c>
      <c r="D2316" t="s">
        <v>190</v>
      </c>
      <c r="E2316" s="73" t="n">
        <v>805912.547291705</v>
      </c>
      <c r="F2316" s="74" t="n">
        <v>510987.47834385</v>
      </c>
      <c r="G2316" s="75" t="n">
        <v>810014.772834319</v>
      </c>
      <c r="H2316" s="76" t="n">
        <v>512610.449179313</v>
      </c>
      <c r="I2316" s="77" t="str">
        <f>H2316-F2316</f>
      </c>
      <c r="J2316" s="78" t="str">
        <f>G2316-E2316</f>
      </c>
    </row>
    <row r="2317">
      <c r="A2317" t="s">
        <v>267</v>
      </c>
      <c r="B2317" t="s">
        <v>269</v>
      </c>
      <c r="C2317" s="72" t="n">
        <v>2043</v>
      </c>
      <c r="D2317" t="s">
        <v>193</v>
      </c>
      <c r="E2317" s="73" t="n">
        <v>621924.563649797</v>
      </c>
      <c r="F2317" s="74" t="n">
        <v>367178.656656748</v>
      </c>
      <c r="G2317" s="75" t="n">
        <v>623953.356494139</v>
      </c>
      <c r="H2317" s="76" t="n">
        <v>367959.059248153</v>
      </c>
      <c r="I2317" s="77" t="str">
        <f>H2317-F2317</f>
      </c>
      <c r="J2317" s="78" t="str">
        <f>G2317-E2317</f>
      </c>
    </row>
    <row r="2318">
      <c r="A2318" t="s">
        <v>267</v>
      </c>
      <c r="B2318" t="s">
        <v>269</v>
      </c>
      <c r="C2318" s="72" t="n">
        <v>2043</v>
      </c>
      <c r="D2318" t="s">
        <v>424</v>
      </c>
      <c r="E2318" s="73" t="n">
        <v>43232.9851354383</v>
      </c>
      <c r="F2318" s="74" t="n">
        <v>7634.67077698479</v>
      </c>
      <c r="G2318" s="75" t="n">
        <v>43232.1385441846</v>
      </c>
      <c r="H2318" s="76" t="n">
        <v>7634.63809790975</v>
      </c>
      <c r="I2318" s="77" t="str">
        <f>H2318-F2318</f>
      </c>
      <c r="J2318" s="78" t="str">
        <f>G2318-E2318</f>
      </c>
    </row>
    <row r="2319">
      <c r="A2319" t="s">
        <v>267</v>
      </c>
      <c r="B2319" t="s">
        <v>269</v>
      </c>
      <c r="C2319" s="72" t="n">
        <v>2044</v>
      </c>
      <c r="D2319" t="s">
        <v>176</v>
      </c>
      <c r="E2319" s="73" t="n">
        <v>21229.3208557055</v>
      </c>
      <c r="F2319" s="74" t="n">
        <v>14864.9108744382</v>
      </c>
      <c r="G2319" s="75" t="n">
        <v>21220.2473713984</v>
      </c>
      <c r="H2319" s="76" t="n">
        <v>14861.4315691186</v>
      </c>
      <c r="I2319" s="77" t="str">
        <f>H2319-F2319</f>
      </c>
      <c r="J2319" s="78" t="str">
        <f>G2319-E2319</f>
      </c>
    </row>
    <row r="2320">
      <c r="A2320" t="s">
        <v>267</v>
      </c>
      <c r="B2320" t="s">
        <v>269</v>
      </c>
      <c r="C2320" s="72" t="n">
        <v>2044</v>
      </c>
      <c r="D2320" t="s">
        <v>238</v>
      </c>
      <c r="E2320" s="73" t="n">
        <v>1214960.17277303</v>
      </c>
      <c r="F2320" s="74" t="n">
        <v>280201.097137584</v>
      </c>
      <c r="G2320" s="75" t="n">
        <v>1218988.4670045</v>
      </c>
      <c r="H2320" s="76" t="n">
        <v>280506.441535508</v>
      </c>
      <c r="I2320" s="77" t="str">
        <f>H2320-F2320</f>
      </c>
      <c r="J2320" s="78" t="str">
        <f>G2320-E2320</f>
      </c>
    </row>
    <row r="2321">
      <c r="A2321" t="s">
        <v>267</v>
      </c>
      <c r="B2321" t="s">
        <v>269</v>
      </c>
      <c r="C2321" s="72" t="n">
        <v>2044</v>
      </c>
      <c r="D2321" t="s">
        <v>184</v>
      </c>
      <c r="E2321" s="73" t="n">
        <v>149747.676580425</v>
      </c>
      <c r="F2321" s="74" t="n">
        <v>101129.557544345</v>
      </c>
      <c r="G2321" s="75" t="n">
        <v>149696.213967301</v>
      </c>
      <c r="H2321" s="76" t="n">
        <v>101112.290089553</v>
      </c>
      <c r="I2321" s="77" t="str">
        <f>H2321-F2321</f>
      </c>
      <c r="J2321" s="78" t="str">
        <f>G2321-E2321</f>
      </c>
    </row>
    <row r="2322">
      <c r="A2322" t="s">
        <v>267</v>
      </c>
      <c r="B2322" t="s">
        <v>269</v>
      </c>
      <c r="C2322" s="72" t="n">
        <v>2044</v>
      </c>
      <c r="D2322" t="s">
        <v>187</v>
      </c>
      <c r="E2322" s="73" t="n">
        <v>476741.461076187</v>
      </c>
      <c r="F2322" s="74" t="n">
        <v>443083.812023079</v>
      </c>
      <c r="G2322" s="75" t="n">
        <v>477581.314836645</v>
      </c>
      <c r="H2322" s="76" t="n">
        <v>443800.637197395</v>
      </c>
      <c r="I2322" s="77" t="str">
        <f>H2322-F2322</f>
      </c>
      <c r="J2322" s="78" t="str">
        <f>G2322-E2322</f>
      </c>
    </row>
    <row r="2323">
      <c r="A2323" t="s">
        <v>267</v>
      </c>
      <c r="B2323" t="s">
        <v>269</v>
      </c>
      <c r="C2323" s="72" t="n">
        <v>2044</v>
      </c>
      <c r="D2323" t="s">
        <v>190</v>
      </c>
      <c r="E2323" s="73" t="n">
        <v>816482.26036424</v>
      </c>
      <c r="F2323" s="74" t="n">
        <v>519661.266295401</v>
      </c>
      <c r="G2323" s="75" t="n">
        <v>820742.370121934</v>
      </c>
      <c r="H2323" s="76" t="n">
        <v>521420.170330997</v>
      </c>
      <c r="I2323" s="77" t="str">
        <f>H2323-F2323</f>
      </c>
      <c r="J2323" s="78" t="str">
        <f>G2323-E2323</f>
      </c>
    </row>
    <row r="2324">
      <c r="A2324" t="s">
        <v>267</v>
      </c>
      <c r="B2324" t="s">
        <v>269</v>
      </c>
      <c r="C2324" s="72" t="n">
        <v>2044</v>
      </c>
      <c r="D2324" t="s">
        <v>193</v>
      </c>
      <c r="E2324" s="73" t="n">
        <v>632918.171343047</v>
      </c>
      <c r="F2324" s="74" t="n">
        <v>377073.479817272</v>
      </c>
      <c r="G2324" s="75" t="n">
        <v>635024.546467649</v>
      </c>
      <c r="H2324" s="76" t="n">
        <v>377918.589898958</v>
      </c>
      <c r="I2324" s="77" t="str">
        <f>H2324-F2324</f>
      </c>
      <c r="J2324" s="78" t="str">
        <f>G2324-E2324</f>
      </c>
    </row>
    <row r="2325">
      <c r="A2325" t="s">
        <v>267</v>
      </c>
      <c r="B2325" t="s">
        <v>269</v>
      </c>
      <c r="C2325" s="72" t="n">
        <v>2044</v>
      </c>
      <c r="D2325" t="s">
        <v>424</v>
      </c>
      <c r="E2325" s="73" t="n">
        <v>43203.6040362027</v>
      </c>
      <c r="F2325" s="74" t="n">
        <v>7652.7610168864</v>
      </c>
      <c r="G2325" s="75" t="n">
        <v>43202.6300388595</v>
      </c>
      <c r="H2325" s="76" t="n">
        <v>7652.72182573668</v>
      </c>
      <c r="I2325" s="77" t="str">
        <f>H2325-F2325</f>
      </c>
      <c r="J2325" s="78" t="str">
        <f>G2325-E2325</f>
      </c>
    </row>
    <row r="2326">
      <c r="A2326" t="s">
        <v>267</v>
      </c>
      <c r="B2326" t="s">
        <v>269</v>
      </c>
      <c r="C2326" s="72" t="n">
        <v>2045</v>
      </c>
      <c r="D2326" t="s">
        <v>176</v>
      </c>
      <c r="E2326" s="73" t="n">
        <v>21728.091558799</v>
      </c>
      <c r="F2326" s="74" t="n">
        <v>15152.4085160644</v>
      </c>
      <c r="G2326" s="75" t="n">
        <v>21717.6165215297</v>
      </c>
      <c r="H2326" s="76" t="n">
        <v>15148.2979562423</v>
      </c>
      <c r="I2326" s="77" t="str">
        <f>H2326-F2326</f>
      </c>
      <c r="J2326" s="78" t="str">
        <f>G2326-E2326</f>
      </c>
    </row>
    <row r="2327">
      <c r="A2327" t="s">
        <v>267</v>
      </c>
      <c r="B2327" t="s">
        <v>269</v>
      </c>
      <c r="C2327" s="72" t="n">
        <v>2045</v>
      </c>
      <c r="D2327" t="s">
        <v>238</v>
      </c>
      <c r="E2327" s="73" t="n">
        <v>1220536.92546407</v>
      </c>
      <c r="F2327" s="74" t="n">
        <v>287588.914337706</v>
      </c>
      <c r="G2327" s="75" t="n">
        <v>1224668.96644768</v>
      </c>
      <c r="H2327" s="76" t="n">
        <v>287925.043222784</v>
      </c>
      <c r="I2327" s="77" t="str">
        <f>H2327-F2327</f>
      </c>
      <c r="J2327" s="78" t="str">
        <f>G2327-E2327</f>
      </c>
    </row>
    <row r="2328">
      <c r="A2328" t="s">
        <v>267</v>
      </c>
      <c r="B2328" t="s">
        <v>269</v>
      </c>
      <c r="C2328" s="72" t="n">
        <v>2045</v>
      </c>
      <c r="D2328" t="s">
        <v>184</v>
      </c>
      <c r="E2328" s="73" t="n">
        <v>152397.027781542</v>
      </c>
      <c r="F2328" s="74" t="n">
        <v>102955.686621028</v>
      </c>
      <c r="G2328" s="75" t="n">
        <v>152338.052815886</v>
      </c>
      <c r="H2328" s="76" t="n">
        <v>102935.314985138</v>
      </c>
      <c r="I2328" s="77" t="str">
        <f>H2328-F2328</f>
      </c>
      <c r="J2328" s="78" t="str">
        <f>G2328-E2328</f>
      </c>
    </row>
    <row r="2329">
      <c r="A2329" t="s">
        <v>267</v>
      </c>
      <c r="B2329" t="s">
        <v>269</v>
      </c>
      <c r="C2329" s="72" t="n">
        <v>2045</v>
      </c>
      <c r="D2329" t="s">
        <v>187</v>
      </c>
      <c r="E2329" s="73" t="n">
        <v>482859.997225263</v>
      </c>
      <c r="F2329" s="74" t="n">
        <v>448971.93100896</v>
      </c>
      <c r="G2329" s="75" t="n">
        <v>483723.516122198</v>
      </c>
      <c r="H2329" s="76" t="n">
        <v>449717.558047709</v>
      </c>
      <c r="I2329" s="77" t="str">
        <f>H2329-F2329</f>
      </c>
      <c r="J2329" s="78" t="str">
        <f>G2329-E2329</f>
      </c>
    </row>
    <row r="2330">
      <c r="A2330" t="s">
        <v>267</v>
      </c>
      <c r="B2330" t="s">
        <v>269</v>
      </c>
      <c r="C2330" s="72" t="n">
        <v>2045</v>
      </c>
      <c r="D2330" t="s">
        <v>190</v>
      </c>
      <c r="E2330" s="73" t="n">
        <v>827059.951872875</v>
      </c>
      <c r="F2330" s="74" t="n">
        <v>528100.863628682</v>
      </c>
      <c r="G2330" s="75" t="n">
        <v>831470.210098177</v>
      </c>
      <c r="H2330" s="76" t="n">
        <v>529994.226959208</v>
      </c>
      <c r="I2330" s="77" t="str">
        <f>H2330-F2330</f>
      </c>
      <c r="J2330" s="78" t="str">
        <f>G2330-E2330</f>
      </c>
    </row>
    <row r="2331">
      <c r="A2331" t="s">
        <v>267</v>
      </c>
      <c r="B2331" t="s">
        <v>269</v>
      </c>
      <c r="C2331" s="72" t="n">
        <v>2045</v>
      </c>
      <c r="D2331" t="s">
        <v>193</v>
      </c>
      <c r="E2331" s="73" t="n">
        <v>643552.240526048</v>
      </c>
      <c r="F2331" s="74" t="n">
        <v>386841.549669826</v>
      </c>
      <c r="G2331" s="75" t="n">
        <v>645730.44769896</v>
      </c>
      <c r="H2331" s="76" t="n">
        <v>387750.678781898</v>
      </c>
      <c r="I2331" s="77" t="str">
        <f>H2331-F2331</f>
      </c>
      <c r="J2331" s="78" t="str">
        <f>G2331-E2331</f>
      </c>
    </row>
    <row r="2332">
      <c r="A2332" t="s">
        <v>267</v>
      </c>
      <c r="B2332" t="s">
        <v>269</v>
      </c>
      <c r="C2332" s="72" t="n">
        <v>2045</v>
      </c>
      <c r="D2332" t="s">
        <v>424</v>
      </c>
      <c r="E2332" s="73" t="n">
        <v>43191.7138838164</v>
      </c>
      <c r="F2332" s="74" t="n">
        <v>7672.11468238783</v>
      </c>
      <c r="G2332" s="75" t="n">
        <v>43190.6037513161</v>
      </c>
      <c r="H2332" s="76" t="n">
        <v>7672.06822678464</v>
      </c>
      <c r="I2332" s="77" t="str">
        <f>H2332-F2332</f>
      </c>
      <c r="J2332" s="78" t="str">
        <f>G2332-E2332</f>
      </c>
    </row>
    <row r="2333">
      <c r="A2333" t="s">
        <v>267</v>
      </c>
      <c r="B2333" t="s">
        <v>269</v>
      </c>
      <c r="C2333" s="72" t="n">
        <v>2046</v>
      </c>
      <c r="D2333" t="s">
        <v>176</v>
      </c>
      <c r="E2333" s="73" t="n">
        <v>22222.9709682854</v>
      </c>
      <c r="F2333" s="74" t="n">
        <v>15441.7012000353</v>
      </c>
      <c r="G2333" s="75" t="n">
        <v>22210.9745219107</v>
      </c>
      <c r="H2333" s="76" t="n">
        <v>15436.8918612077</v>
      </c>
      <c r="I2333" s="77" t="str">
        <f>H2333-F2333</f>
      </c>
      <c r="J2333" s="78" t="str">
        <f>G2333-E2333</f>
      </c>
    </row>
    <row r="2334">
      <c r="A2334" t="s">
        <v>267</v>
      </c>
      <c r="B2334" t="s">
        <v>269</v>
      </c>
      <c r="C2334" s="72" t="n">
        <v>2046</v>
      </c>
      <c r="D2334" t="s">
        <v>238</v>
      </c>
      <c r="E2334" s="73" t="n">
        <v>1225898.29947968</v>
      </c>
      <c r="F2334" s="74" t="n">
        <v>294798.227566386</v>
      </c>
      <c r="G2334" s="75" t="n">
        <v>1230125.0687767</v>
      </c>
      <c r="H2334" s="76" t="n">
        <v>295165.877208802</v>
      </c>
      <c r="I2334" s="77" t="str">
        <f>H2334-F2334</f>
      </c>
      <c r="J2334" s="78" t="str">
        <f>G2334-E2334</f>
      </c>
    </row>
    <row r="2335">
      <c r="A2335" t="s">
        <v>267</v>
      </c>
      <c r="B2335" t="s">
        <v>269</v>
      </c>
      <c r="C2335" s="72" t="n">
        <v>2046</v>
      </c>
      <c r="D2335" t="s">
        <v>184</v>
      </c>
      <c r="E2335" s="73" t="n">
        <v>154986.230697934</v>
      </c>
      <c r="F2335" s="74" t="n">
        <v>104754.90771893</v>
      </c>
      <c r="G2335" s="75" t="n">
        <v>154919.185199882</v>
      </c>
      <c r="H2335" s="76" t="n">
        <v>104731.133984312</v>
      </c>
      <c r="I2335" s="77" t="str">
        <f>H2335-F2335</f>
      </c>
      <c r="J2335" s="78" t="str">
        <f>G2335-E2335</f>
      </c>
    </row>
    <row r="2336">
      <c r="A2336" t="s">
        <v>267</v>
      </c>
      <c r="B2336" t="s">
        <v>269</v>
      </c>
      <c r="C2336" s="72" t="n">
        <v>2046</v>
      </c>
      <c r="D2336" t="s">
        <v>187</v>
      </c>
      <c r="E2336" s="73" t="n">
        <v>488675.138874921</v>
      </c>
      <c r="F2336" s="74" t="n">
        <v>454538.282743143</v>
      </c>
      <c r="G2336" s="75" t="n">
        <v>489559.569488497</v>
      </c>
      <c r="H2336" s="76" t="n">
        <v>455310.080020589</v>
      </c>
      <c r="I2336" s="77" t="str">
        <f>H2336-F2336</f>
      </c>
      <c r="J2336" s="78" t="str">
        <f>G2336-E2336</f>
      </c>
    </row>
    <row r="2337">
      <c r="A2337" t="s">
        <v>267</v>
      </c>
      <c r="B2337" t="s">
        <v>269</v>
      </c>
      <c r="C2337" s="72" t="n">
        <v>2046</v>
      </c>
      <c r="D2337" t="s">
        <v>190</v>
      </c>
      <c r="E2337" s="73" t="n">
        <v>837470.270061389</v>
      </c>
      <c r="F2337" s="74" t="n">
        <v>536414.031643129</v>
      </c>
      <c r="G2337" s="75" t="n">
        <v>842022.211146035</v>
      </c>
      <c r="H2337" s="76" t="n">
        <v>538440.168228285</v>
      </c>
      <c r="I2337" s="77" t="str">
        <f>H2337-F2337</f>
      </c>
      <c r="J2337" s="78" t="str">
        <f>G2337-E2337</f>
      </c>
    </row>
    <row r="2338">
      <c r="A2338" t="s">
        <v>267</v>
      </c>
      <c r="B2338" t="s">
        <v>269</v>
      </c>
      <c r="C2338" s="72" t="n">
        <v>2046</v>
      </c>
      <c r="D2338" t="s">
        <v>193</v>
      </c>
      <c r="E2338" s="73" t="n">
        <v>653779.146564382</v>
      </c>
      <c r="F2338" s="74" t="n">
        <v>396459.902794517</v>
      </c>
      <c r="G2338" s="75" t="n">
        <v>656023.203848247</v>
      </c>
      <c r="H2338" s="76" t="n">
        <v>397431.950602612</v>
      </c>
      <c r="I2338" s="77" t="str">
        <f>H2338-F2338</f>
      </c>
      <c r="J2338" s="78" t="str">
        <f>G2338-E2338</f>
      </c>
    </row>
    <row r="2339">
      <c r="A2339" t="s">
        <v>267</v>
      </c>
      <c r="B2339" t="s">
        <v>269</v>
      </c>
      <c r="C2339" s="72" t="n">
        <v>2046</v>
      </c>
      <c r="D2339" t="s">
        <v>424</v>
      </c>
      <c r="E2339" s="73" t="n">
        <v>43197.5654272146</v>
      </c>
      <c r="F2339" s="74" t="n">
        <v>7693.61154438408</v>
      </c>
      <c r="G2339" s="75" t="n">
        <v>43196.3103231123</v>
      </c>
      <c r="H2339" s="76" t="n">
        <v>7693.55704865625</v>
      </c>
      <c r="I2339" s="77" t="str">
        <f>H2339-F2339</f>
      </c>
      <c r="J2339" s="78" t="str">
        <f>G2339-E2339</f>
      </c>
    </row>
    <row r="2340">
      <c r="A2340" t="s">
        <v>267</v>
      </c>
      <c r="B2340" t="s">
        <v>269</v>
      </c>
      <c r="C2340" s="72" t="n">
        <v>2047</v>
      </c>
      <c r="D2340" t="s">
        <v>176</v>
      </c>
      <c r="E2340" s="73" t="n">
        <v>22713.3036549879</v>
      </c>
      <c r="F2340" s="74" t="n">
        <v>15734.066135937</v>
      </c>
      <c r="G2340" s="75" t="n">
        <v>22699.6629629007</v>
      </c>
      <c r="H2340" s="76" t="n">
        <v>15728.4854947303</v>
      </c>
      <c r="I2340" s="77" t="str">
        <f>H2340-F2340</f>
      </c>
      <c r="J2340" s="78" t="str">
        <f>G2340-E2340</f>
      </c>
    </row>
    <row r="2341">
      <c r="A2341" t="s">
        <v>267</v>
      </c>
      <c r="B2341" t="s">
        <v>269</v>
      </c>
      <c r="C2341" s="72" t="n">
        <v>2047</v>
      </c>
      <c r="D2341" t="s">
        <v>238</v>
      </c>
      <c r="E2341" s="73" t="n">
        <v>1230961.9854154</v>
      </c>
      <c r="F2341" s="74" t="n">
        <v>301780.802708412</v>
      </c>
      <c r="G2341" s="75" t="n">
        <v>1235274.66521773</v>
      </c>
      <c r="H2341" s="76" t="n">
        <v>302180.550312501</v>
      </c>
      <c r="I2341" s="77" t="str">
        <f>H2341-F2341</f>
      </c>
      <c r="J2341" s="78" t="str">
        <f>G2341-E2341</f>
      </c>
    </row>
    <row r="2342">
      <c r="A2342" t="s">
        <v>267</v>
      </c>
      <c r="B2342" t="s">
        <v>269</v>
      </c>
      <c r="C2342" s="72" t="n">
        <v>2047</v>
      </c>
      <c r="D2342" t="s">
        <v>184</v>
      </c>
      <c r="E2342" s="73" t="n">
        <v>157511.616916066</v>
      </c>
      <c r="F2342" s="74" t="n">
        <v>106515.158126287</v>
      </c>
      <c r="G2342" s="75" t="n">
        <v>157435.937342911</v>
      </c>
      <c r="H2342" s="76" t="n">
        <v>106487.677760342</v>
      </c>
      <c r="I2342" s="77" t="str">
        <f>H2342-F2342</f>
      </c>
      <c r="J2342" s="78" t="str">
        <f>G2342-E2342</f>
      </c>
    </row>
    <row r="2343">
      <c r="A2343" t="s">
        <v>267</v>
      </c>
      <c r="B2343" t="s">
        <v>269</v>
      </c>
      <c r="C2343" s="72" t="n">
        <v>2047</v>
      </c>
      <c r="D2343" t="s">
        <v>187</v>
      </c>
      <c r="E2343" s="73" t="n">
        <v>494144.814173402</v>
      </c>
      <c r="F2343" s="74" t="n">
        <v>459744.176504357</v>
      </c>
      <c r="G2343" s="75" t="n">
        <v>495047.331680699</v>
      </c>
      <c r="H2343" s="76" t="n">
        <v>460539.427749469</v>
      </c>
      <c r="I2343" s="77" t="str">
        <f>H2343-F2343</f>
      </c>
      <c r="J2343" s="78" t="str">
        <f>G2343-E2343</f>
      </c>
    </row>
    <row r="2344">
      <c r="A2344" t="s">
        <v>267</v>
      </c>
      <c r="B2344" t="s">
        <v>269</v>
      </c>
      <c r="C2344" s="72" t="n">
        <v>2047</v>
      </c>
      <c r="D2344" t="s">
        <v>190</v>
      </c>
      <c r="E2344" s="73" t="n">
        <v>847671.760180697</v>
      </c>
      <c r="F2344" s="74" t="n">
        <v>544735.675703865</v>
      </c>
      <c r="G2344" s="75" t="n">
        <v>852357.036896631</v>
      </c>
      <c r="H2344" s="76" t="n">
        <v>546892.884748123</v>
      </c>
      <c r="I2344" s="77" t="str">
        <f>H2344-F2344</f>
      </c>
      <c r="J2344" s="78" t="str">
        <f>G2344-E2344</f>
      </c>
    </row>
    <row r="2345">
      <c r="A2345" t="s">
        <v>267</v>
      </c>
      <c r="B2345" t="s">
        <v>269</v>
      </c>
      <c r="C2345" s="72" t="n">
        <v>2047</v>
      </c>
      <c r="D2345" t="s">
        <v>193</v>
      </c>
      <c r="E2345" s="73" t="n">
        <v>663656.444776174</v>
      </c>
      <c r="F2345" s="74" t="n">
        <v>405904.862446927</v>
      </c>
      <c r="G2345" s="75" t="n">
        <v>665960.530537607</v>
      </c>
      <c r="H2345" s="76" t="n">
        <v>406938.309858621</v>
      </c>
      <c r="I2345" s="77" t="str">
        <f>H2345-F2345</f>
      </c>
      <c r="J2345" s="78" t="str">
        <f>G2345-E2345</f>
      </c>
    </row>
    <row r="2346">
      <c r="A2346" t="s">
        <v>267</v>
      </c>
      <c r="B2346" t="s">
        <v>269</v>
      </c>
      <c r="C2346" s="72" t="n">
        <v>2047</v>
      </c>
      <c r="D2346" t="s">
        <v>424</v>
      </c>
      <c r="E2346" s="73" t="n">
        <v>43219.0432848394</v>
      </c>
      <c r="F2346" s="74" t="n">
        <v>7716.32785607798</v>
      </c>
      <c r="G2346" s="75" t="n">
        <v>43217.6341923504</v>
      </c>
      <c r="H2346" s="76" t="n">
        <v>7716.26452507886</v>
      </c>
      <c r="I2346" s="77" t="str">
        <f>H2346-F2346</f>
      </c>
      <c r="J2346" s="78" t="str">
        <f>G2346-E2346</f>
      </c>
    </row>
    <row r="2347">
      <c r="A2347" t="s">
        <v>267</v>
      </c>
      <c r="B2347" t="s">
        <v>269</v>
      </c>
      <c r="C2347" s="72" t="n">
        <v>2048</v>
      </c>
      <c r="D2347" t="s">
        <v>176</v>
      </c>
      <c r="E2347" s="73" t="n">
        <v>23195.1853607628</v>
      </c>
      <c r="F2347" s="74" t="n">
        <v>16031.6425056673</v>
      </c>
      <c r="G2347" s="75" t="n">
        <v>23179.7775298232</v>
      </c>
      <c r="H2347" s="76" t="n">
        <v>16025.2187605858</v>
      </c>
      <c r="I2347" s="77" t="str">
        <f>H2347-F2347</f>
      </c>
      <c r="J2347" s="78" t="str">
        <f>G2347-E2347</f>
      </c>
    </row>
    <row r="2348">
      <c r="A2348" t="s">
        <v>267</v>
      </c>
      <c r="B2348" t="s">
        <v>269</v>
      </c>
      <c r="C2348" s="72" t="n">
        <v>2048</v>
      </c>
      <c r="D2348" t="s">
        <v>238</v>
      </c>
      <c r="E2348" s="73" t="n">
        <v>1235818.51720427</v>
      </c>
      <c r="F2348" s="74" t="n">
        <v>308531.982893597</v>
      </c>
      <c r="G2348" s="75" t="n">
        <v>1240209.10376068</v>
      </c>
      <c r="H2348" s="76" t="n">
        <v>308964.310377282</v>
      </c>
      <c r="I2348" s="77" t="str">
        <f>H2348-F2348</f>
      </c>
      <c r="J2348" s="78" t="str">
        <f>G2348-E2348</f>
      </c>
    </row>
    <row r="2349">
      <c r="A2349" t="s">
        <v>267</v>
      </c>
      <c r="B2349" t="s">
        <v>269</v>
      </c>
      <c r="C2349" s="72" t="n">
        <v>2048</v>
      </c>
      <c r="D2349" t="s">
        <v>184</v>
      </c>
      <c r="E2349" s="73" t="n">
        <v>159961.936049286</v>
      </c>
      <c r="F2349" s="74" t="n">
        <v>108236.803017898</v>
      </c>
      <c r="G2349" s="75" t="n">
        <v>159877.069557409</v>
      </c>
      <c r="H2349" s="76" t="n">
        <v>108205.309376064</v>
      </c>
      <c r="I2349" s="77" t="str">
        <f>H2349-F2349</f>
      </c>
      <c r="J2349" s="78" t="str">
        <f>G2349-E2349</f>
      </c>
    </row>
    <row r="2350">
      <c r="A2350" t="s">
        <v>267</v>
      </c>
      <c r="B2350" t="s">
        <v>269</v>
      </c>
      <c r="C2350" s="72" t="n">
        <v>2048</v>
      </c>
      <c r="D2350" t="s">
        <v>187</v>
      </c>
      <c r="E2350" s="73" t="n">
        <v>499334.004420589</v>
      </c>
      <c r="F2350" s="74" t="n">
        <v>464742.225315415</v>
      </c>
      <c r="G2350" s="75" t="n">
        <v>500251.963676638</v>
      </c>
      <c r="H2350" s="76" t="n">
        <v>465558.478994868</v>
      </c>
      <c r="I2350" s="77" t="str">
        <f>H2350-F2350</f>
      </c>
      <c r="J2350" s="78" t="str">
        <f>G2350-E2350</f>
      </c>
    </row>
    <row r="2351">
      <c r="A2351" t="s">
        <v>267</v>
      </c>
      <c r="B2351" t="s">
        <v>269</v>
      </c>
      <c r="C2351" s="72" t="n">
        <v>2048</v>
      </c>
      <c r="D2351" t="s">
        <v>190</v>
      </c>
      <c r="E2351" s="73" t="n">
        <v>857611.035792161</v>
      </c>
      <c r="F2351" s="74" t="n">
        <v>552933.603393686</v>
      </c>
      <c r="G2351" s="75" t="n">
        <v>862421.197666068</v>
      </c>
      <c r="H2351" s="76" t="n">
        <v>555219.254274076</v>
      </c>
      <c r="I2351" s="77" t="str">
        <f>H2351-F2351</f>
      </c>
      <c r="J2351" s="78" t="str">
        <f>G2351-E2351</f>
      </c>
    </row>
    <row r="2352">
      <c r="A2352" t="s">
        <v>267</v>
      </c>
      <c r="B2352" t="s">
        <v>269</v>
      </c>
      <c r="C2352" s="72" t="n">
        <v>2048</v>
      </c>
      <c r="D2352" t="s">
        <v>193</v>
      </c>
      <c r="E2352" s="73" t="n">
        <v>673179.699462792</v>
      </c>
      <c r="F2352" s="74" t="n">
        <v>415128.285979923</v>
      </c>
      <c r="G2352" s="75" t="n">
        <v>675538.067131439</v>
      </c>
      <c r="H2352" s="76" t="n">
        <v>416221.145643516</v>
      </c>
      <c r="I2352" s="77" t="str">
        <f>H2352-F2352</f>
      </c>
      <c r="J2352" s="78" t="str">
        <f>G2352-E2352</f>
      </c>
    </row>
    <row r="2353">
      <c r="A2353" t="s">
        <v>267</v>
      </c>
      <c r="B2353" t="s">
        <v>269</v>
      </c>
      <c r="C2353" s="72" t="n">
        <v>2048</v>
      </c>
      <c r="D2353" t="s">
        <v>424</v>
      </c>
      <c r="E2353" s="73" t="n">
        <v>43248.6883509354</v>
      </c>
      <c r="F2353" s="74" t="n">
        <v>7741.0412331914</v>
      </c>
      <c r="G2353" s="75" t="n">
        <v>43247.1165682685</v>
      </c>
      <c r="H2353" s="76" t="n">
        <v>7740.96823230914</v>
      </c>
      <c r="I2353" s="77" t="str">
        <f>H2353-F2353</f>
      </c>
      <c r="J2353" s="78" t="str">
        <f>G2353-E2353</f>
      </c>
    </row>
    <row r="2354">
      <c r="A2354" t="s">
        <v>267</v>
      </c>
      <c r="B2354" t="s">
        <v>269</v>
      </c>
      <c r="C2354" s="72" t="n">
        <v>2049</v>
      </c>
      <c r="D2354" t="s">
        <v>176</v>
      </c>
      <c r="E2354" s="73" t="n">
        <v>23667.6564208908</v>
      </c>
      <c r="F2354" s="74" t="n">
        <v>16329.9512110331</v>
      </c>
      <c r="G2354" s="75" t="n">
        <v>23650.3614840449</v>
      </c>
      <c r="H2354" s="76" t="n">
        <v>16322.61151708</v>
      </c>
      <c r="I2354" s="77" t="str">
        <f>H2354-F2354</f>
      </c>
      <c r="J2354" s="78" t="str">
        <f>G2354-E2354</f>
      </c>
    </row>
    <row r="2355">
      <c r="A2355" t="s">
        <v>267</v>
      </c>
      <c r="B2355" t="s">
        <v>269</v>
      </c>
      <c r="C2355" s="72" t="n">
        <v>2049</v>
      </c>
      <c r="D2355" t="s">
        <v>238</v>
      </c>
      <c r="E2355" s="73" t="n">
        <v>1240497.34805365</v>
      </c>
      <c r="F2355" s="74" t="n">
        <v>315063.37375353</v>
      </c>
      <c r="G2355" s="75" t="n">
        <v>1244958.37630862</v>
      </c>
      <c r="H2355" s="76" t="n">
        <v>315528.654574656</v>
      </c>
      <c r="I2355" s="77" t="str">
        <f>H2355-F2355</f>
      </c>
      <c r="J2355" s="78" t="str">
        <f>G2355-E2355</f>
      </c>
    </row>
    <row r="2356">
      <c r="A2356" t="s">
        <v>267</v>
      </c>
      <c r="B2356" t="s">
        <v>269</v>
      </c>
      <c r="C2356" s="72" t="n">
        <v>2049</v>
      </c>
      <c r="D2356" t="s">
        <v>184</v>
      </c>
      <c r="E2356" s="73" t="n">
        <v>162332.722188793</v>
      </c>
      <c r="F2356" s="74" t="n">
        <v>109918.18208001</v>
      </c>
      <c r="G2356" s="75" t="n">
        <v>162238.134685625</v>
      </c>
      <c r="H2356" s="76" t="n">
        <v>109882.371148655</v>
      </c>
      <c r="I2356" s="77" t="str">
        <f>H2356-F2356</f>
      </c>
      <c r="J2356" s="78" t="str">
        <f>G2356-E2356</f>
      </c>
    </row>
    <row r="2357">
      <c r="A2357" t="s">
        <v>267</v>
      </c>
      <c r="B2357" t="s">
        <v>269</v>
      </c>
      <c r="C2357" s="72" t="n">
        <v>2049</v>
      </c>
      <c r="D2357" t="s">
        <v>187</v>
      </c>
      <c r="E2357" s="73" t="n">
        <v>504284.990148306</v>
      </c>
      <c r="F2357" s="74" t="n">
        <v>469548.991797862</v>
      </c>
      <c r="G2357" s="75" t="n">
        <v>505215.900508139</v>
      </c>
      <c r="H2357" s="76" t="n">
        <v>470383.880162835</v>
      </c>
      <c r="I2357" s="77" t="str">
        <f>H2357-F2357</f>
      </c>
      <c r="J2357" s="78" t="str">
        <f>G2357-E2357</f>
      </c>
    </row>
    <row r="2358">
      <c r="A2358" t="s">
        <v>267</v>
      </c>
      <c r="B2358" t="s">
        <v>269</v>
      </c>
      <c r="C2358" s="72" t="n">
        <v>2049</v>
      </c>
      <c r="D2358" t="s">
        <v>190</v>
      </c>
      <c r="E2358" s="73" t="n">
        <v>867113.651275935</v>
      </c>
      <c r="F2358" s="74" t="n">
        <v>560927.123644967</v>
      </c>
      <c r="G2358" s="75" t="n">
        <v>872039.412561908</v>
      </c>
      <c r="H2358" s="76" t="n">
        <v>563337.765593671</v>
      </c>
      <c r="I2358" s="77" t="str">
        <f>H2358-F2358</f>
      </c>
      <c r="J2358" s="78" t="str">
        <f>G2358-E2358</f>
      </c>
    </row>
    <row r="2359">
      <c r="A2359" t="s">
        <v>267</v>
      </c>
      <c r="B2359" t="s">
        <v>269</v>
      </c>
      <c r="C2359" s="72" t="n">
        <v>2049</v>
      </c>
      <c r="D2359" t="s">
        <v>193</v>
      </c>
      <c r="E2359" s="73" t="n">
        <v>682392.319632343</v>
      </c>
      <c r="F2359" s="74" t="n">
        <v>424061.500208519</v>
      </c>
      <c r="G2359" s="75" t="n">
        <v>684799.519243418</v>
      </c>
      <c r="H2359" s="76" t="n">
        <v>425211.294806661</v>
      </c>
      <c r="I2359" s="77" t="str">
        <f>H2359-F2359</f>
      </c>
      <c r="J2359" s="78" t="str">
        <f>G2359-E2359</f>
      </c>
    </row>
    <row r="2360">
      <c r="A2360" t="s">
        <v>267</v>
      </c>
      <c r="B2360" t="s">
        <v>269</v>
      </c>
      <c r="C2360" s="72" t="n">
        <v>2049</v>
      </c>
      <c r="D2360" t="s">
        <v>424</v>
      </c>
      <c r="E2360" s="73" t="n">
        <v>43289.4367535065</v>
      </c>
      <c r="F2360" s="74" t="n">
        <v>7764.50859443106</v>
      </c>
      <c r="G2360" s="75" t="n">
        <v>43287.6941181752</v>
      </c>
      <c r="H2360" s="76" t="n">
        <v>7764.42505773382</v>
      </c>
      <c r="I2360" s="77" t="str">
        <f>H2360-F2360</f>
      </c>
      <c r="J2360" s="78" t="str">
        <f>G2360-E2360</f>
      </c>
    </row>
    <row r="2361">
      <c r="A2361" t="s">
        <v>267</v>
      </c>
      <c r="B2361" t="s">
        <v>269</v>
      </c>
      <c r="C2361" s="72" t="n">
        <v>2050</v>
      </c>
      <c r="D2361" t="s">
        <v>176</v>
      </c>
      <c r="E2361" s="73" t="n">
        <v>24129.7293141151</v>
      </c>
      <c r="F2361" s="74" t="n">
        <v>16627.2520385638</v>
      </c>
      <c r="G2361" s="75" t="n">
        <v>24110.4306261692</v>
      </c>
      <c r="H2361" s="76" t="n">
        <v>16618.9237091261</v>
      </c>
      <c r="I2361" s="77" t="str">
        <f>H2361-F2361</f>
      </c>
      <c r="J2361" s="78" t="str">
        <f>G2361-E2361</f>
      </c>
    </row>
    <row r="2362">
      <c r="A2362" t="s">
        <v>267</v>
      </c>
      <c r="B2362" t="s">
        <v>269</v>
      </c>
      <c r="C2362" s="72" t="n">
        <v>2050</v>
      </c>
      <c r="D2362" t="s">
        <v>238</v>
      </c>
      <c r="E2362" s="73" t="n">
        <v>1245050.34405314</v>
      </c>
      <c r="F2362" s="74" t="n">
        <v>321367.642110267</v>
      </c>
      <c r="G2362" s="75" t="n">
        <v>1249574.98129843</v>
      </c>
      <c r="H2362" s="76" t="n">
        <v>321866.145423905</v>
      </c>
      <c r="I2362" s="77" t="str">
        <f>H2362-F2362</f>
      </c>
      <c r="J2362" s="78" t="str">
        <f>G2362-E2362</f>
      </c>
    </row>
    <row r="2363">
      <c r="A2363" t="s">
        <v>267</v>
      </c>
      <c r="B2363" t="s">
        <v>269</v>
      </c>
      <c r="C2363" s="72" t="n">
        <v>2050</v>
      </c>
      <c r="D2363" t="s">
        <v>184</v>
      </c>
      <c r="E2363" s="73" t="n">
        <v>164631.774502603</v>
      </c>
      <c r="F2363" s="74" t="n">
        <v>111536.682417092</v>
      </c>
      <c r="G2363" s="75" t="n">
        <v>164526.94959842</v>
      </c>
      <c r="H2363" s="76" t="n">
        <v>111496.260054028</v>
      </c>
      <c r="I2363" s="77" t="str">
        <f>H2363-F2363</f>
      </c>
      <c r="J2363" s="78" t="str">
        <f>G2363-E2363</f>
      </c>
    </row>
    <row r="2364">
      <c r="A2364" t="s">
        <v>267</v>
      </c>
      <c r="B2364" t="s">
        <v>269</v>
      </c>
      <c r="C2364" s="72" t="n">
        <v>2050</v>
      </c>
      <c r="D2364" t="s">
        <v>187</v>
      </c>
      <c r="E2364" s="73" t="n">
        <v>508982.38413857</v>
      </c>
      <c r="F2364" s="74" t="n">
        <v>474042.262899449</v>
      </c>
      <c r="G2364" s="75" t="n">
        <v>509923.794653266</v>
      </c>
      <c r="H2364" s="76" t="n">
        <v>474893.254554943</v>
      </c>
      <c r="I2364" s="77" t="str">
        <f>H2364-F2364</f>
      </c>
      <c r="J2364" s="78" t="str">
        <f>G2364-E2364</f>
      </c>
    </row>
    <row r="2365">
      <c r="A2365" t="s">
        <v>267</v>
      </c>
      <c r="B2365" t="s">
        <v>269</v>
      </c>
      <c r="C2365" s="72" t="n">
        <v>2050</v>
      </c>
      <c r="D2365" t="s">
        <v>190</v>
      </c>
      <c r="E2365" s="73" t="n">
        <v>876187.81924567</v>
      </c>
      <c r="F2365" s="74" t="n">
        <v>568773.007194937</v>
      </c>
      <c r="G2365" s="75" t="n">
        <v>881220.210178615</v>
      </c>
      <c r="H2365" s="76" t="n">
        <v>571305.130665456</v>
      </c>
      <c r="I2365" s="77" t="str">
        <f>H2365-F2365</f>
      </c>
      <c r="J2365" s="78" t="str">
        <f>G2365-E2365</f>
      </c>
    </row>
    <row r="2366">
      <c r="A2366" t="s">
        <v>267</v>
      </c>
      <c r="B2366" t="s">
        <v>269</v>
      </c>
      <c r="C2366" s="72" t="n">
        <v>2050</v>
      </c>
      <c r="D2366" t="s">
        <v>193</v>
      </c>
      <c r="E2366" s="73" t="n">
        <v>691382.294186302</v>
      </c>
      <c r="F2366" s="74" t="n">
        <v>432724.078511067</v>
      </c>
      <c r="G2366" s="75" t="n">
        <v>693833.375810026</v>
      </c>
      <c r="H2366" s="76" t="n">
        <v>433928.116842437</v>
      </c>
      <c r="I2366" s="77" t="str">
        <f>H2366-F2366</f>
      </c>
      <c r="J2366" s="78" t="str">
        <f>G2366-E2366</f>
      </c>
    </row>
    <row r="2367">
      <c r="A2367" t="s">
        <v>267</v>
      </c>
      <c r="B2367" t="s">
        <v>269</v>
      </c>
      <c r="C2367" s="72" t="n">
        <v>2050</v>
      </c>
      <c r="D2367" t="s">
        <v>424</v>
      </c>
      <c r="E2367" s="73" t="n">
        <v>43339.2551976486</v>
      </c>
      <c r="F2367" s="74" t="n">
        <v>7785.68747058468</v>
      </c>
      <c r="G2367" s="75" t="n">
        <v>43337.3340718481</v>
      </c>
      <c r="H2367" s="76" t="n">
        <v>7785.59251624651</v>
      </c>
      <c r="I2367" s="77" t="str">
        <f>H2367-F2367</f>
      </c>
      <c r="J2367" s="78" t="str">
        <f>G2367-E2367</f>
      </c>
    </row>
    <row r="2368">
      <c r="A2368" t="s">
        <v>274</v>
      </c>
      <c r="B2368" t="s">
        <v>276</v>
      </c>
      <c r="C2368" s="72" t="n">
        <v>2025</v>
      </c>
      <c r="D2368" t="s">
        <v>176</v>
      </c>
      <c r="E2368" s="73" t="n">
        <v>12347.3896757033</v>
      </c>
      <c r="F2368" s="74" t="n">
        <v>8975.30849722876</v>
      </c>
      <c r="G2368" s="75" t="n">
        <v>12347.3896757033</v>
      </c>
      <c r="H2368" s="76" t="n">
        <v>8975.30849722876</v>
      </c>
      <c r="I2368" s="77" t="str">
        <f>H2368-F2368</f>
      </c>
      <c r="J2368" s="78" t="str">
        <f>G2368-E2368</f>
      </c>
    </row>
    <row r="2369">
      <c r="A2369" t="s">
        <v>274</v>
      </c>
      <c r="B2369" t="s">
        <v>276</v>
      </c>
      <c r="C2369" s="72" t="n">
        <v>2025</v>
      </c>
      <c r="D2369" t="s">
        <v>238</v>
      </c>
      <c r="E2369" s="73" t="n">
        <v>1026043.97207164</v>
      </c>
      <c r="F2369" s="74" t="n">
        <v>129403.022830672</v>
      </c>
      <c r="G2369" s="75" t="n">
        <v>1026043.97207164</v>
      </c>
      <c r="H2369" s="76" t="n">
        <v>129403.022830672</v>
      </c>
      <c r="I2369" s="77" t="str">
        <f>H2369-F2369</f>
      </c>
      <c r="J2369" s="78" t="str">
        <f>G2369-E2369</f>
      </c>
    </row>
    <row r="2370">
      <c r="A2370" t="s">
        <v>274</v>
      </c>
      <c r="B2370" t="s">
        <v>276</v>
      </c>
      <c r="C2370" s="72" t="n">
        <v>2025</v>
      </c>
      <c r="D2370" t="s">
        <v>184</v>
      </c>
      <c r="E2370" s="73" t="n">
        <v>91684.5090142746</v>
      </c>
      <c r="F2370" s="74" t="n">
        <v>63318.7518252021</v>
      </c>
      <c r="G2370" s="75" t="n">
        <v>91684.5090142746</v>
      </c>
      <c r="H2370" s="76" t="n">
        <v>63318.7518252021</v>
      </c>
      <c r="I2370" s="77" t="str">
        <f>H2370-F2370</f>
      </c>
      <c r="J2370" s="78" t="str">
        <f>G2370-E2370</f>
      </c>
    </row>
    <row r="2371">
      <c r="A2371" t="s">
        <v>274</v>
      </c>
      <c r="B2371" t="s">
        <v>276</v>
      </c>
      <c r="C2371" s="72" t="n">
        <v>2025</v>
      </c>
      <c r="D2371" t="s">
        <v>187</v>
      </c>
      <c r="E2371" s="73" t="n">
        <v>327817.992111529</v>
      </c>
      <c r="F2371" s="74" t="n">
        <v>300216.82861998</v>
      </c>
      <c r="G2371" s="75" t="n">
        <v>327817.992111529</v>
      </c>
      <c r="H2371" s="76" t="n">
        <v>300216.82861998</v>
      </c>
      <c r="I2371" s="77" t="str">
        <f>H2371-F2371</f>
      </c>
      <c r="J2371" s="78" t="str">
        <f>G2371-E2371</f>
      </c>
    </row>
    <row r="2372">
      <c r="A2372" t="s">
        <v>274</v>
      </c>
      <c r="B2372" t="s">
        <v>276</v>
      </c>
      <c r="C2372" s="72" t="n">
        <v>2025</v>
      </c>
      <c r="D2372" t="s">
        <v>190</v>
      </c>
      <c r="E2372" s="73" t="n">
        <v>563964.128928848</v>
      </c>
      <c r="F2372" s="74" t="n">
        <v>321188.162987932</v>
      </c>
      <c r="G2372" s="75" t="n">
        <v>563964.128928848</v>
      </c>
      <c r="H2372" s="76" t="n">
        <v>321188.162987932</v>
      </c>
      <c r="I2372" s="77" t="str">
        <f>H2372-F2372</f>
      </c>
      <c r="J2372" s="78" t="str">
        <f>G2372-E2372</f>
      </c>
    </row>
    <row r="2373">
      <c r="A2373" t="s">
        <v>274</v>
      </c>
      <c r="B2373" t="s">
        <v>276</v>
      </c>
      <c r="C2373" s="72" t="n">
        <v>2025</v>
      </c>
      <c r="D2373" t="s">
        <v>193</v>
      </c>
      <c r="E2373" s="73" t="n">
        <v>396205.912797568</v>
      </c>
      <c r="F2373" s="74" t="n">
        <v>191954.713579597</v>
      </c>
      <c r="G2373" s="75" t="n">
        <v>396205.912797568</v>
      </c>
      <c r="H2373" s="76" t="n">
        <v>191954.713579597</v>
      </c>
      <c r="I2373" s="77" t="str">
        <f>H2373-F2373</f>
      </c>
      <c r="J2373" s="78" t="str">
        <f>G2373-E2373</f>
      </c>
    </row>
    <row r="2374">
      <c r="A2374" t="s">
        <v>274</v>
      </c>
      <c r="B2374" t="s">
        <v>276</v>
      </c>
      <c r="C2374" s="72" t="n">
        <v>2025</v>
      </c>
      <c r="D2374" t="s">
        <v>424</v>
      </c>
      <c r="E2374" s="73" t="n">
        <v>44024.8557845561</v>
      </c>
      <c r="F2374" s="74" t="n">
        <v>6961.02866951274</v>
      </c>
      <c r="G2374" s="75" t="n">
        <v>44024.8557845561</v>
      </c>
      <c r="H2374" s="76" t="n">
        <v>6961.02866951274</v>
      </c>
      <c r="I2374" s="77" t="str">
        <f>H2374-F2374</f>
      </c>
      <c r="J2374" s="78" t="str">
        <f>G2374-E2374</f>
      </c>
    </row>
    <row r="2375">
      <c r="A2375" t="s">
        <v>274</v>
      </c>
      <c r="B2375" t="s">
        <v>276</v>
      </c>
      <c r="C2375" s="72" t="n">
        <v>2026</v>
      </c>
      <c r="D2375" t="s">
        <v>176</v>
      </c>
      <c r="E2375" s="73" t="n">
        <v>12812.507871628</v>
      </c>
      <c r="F2375" s="74" t="n">
        <v>9308.26420910955</v>
      </c>
      <c r="G2375" s="75" t="n">
        <v>12812.507871628</v>
      </c>
      <c r="H2375" s="76" t="n">
        <v>9308.26420910955</v>
      </c>
      <c r="I2375" s="77" t="str">
        <f>H2375-F2375</f>
      </c>
      <c r="J2375" s="78" t="str">
        <f>G2375-E2375</f>
      </c>
    </row>
    <row r="2376">
      <c r="A2376" t="s">
        <v>274</v>
      </c>
      <c r="B2376" t="s">
        <v>276</v>
      </c>
      <c r="C2376" s="72" t="n">
        <v>2026</v>
      </c>
      <c r="D2376" t="s">
        <v>238</v>
      </c>
      <c r="E2376" s="73" t="n">
        <v>1040956.74283153</v>
      </c>
      <c r="F2376" s="74" t="n">
        <v>137191.896136923</v>
      </c>
      <c r="G2376" s="75" t="n">
        <v>1040956.74283153</v>
      </c>
      <c r="H2376" s="76" t="n">
        <v>137191.896136923</v>
      </c>
      <c r="I2376" s="77" t="str">
        <f>H2376-F2376</f>
      </c>
      <c r="J2376" s="78" t="str">
        <f>G2376-E2376</f>
      </c>
    </row>
    <row r="2377">
      <c r="A2377" t="s">
        <v>274</v>
      </c>
      <c r="B2377" t="s">
        <v>276</v>
      </c>
      <c r="C2377" s="72" t="n">
        <v>2026</v>
      </c>
      <c r="D2377" t="s">
        <v>184</v>
      </c>
      <c r="E2377" s="73" t="n">
        <v>95077.1833035265</v>
      </c>
      <c r="F2377" s="74" t="n">
        <v>65164.4704134017</v>
      </c>
      <c r="G2377" s="75" t="n">
        <v>95077.1833035265</v>
      </c>
      <c r="H2377" s="76" t="n">
        <v>65164.4704134017</v>
      </c>
      <c r="I2377" s="77" t="str">
        <f>H2377-F2377</f>
      </c>
      <c r="J2377" s="78" t="str">
        <f>G2377-E2377</f>
      </c>
    </row>
    <row r="2378">
      <c r="A2378" t="s">
        <v>274</v>
      </c>
      <c r="B2378" t="s">
        <v>276</v>
      </c>
      <c r="C2378" s="72" t="n">
        <v>2026</v>
      </c>
      <c r="D2378" t="s">
        <v>187</v>
      </c>
      <c r="E2378" s="73" t="n">
        <v>336875.423495605</v>
      </c>
      <c r="F2378" s="74" t="n">
        <v>308606.943045308</v>
      </c>
      <c r="G2378" s="75" t="n">
        <v>336875.423495605</v>
      </c>
      <c r="H2378" s="76" t="n">
        <v>308606.943045308</v>
      </c>
      <c r="I2378" s="77" t="str">
        <f>H2378-F2378</f>
      </c>
      <c r="J2378" s="78" t="str">
        <f>G2378-E2378</f>
      </c>
    </row>
    <row r="2379">
      <c r="A2379" t="s">
        <v>274</v>
      </c>
      <c r="B2379" t="s">
        <v>276</v>
      </c>
      <c r="C2379" s="72" t="n">
        <v>2026</v>
      </c>
      <c r="D2379" t="s">
        <v>190</v>
      </c>
      <c r="E2379" s="73" t="n">
        <v>580111.541957649</v>
      </c>
      <c r="F2379" s="74" t="n">
        <v>332896.185768311</v>
      </c>
      <c r="G2379" s="75" t="n">
        <v>580111.541957649</v>
      </c>
      <c r="H2379" s="76" t="n">
        <v>332896.185768311</v>
      </c>
      <c r="I2379" s="77" t="str">
        <f>H2379-F2379</f>
      </c>
      <c r="J2379" s="78" t="str">
        <f>G2379-E2379</f>
      </c>
    </row>
    <row r="2380">
      <c r="A2380" t="s">
        <v>274</v>
      </c>
      <c r="B2380" t="s">
        <v>276</v>
      </c>
      <c r="C2380" s="72" t="n">
        <v>2026</v>
      </c>
      <c r="D2380" t="s">
        <v>193</v>
      </c>
      <c r="E2380" s="73" t="n">
        <v>409829.87281699</v>
      </c>
      <c r="F2380" s="74" t="n">
        <v>202008.199783237</v>
      </c>
      <c r="G2380" s="75" t="n">
        <v>409829.87281699</v>
      </c>
      <c r="H2380" s="76" t="n">
        <v>202008.199783237</v>
      </c>
      <c r="I2380" s="77" t="str">
        <f>H2380-F2380</f>
      </c>
      <c r="J2380" s="78" t="str">
        <f>G2380-E2380</f>
      </c>
    </row>
    <row r="2381">
      <c r="A2381" t="s">
        <v>274</v>
      </c>
      <c r="B2381" t="s">
        <v>276</v>
      </c>
      <c r="C2381" s="72" t="n">
        <v>2026</v>
      </c>
      <c r="D2381" t="s">
        <v>424</v>
      </c>
      <c r="E2381" s="73" t="n">
        <v>44219.1707517653</v>
      </c>
      <c r="F2381" s="74" t="n">
        <v>7023.77126872287</v>
      </c>
      <c r="G2381" s="75" t="n">
        <v>44219.1707517653</v>
      </c>
      <c r="H2381" s="76" t="n">
        <v>7023.77126872287</v>
      </c>
      <c r="I2381" s="77" t="str">
        <f>H2381-F2381</f>
      </c>
      <c r="J2381" s="78" t="str">
        <f>G2381-E2381</f>
      </c>
    </row>
    <row r="2382">
      <c r="A2382" t="s">
        <v>274</v>
      </c>
      <c r="B2382" t="s">
        <v>276</v>
      </c>
      <c r="C2382" s="72" t="n">
        <v>2027</v>
      </c>
      <c r="D2382" t="s">
        <v>176</v>
      </c>
      <c r="E2382" s="73" t="n">
        <v>13273.481772584</v>
      </c>
      <c r="F2382" s="74" t="n">
        <v>9640.71530777017</v>
      </c>
      <c r="G2382" s="75" t="n">
        <v>13273.481772584</v>
      </c>
      <c r="H2382" s="76" t="n">
        <v>9640.71530777017</v>
      </c>
      <c r="I2382" s="77" t="str">
        <f>H2382-F2382</f>
      </c>
      <c r="J2382" s="78" t="str">
        <f>G2382-E2382</f>
      </c>
    </row>
    <row r="2383">
      <c r="A2383" t="s">
        <v>274</v>
      </c>
      <c r="B2383" t="s">
        <v>276</v>
      </c>
      <c r="C2383" s="72" t="n">
        <v>2027</v>
      </c>
      <c r="D2383" t="s">
        <v>238</v>
      </c>
      <c r="E2383" s="73" t="n">
        <v>1054846.11897474</v>
      </c>
      <c r="F2383" s="74" t="n">
        <v>145087.130776418</v>
      </c>
      <c r="G2383" s="75" t="n">
        <v>1055255.40879996</v>
      </c>
      <c r="H2383" s="76" t="n">
        <v>145087.130776418</v>
      </c>
      <c r="I2383" s="77" t="str">
        <f>H2383-F2383</f>
      </c>
      <c r="J2383" s="78" t="str">
        <f>G2383-E2383</f>
      </c>
    </row>
    <row r="2384">
      <c r="A2384" t="s">
        <v>274</v>
      </c>
      <c r="B2384" t="s">
        <v>276</v>
      </c>
      <c r="C2384" s="72" t="n">
        <v>2027</v>
      </c>
      <c r="D2384" t="s">
        <v>184</v>
      </c>
      <c r="E2384" s="73" t="n">
        <v>98448.8278839669</v>
      </c>
      <c r="F2384" s="74" t="n">
        <v>67068.0169086102</v>
      </c>
      <c r="G2384" s="75" t="n">
        <v>98448.8278839669</v>
      </c>
      <c r="H2384" s="76" t="n">
        <v>67068.0169086102</v>
      </c>
      <c r="I2384" s="77" t="str">
        <f>H2384-F2384</f>
      </c>
      <c r="J2384" s="78" t="str">
        <f>G2384-E2384</f>
      </c>
    </row>
    <row r="2385">
      <c r="A2385" t="s">
        <v>274</v>
      </c>
      <c r="B2385" t="s">
        <v>276</v>
      </c>
      <c r="C2385" s="72" t="n">
        <v>2027</v>
      </c>
      <c r="D2385" t="s">
        <v>187</v>
      </c>
      <c r="E2385" s="73" t="n">
        <v>345862.658063371</v>
      </c>
      <c r="F2385" s="74" t="n">
        <v>317119.553552555</v>
      </c>
      <c r="G2385" s="75" t="n">
        <v>345936.706716403</v>
      </c>
      <c r="H2385" s="76" t="n">
        <v>317119.553552555</v>
      </c>
      <c r="I2385" s="77" t="str">
        <f>H2385-F2385</f>
      </c>
      <c r="J2385" s="78" t="str">
        <f>G2385-E2385</f>
      </c>
    </row>
    <row r="2386">
      <c r="A2386" t="s">
        <v>274</v>
      </c>
      <c r="B2386" t="s">
        <v>276</v>
      </c>
      <c r="C2386" s="72" t="n">
        <v>2027</v>
      </c>
      <c r="D2386" t="s">
        <v>190</v>
      </c>
      <c r="E2386" s="73" t="n">
        <v>595787.285295793</v>
      </c>
      <c r="F2386" s="74" t="n">
        <v>344517.274659827</v>
      </c>
      <c r="G2386" s="75" t="n">
        <v>596148.832334676</v>
      </c>
      <c r="H2386" s="76" t="n">
        <v>344517.274659827</v>
      </c>
      <c r="I2386" s="77" t="str">
        <f>H2386-F2386</f>
      </c>
      <c r="J2386" s="78" t="str">
        <f>G2386-E2386</f>
      </c>
    </row>
    <row r="2387">
      <c r="A2387" t="s">
        <v>274</v>
      </c>
      <c r="B2387" t="s">
        <v>276</v>
      </c>
      <c r="C2387" s="72" t="n">
        <v>2027</v>
      </c>
      <c r="D2387" t="s">
        <v>193</v>
      </c>
      <c r="E2387" s="73" t="n">
        <v>423313.288305244</v>
      </c>
      <c r="F2387" s="74" t="n">
        <v>211995.488024171</v>
      </c>
      <c r="G2387" s="75" t="n">
        <v>423485.101321999</v>
      </c>
      <c r="H2387" s="76" t="n">
        <v>211995.488024171</v>
      </c>
      <c r="I2387" s="77" t="str">
        <f>H2387-F2387</f>
      </c>
      <c r="J2387" s="78" t="str">
        <f>G2387-E2387</f>
      </c>
    </row>
    <row r="2388">
      <c r="A2388" t="s">
        <v>274</v>
      </c>
      <c r="B2388" t="s">
        <v>276</v>
      </c>
      <c r="C2388" s="72" t="n">
        <v>2027</v>
      </c>
      <c r="D2388" t="s">
        <v>424</v>
      </c>
      <c r="E2388" s="73" t="n">
        <v>44384.2018393689</v>
      </c>
      <c r="F2388" s="74" t="n">
        <v>7080.05700568168</v>
      </c>
      <c r="G2388" s="75" t="n">
        <v>44384.2018393689</v>
      </c>
      <c r="H2388" s="76" t="n">
        <v>7080.05700568168</v>
      </c>
      <c r="I2388" s="77" t="str">
        <f>H2388-F2388</f>
      </c>
      <c r="J2388" s="78" t="str">
        <f>G2388-E2388</f>
      </c>
    </row>
    <row r="2389">
      <c r="A2389" t="s">
        <v>274</v>
      </c>
      <c r="B2389" t="s">
        <v>276</v>
      </c>
      <c r="C2389" s="72" t="n">
        <v>2028</v>
      </c>
      <c r="D2389" t="s">
        <v>176</v>
      </c>
      <c r="E2389" s="73" t="n">
        <v>13729.5005000864</v>
      </c>
      <c r="F2389" s="74" t="n">
        <v>9971.45472163389</v>
      </c>
      <c r="G2389" s="75" t="n">
        <v>13729.5005000864</v>
      </c>
      <c r="H2389" s="76" t="n">
        <v>9971.45472163389</v>
      </c>
      <c r="I2389" s="77" t="str">
        <f>H2389-F2389</f>
      </c>
      <c r="J2389" s="78" t="str">
        <f>G2389-E2389</f>
      </c>
    </row>
    <row r="2390">
      <c r="A2390" t="s">
        <v>274</v>
      </c>
      <c r="B2390" t="s">
        <v>276</v>
      </c>
      <c r="C2390" s="72" t="n">
        <v>2028</v>
      </c>
      <c r="D2390" t="s">
        <v>238</v>
      </c>
      <c r="E2390" s="73" t="n">
        <v>1068204.11533268</v>
      </c>
      <c r="F2390" s="74" t="n">
        <v>153075.089219555</v>
      </c>
      <c r="G2390" s="75" t="n">
        <v>1069005.07088018</v>
      </c>
      <c r="H2390" s="76" t="n">
        <v>153077.867387244</v>
      </c>
      <c r="I2390" s="77" t="str">
        <f>H2390-F2390</f>
      </c>
      <c r="J2390" s="78" t="str">
        <f>G2390-E2390</f>
      </c>
    </row>
    <row r="2391">
      <c r="A2391" t="s">
        <v>274</v>
      </c>
      <c r="B2391" t="s">
        <v>276</v>
      </c>
      <c r="C2391" s="72" t="n">
        <v>2028</v>
      </c>
      <c r="D2391" t="s">
        <v>184</v>
      </c>
      <c r="E2391" s="73" t="n">
        <v>101797.96761407</v>
      </c>
      <c r="F2391" s="74" t="n">
        <v>69019.933123165</v>
      </c>
      <c r="G2391" s="75" t="n">
        <v>101797.96761407</v>
      </c>
      <c r="H2391" s="76" t="n">
        <v>69019.933123165</v>
      </c>
      <c r="I2391" s="77" t="str">
        <f>H2391-F2391</f>
      </c>
      <c r="J2391" s="78" t="str">
        <f>G2391-E2391</f>
      </c>
    </row>
    <row r="2392">
      <c r="A2392" t="s">
        <v>274</v>
      </c>
      <c r="B2392" t="s">
        <v>276</v>
      </c>
      <c r="C2392" s="72" t="n">
        <v>2028</v>
      </c>
      <c r="D2392" t="s">
        <v>187</v>
      </c>
      <c r="E2392" s="73" t="n">
        <v>354818.469850515</v>
      </c>
      <c r="F2392" s="74" t="n">
        <v>325657.846219361</v>
      </c>
      <c r="G2392" s="75" t="n">
        <v>354965.535819133</v>
      </c>
      <c r="H2392" s="76" t="n">
        <v>325690.683016893</v>
      </c>
      <c r="I2392" s="77" t="str">
        <f>H2392-F2392</f>
      </c>
      <c r="J2392" s="78" t="str">
        <f>G2392-E2392</f>
      </c>
    </row>
    <row r="2393">
      <c r="A2393" t="s">
        <v>274</v>
      </c>
      <c r="B2393" t="s">
        <v>276</v>
      </c>
      <c r="C2393" s="72" t="n">
        <v>2028</v>
      </c>
      <c r="D2393" t="s">
        <v>190</v>
      </c>
      <c r="E2393" s="73" t="n">
        <v>611314.654767228</v>
      </c>
      <c r="F2393" s="74" t="n">
        <v>356049.91821068</v>
      </c>
      <c r="G2393" s="75" t="n">
        <v>612031.659444751</v>
      </c>
      <c r="H2393" s="76" t="n">
        <v>356073.571438059</v>
      </c>
      <c r="I2393" s="77" t="str">
        <f>H2393-F2393</f>
      </c>
      <c r="J2393" s="78" t="str">
        <f>G2393-E2393</f>
      </c>
    </row>
    <row r="2394">
      <c r="A2394" t="s">
        <v>274</v>
      </c>
      <c r="B2394" t="s">
        <v>276</v>
      </c>
      <c r="C2394" s="72" t="n">
        <v>2028</v>
      </c>
      <c r="D2394" t="s">
        <v>193</v>
      </c>
      <c r="E2394" s="73" t="n">
        <v>436817.176977614</v>
      </c>
      <c r="F2394" s="74" t="n">
        <v>221895.343643263</v>
      </c>
      <c r="G2394" s="75" t="n">
        <v>437159.755191958</v>
      </c>
      <c r="H2394" s="76" t="n">
        <v>221908.958563303</v>
      </c>
      <c r="I2394" s="77" t="str">
        <f>H2394-F2394</f>
      </c>
      <c r="J2394" s="78" t="str">
        <f>G2394-E2394</f>
      </c>
    </row>
    <row r="2395">
      <c r="A2395" t="s">
        <v>274</v>
      </c>
      <c r="B2395" t="s">
        <v>276</v>
      </c>
      <c r="C2395" s="72" t="n">
        <v>2028</v>
      </c>
      <c r="D2395" t="s">
        <v>424</v>
      </c>
      <c r="E2395" s="73" t="n">
        <v>44510.0649629929</v>
      </c>
      <c r="F2395" s="74" t="n">
        <v>7131.07016356498</v>
      </c>
      <c r="G2395" s="75" t="n">
        <v>44510.0649629929</v>
      </c>
      <c r="H2395" s="76" t="n">
        <v>7131.07016356498</v>
      </c>
      <c r="I2395" s="77" t="str">
        <f>H2395-F2395</f>
      </c>
      <c r="J2395" s="78" t="str">
        <f>G2395-E2395</f>
      </c>
    </row>
    <row r="2396">
      <c r="A2396" t="s">
        <v>274</v>
      </c>
      <c r="B2396" t="s">
        <v>276</v>
      </c>
      <c r="C2396" s="72" t="n">
        <v>2029</v>
      </c>
      <c r="D2396" t="s">
        <v>176</v>
      </c>
      <c r="E2396" s="73" t="n">
        <v>14181.4510992697</v>
      </c>
      <c r="F2396" s="74" t="n">
        <v>10301.2295792609</v>
      </c>
      <c r="G2396" s="75" t="n">
        <v>14181.4236375467</v>
      </c>
      <c r="H2396" s="76" t="n">
        <v>10301.2295792609</v>
      </c>
      <c r="I2396" s="77" t="str">
        <f>H2396-F2396</f>
      </c>
      <c r="J2396" s="78" t="str">
        <f>G2396-E2396</f>
      </c>
    </row>
    <row r="2397">
      <c r="A2397" t="s">
        <v>274</v>
      </c>
      <c r="B2397" t="s">
        <v>276</v>
      </c>
      <c r="C2397" s="72" t="n">
        <v>2029</v>
      </c>
      <c r="D2397" t="s">
        <v>238</v>
      </c>
      <c r="E2397" s="73" t="n">
        <v>1081077.75701562</v>
      </c>
      <c r="F2397" s="74" t="n">
        <v>161152.738865005</v>
      </c>
      <c r="G2397" s="75" t="n">
        <v>1082252.39423074</v>
      </c>
      <c r="H2397" s="76" t="n">
        <v>161161.062132093</v>
      </c>
      <c r="I2397" s="77" t="str">
        <f>H2397-F2397</f>
      </c>
      <c r="J2397" s="78" t="str">
        <f>G2397-E2397</f>
      </c>
    </row>
    <row r="2398">
      <c r="A2398" t="s">
        <v>274</v>
      </c>
      <c r="B2398" t="s">
        <v>276</v>
      </c>
      <c r="C2398" s="72" t="n">
        <v>2029</v>
      </c>
      <c r="D2398" t="s">
        <v>184</v>
      </c>
      <c r="E2398" s="73" t="n">
        <v>105114.854083442</v>
      </c>
      <c r="F2398" s="74" t="n">
        <v>71042.0544294395</v>
      </c>
      <c r="G2398" s="75" t="n">
        <v>105114.693344183</v>
      </c>
      <c r="H2398" s="76" t="n">
        <v>71042.0544294395</v>
      </c>
      <c r="I2398" s="77" t="str">
        <f>H2398-F2398</f>
      </c>
      <c r="J2398" s="78" t="str">
        <f>G2398-E2398</f>
      </c>
    </row>
    <row r="2399">
      <c r="A2399" t="s">
        <v>274</v>
      </c>
      <c r="B2399" t="s">
        <v>276</v>
      </c>
      <c r="C2399" s="72" t="n">
        <v>2029</v>
      </c>
      <c r="D2399" t="s">
        <v>187</v>
      </c>
      <c r="E2399" s="73" t="n">
        <v>363677.492502565</v>
      </c>
      <c r="F2399" s="74" t="n">
        <v>334213.712326996</v>
      </c>
      <c r="G2399" s="75" t="n">
        <v>363896.204247168</v>
      </c>
      <c r="H2399" s="76" t="n">
        <v>334292.677138926</v>
      </c>
      <c r="I2399" s="77" t="str">
        <f>H2399-F2399</f>
      </c>
      <c r="J2399" s="78" t="str">
        <f>G2399-E2399</f>
      </c>
    </row>
    <row r="2400">
      <c r="A2400" t="s">
        <v>274</v>
      </c>
      <c r="B2400" t="s">
        <v>276</v>
      </c>
      <c r="C2400" s="72" t="n">
        <v>2029</v>
      </c>
      <c r="D2400" t="s">
        <v>190</v>
      </c>
      <c r="E2400" s="73" t="n">
        <v>626661.129618615</v>
      </c>
      <c r="F2400" s="74" t="n">
        <v>367506.425015501</v>
      </c>
      <c r="G2400" s="75" t="n">
        <v>627726.336898794</v>
      </c>
      <c r="H2400" s="76" t="n">
        <v>367575.22274735</v>
      </c>
      <c r="I2400" s="77" t="str">
        <f>H2400-F2400</f>
      </c>
      <c r="J2400" s="78" t="str">
        <f>G2400-E2400</f>
      </c>
    </row>
    <row r="2401">
      <c r="A2401" t="s">
        <v>274</v>
      </c>
      <c r="B2401" t="s">
        <v>276</v>
      </c>
      <c r="C2401" s="72" t="n">
        <v>2029</v>
      </c>
      <c r="D2401" t="s">
        <v>193</v>
      </c>
      <c r="E2401" s="73" t="n">
        <v>450274.733877805</v>
      </c>
      <c r="F2401" s="74" t="n">
        <v>231669.794824384</v>
      </c>
      <c r="G2401" s="75" t="n">
        <v>450786.134013569</v>
      </c>
      <c r="H2401" s="76" t="n">
        <v>231708.01887569</v>
      </c>
      <c r="I2401" s="77" t="str">
        <f>H2401-F2401</f>
      </c>
      <c r="J2401" s="78" t="str">
        <f>G2401-E2401</f>
      </c>
    </row>
    <row r="2402">
      <c r="A2402" t="s">
        <v>274</v>
      </c>
      <c r="B2402" t="s">
        <v>276</v>
      </c>
      <c r="C2402" s="72" t="n">
        <v>2029</v>
      </c>
      <c r="D2402" t="s">
        <v>424</v>
      </c>
      <c r="E2402" s="73" t="n">
        <v>44600.2647676222</v>
      </c>
      <c r="F2402" s="74" t="n">
        <v>7178.21931597252</v>
      </c>
      <c r="G2402" s="75" t="n">
        <v>44600.2614435955</v>
      </c>
      <c r="H2402" s="76" t="n">
        <v>7178.21931597252</v>
      </c>
      <c r="I2402" s="77" t="str">
        <f>H2402-F2402</f>
      </c>
      <c r="J2402" s="78" t="str">
        <f>G2402-E2402</f>
      </c>
    </row>
    <row r="2403">
      <c r="A2403" t="s">
        <v>274</v>
      </c>
      <c r="B2403" t="s">
        <v>276</v>
      </c>
      <c r="C2403" s="72" t="n">
        <v>2030</v>
      </c>
      <c r="D2403" t="s">
        <v>176</v>
      </c>
      <c r="E2403" s="73" t="n">
        <v>14631.0264796383</v>
      </c>
      <c r="F2403" s="74" t="n">
        <v>10630.2757013594</v>
      </c>
      <c r="G2403" s="75" t="n">
        <v>14630.9263575645</v>
      </c>
      <c r="H2403" s="76" t="n">
        <v>10630.2702680602</v>
      </c>
      <c r="I2403" s="77" t="str">
        <f>H2403-F2403</f>
      </c>
      <c r="J2403" s="78" t="str">
        <f>G2403-E2403</f>
      </c>
    </row>
    <row r="2404">
      <c r="A2404" t="s">
        <v>274</v>
      </c>
      <c r="B2404" t="s">
        <v>276</v>
      </c>
      <c r="C2404" s="72" t="n">
        <v>2030</v>
      </c>
      <c r="D2404" t="s">
        <v>238</v>
      </c>
      <c r="E2404" s="73" t="n">
        <v>1093426.64493839</v>
      </c>
      <c r="F2404" s="74" t="n">
        <v>169298.242656746</v>
      </c>
      <c r="G2404" s="75" t="n">
        <v>1094956.84444967</v>
      </c>
      <c r="H2404" s="76" t="n">
        <v>169314.834038038</v>
      </c>
      <c r="I2404" s="77" t="str">
        <f>H2404-F2404</f>
      </c>
      <c r="J2404" s="78" t="str">
        <f>G2404-E2404</f>
      </c>
    </row>
    <row r="2405">
      <c r="A2405" t="s">
        <v>274</v>
      </c>
      <c r="B2405" t="s">
        <v>276</v>
      </c>
      <c r="C2405" s="72" t="n">
        <v>2030</v>
      </c>
      <c r="D2405" t="s">
        <v>184</v>
      </c>
      <c r="E2405" s="73" t="n">
        <v>108394.363614749</v>
      </c>
      <c r="F2405" s="74" t="n">
        <v>73120.8258904758</v>
      </c>
      <c r="G2405" s="75" t="n">
        <v>108393.77376612</v>
      </c>
      <c r="H2405" s="76" t="n">
        <v>73120.8011068864</v>
      </c>
      <c r="I2405" s="77" t="str">
        <f>H2405-F2405</f>
      </c>
      <c r="J2405" s="78" t="str">
        <f>G2405-E2405</f>
      </c>
    </row>
    <row r="2406">
      <c r="A2406" t="s">
        <v>274</v>
      </c>
      <c r="B2406" t="s">
        <v>276</v>
      </c>
      <c r="C2406" s="72" t="n">
        <v>2030</v>
      </c>
      <c r="D2406" t="s">
        <v>187</v>
      </c>
      <c r="E2406" s="73" t="n">
        <v>372453.089802121</v>
      </c>
      <c r="F2406" s="74" t="n">
        <v>342757.468549844</v>
      </c>
      <c r="G2406" s="75" t="n">
        <v>372741.795461264</v>
      </c>
      <c r="H2406" s="76" t="n">
        <v>342889.635366394</v>
      </c>
      <c r="I2406" s="77" t="str">
        <f>H2406-F2406</f>
      </c>
      <c r="J2406" s="78" t="str">
        <f>G2406-E2406</f>
      </c>
    </row>
    <row r="2407">
      <c r="A2407" t="s">
        <v>274</v>
      </c>
      <c r="B2407" t="s">
        <v>276</v>
      </c>
      <c r="C2407" s="72" t="n">
        <v>2030</v>
      </c>
      <c r="D2407" t="s">
        <v>190</v>
      </c>
      <c r="E2407" s="73" t="n">
        <v>641749.030088687</v>
      </c>
      <c r="F2407" s="74" t="n">
        <v>378806.963569289</v>
      </c>
      <c r="G2407" s="75" t="n">
        <v>643154.211305628</v>
      </c>
      <c r="H2407" s="76" t="n">
        <v>378940.231267445</v>
      </c>
      <c r="I2407" s="77" t="str">
        <f>H2407-F2407</f>
      </c>
      <c r="J2407" s="78" t="str">
        <f>G2407-E2407</f>
      </c>
    </row>
    <row r="2408">
      <c r="A2408" t="s">
        <v>274</v>
      </c>
      <c r="B2408" t="s">
        <v>276</v>
      </c>
      <c r="C2408" s="72" t="n">
        <v>2030</v>
      </c>
      <c r="D2408" t="s">
        <v>193</v>
      </c>
      <c r="E2408" s="73" t="n">
        <v>463682.886215781</v>
      </c>
      <c r="F2408" s="74" t="n">
        <v>241238.218795999</v>
      </c>
      <c r="G2408" s="75" t="n">
        <v>464360.518103772</v>
      </c>
      <c r="H2408" s="76" t="n">
        <v>241310.309903655</v>
      </c>
      <c r="I2408" s="77" t="str">
        <f>H2408-F2408</f>
      </c>
      <c r="J2408" s="78" t="str">
        <f>G2408-E2408</f>
      </c>
    </row>
    <row r="2409">
      <c r="A2409" t="s">
        <v>274</v>
      </c>
      <c r="B2409" t="s">
        <v>276</v>
      </c>
      <c r="C2409" s="72" t="n">
        <v>2030</v>
      </c>
      <c r="D2409" t="s">
        <v>424</v>
      </c>
      <c r="E2409" s="73" t="n">
        <v>44647.2810196398</v>
      </c>
      <c r="F2409" s="74" t="n">
        <v>7223.11036773913</v>
      </c>
      <c r="G2409" s="75" t="n">
        <v>44647.268915283</v>
      </c>
      <c r="H2409" s="76" t="n">
        <v>7223.11031474236</v>
      </c>
      <c r="I2409" s="77" t="str">
        <f>H2409-F2409</f>
      </c>
      <c r="J2409" s="78" t="str">
        <f>G2409-E2409</f>
      </c>
    </row>
    <row r="2410">
      <c r="A2410" t="s">
        <v>274</v>
      </c>
      <c r="B2410" t="s">
        <v>276</v>
      </c>
      <c r="C2410" s="72" t="n">
        <v>2031</v>
      </c>
      <c r="D2410" t="s">
        <v>176</v>
      </c>
      <c r="E2410" s="73" t="n">
        <v>15080.6146566742</v>
      </c>
      <c r="F2410" s="74" t="n">
        <v>10955.4491366121</v>
      </c>
      <c r="G2410" s="75" t="n">
        <v>15080.3825495532</v>
      </c>
      <c r="H2410" s="76" t="n">
        <v>10955.4255331558</v>
      </c>
      <c r="I2410" s="77" t="str">
        <f>H2410-F2410</f>
      </c>
      <c r="J2410" s="78" t="str">
        <f>G2410-E2410</f>
      </c>
    </row>
    <row r="2411">
      <c r="A2411" t="s">
        <v>274</v>
      </c>
      <c r="B2411" t="s">
        <v>276</v>
      </c>
      <c r="C2411" s="72" t="n">
        <v>2031</v>
      </c>
      <c r="D2411" t="s">
        <v>238</v>
      </c>
      <c r="E2411" s="73" t="n">
        <v>1105159.86205211</v>
      </c>
      <c r="F2411" s="74" t="n">
        <v>177483.394606043</v>
      </c>
      <c r="G2411" s="75" t="n">
        <v>1107027.69162894</v>
      </c>
      <c r="H2411" s="76" t="n">
        <v>177510.906196669</v>
      </c>
      <c r="I2411" s="77" t="str">
        <f>H2411-F2411</f>
      </c>
      <c r="J2411" s="78" t="str">
        <f>G2411-E2411</f>
      </c>
    </row>
    <row r="2412">
      <c r="A2412" t="s">
        <v>274</v>
      </c>
      <c r="B2412" t="s">
        <v>276</v>
      </c>
      <c r="C2412" s="72" t="n">
        <v>2031</v>
      </c>
      <c r="D2412" t="s">
        <v>184</v>
      </c>
      <c r="E2412" s="73" t="n">
        <v>111634.320832483</v>
      </c>
      <c r="F2412" s="74" t="n">
        <v>75230.3286744321</v>
      </c>
      <c r="G2412" s="75" t="n">
        <v>111632.947554352</v>
      </c>
      <c r="H2412" s="76" t="n">
        <v>75230.219664338</v>
      </c>
      <c r="I2412" s="77" t="str">
        <f>H2412-F2412</f>
      </c>
      <c r="J2412" s="78" t="str">
        <f>G2412-E2412</f>
      </c>
    </row>
    <row r="2413">
      <c r="A2413" t="s">
        <v>274</v>
      </c>
      <c r="B2413" t="s">
        <v>276</v>
      </c>
      <c r="C2413" s="72" t="n">
        <v>2031</v>
      </c>
      <c r="D2413" t="s">
        <v>187</v>
      </c>
      <c r="E2413" s="73" t="n">
        <v>381113.487648404</v>
      </c>
      <c r="F2413" s="74" t="n">
        <v>351243.315302909</v>
      </c>
      <c r="G2413" s="75" t="n">
        <v>381470.266781021</v>
      </c>
      <c r="H2413" s="76" t="n">
        <v>351432.518672951</v>
      </c>
      <c r="I2413" s="77" t="str">
        <f>H2413-F2413</f>
      </c>
      <c r="J2413" s="78" t="str">
        <f>G2413-E2413</f>
      </c>
    </row>
    <row r="2414">
      <c r="A2414" t="s">
        <v>274</v>
      </c>
      <c r="B2414" t="s">
        <v>276</v>
      </c>
      <c r="C2414" s="72" t="n">
        <v>2031</v>
      </c>
      <c r="D2414" t="s">
        <v>190</v>
      </c>
      <c r="E2414" s="73" t="n">
        <v>656545.918088439</v>
      </c>
      <c r="F2414" s="74" t="n">
        <v>389966.062365576</v>
      </c>
      <c r="G2414" s="75" t="n">
        <v>658282.149268814</v>
      </c>
      <c r="H2414" s="76" t="n">
        <v>390181.003020302</v>
      </c>
      <c r="I2414" s="77" t="str">
        <f>H2414-F2414</f>
      </c>
      <c r="J2414" s="78" t="str">
        <f>G2414-E2414</f>
      </c>
    </row>
    <row r="2415">
      <c r="A2415" t="s">
        <v>274</v>
      </c>
      <c r="B2415" t="s">
        <v>276</v>
      </c>
      <c r="C2415" s="72" t="n">
        <v>2031</v>
      </c>
      <c r="D2415" t="s">
        <v>193</v>
      </c>
      <c r="E2415" s="73" t="n">
        <v>476937.577730706</v>
      </c>
      <c r="F2415" s="74" t="n">
        <v>250701.92705375</v>
      </c>
      <c r="G2415" s="75" t="n">
        <v>477778.146047482</v>
      </c>
      <c r="H2415" s="76" t="n">
        <v>250815.782662592</v>
      </c>
      <c r="I2415" s="77" t="str">
        <f>H2415-F2415</f>
      </c>
      <c r="J2415" s="78" t="str">
        <f>G2415-E2415</f>
      </c>
    </row>
    <row r="2416">
      <c r="A2416" t="s">
        <v>274</v>
      </c>
      <c r="B2416" t="s">
        <v>276</v>
      </c>
      <c r="C2416" s="72" t="n">
        <v>2031</v>
      </c>
      <c r="D2416" t="s">
        <v>424</v>
      </c>
      <c r="E2416" s="73" t="n">
        <v>44640.3752344657</v>
      </c>
      <c r="F2416" s="74" t="n">
        <v>7266.766236211</v>
      </c>
      <c r="G2416" s="75" t="n">
        <v>44640.3472954778</v>
      </c>
      <c r="H2416" s="76" t="n">
        <v>7266.76600020754</v>
      </c>
      <c r="I2416" s="77" t="str">
        <f>H2416-F2416</f>
      </c>
      <c r="J2416" s="78" t="str">
        <f>G2416-E2416</f>
      </c>
    </row>
    <row r="2417">
      <c r="A2417" t="s">
        <v>274</v>
      </c>
      <c r="B2417" t="s">
        <v>276</v>
      </c>
      <c r="C2417" s="72" t="n">
        <v>2032</v>
      </c>
      <c r="D2417" t="s">
        <v>176</v>
      </c>
      <c r="E2417" s="73" t="n">
        <v>15531.695063658</v>
      </c>
      <c r="F2417" s="74" t="n">
        <v>11274.557771998</v>
      </c>
      <c r="G2417" s="75" t="n">
        <v>15531.2601955666</v>
      </c>
      <c r="H2417" s="76" t="n">
        <v>11274.4954497352</v>
      </c>
      <c r="I2417" s="77" t="str">
        <f>H2417-F2417</f>
      </c>
      <c r="J2417" s="78" t="str">
        <f>G2417-E2417</f>
      </c>
    </row>
    <row r="2418">
      <c r="A2418" t="s">
        <v>274</v>
      </c>
      <c r="B2418" t="s">
        <v>276</v>
      </c>
      <c r="C2418" s="72" t="n">
        <v>2032</v>
      </c>
      <c r="D2418" t="s">
        <v>238</v>
      </c>
      <c r="E2418" s="73" t="n">
        <v>1116289.33072426</v>
      </c>
      <c r="F2418" s="74" t="n">
        <v>185685.009082346</v>
      </c>
      <c r="G2418" s="75" t="n">
        <v>1118477.32749824</v>
      </c>
      <c r="H2418" s="76" t="n">
        <v>185725.999058801</v>
      </c>
      <c r="I2418" s="77" t="str">
        <f>H2418-F2418</f>
      </c>
      <c r="J2418" s="78" t="str">
        <f>G2418-E2418</f>
      </c>
    </row>
    <row r="2419">
      <c r="A2419" t="s">
        <v>274</v>
      </c>
      <c r="B2419" t="s">
        <v>276</v>
      </c>
      <c r="C2419" s="72" t="n">
        <v>2032</v>
      </c>
      <c r="D2419" t="s">
        <v>184</v>
      </c>
      <c r="E2419" s="73" t="n">
        <v>114837.802835015</v>
      </c>
      <c r="F2419" s="74" t="n">
        <v>77353.3519933189</v>
      </c>
      <c r="G2419" s="75" t="n">
        <v>114835.221802653</v>
      </c>
      <c r="H2419" s="76" t="n">
        <v>77353.0610239329</v>
      </c>
      <c r="I2419" s="77" t="str">
        <f>H2419-F2419</f>
      </c>
      <c r="J2419" s="78" t="str">
        <f>G2419-E2419</f>
      </c>
    </row>
    <row r="2420">
      <c r="A2420" t="s">
        <v>274</v>
      </c>
      <c r="B2420" t="s">
        <v>276</v>
      </c>
      <c r="C2420" s="72" t="n">
        <v>2032</v>
      </c>
      <c r="D2420" t="s">
        <v>187</v>
      </c>
      <c r="E2420" s="73" t="n">
        <v>389575.750781046</v>
      </c>
      <c r="F2420" s="74" t="n">
        <v>359586.436187639</v>
      </c>
      <c r="G2420" s="75" t="n">
        <v>389998.376688754</v>
      </c>
      <c r="H2420" s="76" t="n">
        <v>359834.546852866</v>
      </c>
      <c r="I2420" s="77" t="str">
        <f>H2420-F2420</f>
      </c>
      <c r="J2420" s="78" t="str">
        <f>G2420-E2420</f>
      </c>
    </row>
    <row r="2421">
      <c r="A2421" t="s">
        <v>274</v>
      </c>
      <c r="B2421" t="s">
        <v>276</v>
      </c>
      <c r="C2421" s="72" t="n">
        <v>2032</v>
      </c>
      <c r="D2421" t="s">
        <v>190</v>
      </c>
      <c r="E2421" s="73" t="n">
        <v>671075.910687241</v>
      </c>
      <c r="F2421" s="74" t="n">
        <v>401006.504835662</v>
      </c>
      <c r="G2421" s="75" t="n">
        <v>673133.888273266</v>
      </c>
      <c r="H2421" s="76" t="n">
        <v>401318.286193472</v>
      </c>
      <c r="I2421" s="77" t="str">
        <f>H2421-F2421</f>
      </c>
      <c r="J2421" s="78" t="str">
        <f>G2421-E2421</f>
      </c>
    </row>
    <row r="2422">
      <c r="A2422" t="s">
        <v>274</v>
      </c>
      <c r="B2422" t="s">
        <v>276</v>
      </c>
      <c r="C2422" s="72" t="n">
        <v>2032</v>
      </c>
      <c r="D2422" t="s">
        <v>193</v>
      </c>
      <c r="E2422" s="73" t="n">
        <v>489905.281692833</v>
      </c>
      <c r="F2422" s="74" t="n">
        <v>260184.542811599</v>
      </c>
      <c r="G2422" s="75" t="n">
        <v>490904.70344578</v>
      </c>
      <c r="H2422" s="76" t="n">
        <v>260346.937343717</v>
      </c>
      <c r="I2422" s="77" t="str">
        <f>H2422-F2422</f>
      </c>
      <c r="J2422" s="78" t="str">
        <f>G2422-E2422</f>
      </c>
    </row>
    <row r="2423">
      <c r="A2423" t="s">
        <v>274</v>
      </c>
      <c r="B2423" t="s">
        <v>276</v>
      </c>
      <c r="C2423" s="72" t="n">
        <v>2032</v>
      </c>
      <c r="D2423" t="s">
        <v>424</v>
      </c>
      <c r="E2423" s="73" t="n">
        <v>44583.2975465243</v>
      </c>
      <c r="F2423" s="74" t="n">
        <v>7308.69020462982</v>
      </c>
      <c r="G2423" s="75" t="n">
        <v>44583.2455015959</v>
      </c>
      <c r="H2423" s="76" t="n">
        <v>7308.68956833998</v>
      </c>
      <c r="I2423" s="77" t="str">
        <f>H2423-F2423</f>
      </c>
      <c r="J2423" s="78" t="str">
        <f>G2423-E2423</f>
      </c>
    </row>
    <row r="2424">
      <c r="A2424" t="s">
        <v>274</v>
      </c>
      <c r="B2424" t="s">
        <v>276</v>
      </c>
      <c r="C2424" s="72" t="n">
        <v>2033</v>
      </c>
      <c r="D2424" t="s">
        <v>176</v>
      </c>
      <c r="E2424" s="73" t="n">
        <v>15984.4356571578</v>
      </c>
      <c r="F2424" s="74" t="n">
        <v>11587.0625785478</v>
      </c>
      <c r="G2424" s="75" t="n">
        <v>15983.7175379286</v>
      </c>
      <c r="H2424" s="76" t="n">
        <v>11586.9335708044</v>
      </c>
      <c r="I2424" s="77" t="str">
        <f>H2424-F2424</f>
      </c>
      <c r="J2424" s="78" t="str">
        <f>G2424-E2424</f>
      </c>
    </row>
    <row r="2425">
      <c r="A2425" t="s">
        <v>274</v>
      </c>
      <c r="B2425" t="s">
        <v>276</v>
      </c>
      <c r="C2425" s="72" t="n">
        <v>2033</v>
      </c>
      <c r="D2425" t="s">
        <v>238</v>
      </c>
      <c r="E2425" s="73" t="n">
        <v>1126742.56950783</v>
      </c>
      <c r="F2425" s="74" t="n">
        <v>193896.299052003</v>
      </c>
      <c r="G2425" s="75" t="n">
        <v>1129233.47845058</v>
      </c>
      <c r="H2425" s="76" t="n">
        <v>193953.224223645</v>
      </c>
      <c r="I2425" s="77" t="str">
        <f>H2425-F2425</f>
      </c>
      <c r="J2425" s="78" t="str">
        <f>G2425-E2425</f>
      </c>
    </row>
    <row r="2426">
      <c r="A2426" t="s">
        <v>274</v>
      </c>
      <c r="B2426" t="s">
        <v>276</v>
      </c>
      <c r="C2426" s="72" t="n">
        <v>2033</v>
      </c>
      <c r="D2426" t="s">
        <v>184</v>
      </c>
      <c r="E2426" s="73" t="n">
        <v>118003.006490513</v>
      </c>
      <c r="F2426" s="74" t="n">
        <v>79481.085217812</v>
      </c>
      <c r="G2426" s="75" t="n">
        <v>117998.738437442</v>
      </c>
      <c r="H2426" s="76" t="n">
        <v>79480.4761690429</v>
      </c>
      <c r="I2426" s="77" t="str">
        <f>H2426-F2426</f>
      </c>
      <c r="J2426" s="78" t="str">
        <f>G2426-E2426</f>
      </c>
    </row>
    <row r="2427">
      <c r="A2427" t="s">
        <v>274</v>
      </c>
      <c r="B2427" t="s">
        <v>276</v>
      </c>
      <c r="C2427" s="72" t="n">
        <v>2033</v>
      </c>
      <c r="D2427" t="s">
        <v>187</v>
      </c>
      <c r="E2427" s="73" t="n">
        <v>397868.281126637</v>
      </c>
      <c r="F2427" s="74" t="n">
        <v>367744.08717951</v>
      </c>
      <c r="G2427" s="75" t="n">
        <v>398354.344992358</v>
      </c>
      <c r="H2427" s="76" t="n">
        <v>368051.624575443</v>
      </c>
      <c r="I2427" s="77" t="str">
        <f>H2427-F2427</f>
      </c>
      <c r="J2427" s="78" t="str">
        <f>G2427-E2427</f>
      </c>
    </row>
    <row r="2428">
      <c r="A2428" t="s">
        <v>274</v>
      </c>
      <c r="B2428" t="s">
        <v>276</v>
      </c>
      <c r="C2428" s="72" t="n">
        <v>2033</v>
      </c>
      <c r="D2428" t="s">
        <v>190</v>
      </c>
      <c r="E2428" s="73" t="n">
        <v>685264.945182476</v>
      </c>
      <c r="F2428" s="74" t="n">
        <v>411926.019372077</v>
      </c>
      <c r="G2428" s="75" t="n">
        <v>687634.699546926</v>
      </c>
      <c r="H2428" s="76" t="n">
        <v>412348.075678578</v>
      </c>
      <c r="I2428" s="77" t="str">
        <f>H2428-F2428</f>
      </c>
      <c r="J2428" s="78" t="str">
        <f>G2428-E2428</f>
      </c>
    </row>
    <row r="2429">
      <c r="A2429" t="s">
        <v>274</v>
      </c>
      <c r="B2429" t="s">
        <v>276</v>
      </c>
      <c r="C2429" s="72" t="n">
        <v>2033</v>
      </c>
      <c r="D2429" t="s">
        <v>193</v>
      </c>
      <c r="E2429" s="73" t="n">
        <v>502597.426578749</v>
      </c>
      <c r="F2429" s="74" t="n">
        <v>269666.757856135</v>
      </c>
      <c r="G2429" s="75" t="n">
        <v>503751.109420694</v>
      </c>
      <c r="H2429" s="76" t="n">
        <v>269883.407599987</v>
      </c>
      <c r="I2429" s="77" t="str">
        <f>H2429-F2429</f>
      </c>
      <c r="J2429" s="78" t="str">
        <f>G2429-E2429</f>
      </c>
    </row>
    <row r="2430">
      <c r="A2430" t="s">
        <v>274</v>
      </c>
      <c r="B2430" t="s">
        <v>276</v>
      </c>
      <c r="C2430" s="72" t="n">
        <v>2033</v>
      </c>
      <c r="D2430" t="s">
        <v>424</v>
      </c>
      <c r="E2430" s="73" t="n">
        <v>44483.7689538712</v>
      </c>
      <c r="F2430" s="74" t="n">
        <v>7348.07548857489</v>
      </c>
      <c r="G2430" s="75" t="n">
        <v>44483.6835898413</v>
      </c>
      <c r="H2430" s="76" t="n">
        <v>7348.07414732206</v>
      </c>
      <c r="I2430" s="77" t="str">
        <f>H2430-F2430</f>
      </c>
      <c r="J2430" s="78" t="str">
        <f>G2430-E2430</f>
      </c>
    </row>
    <row r="2431">
      <c r="A2431" t="s">
        <v>274</v>
      </c>
      <c r="B2431" t="s">
        <v>276</v>
      </c>
      <c r="C2431" s="72" t="n">
        <v>2034</v>
      </c>
      <c r="D2431" t="s">
        <v>176</v>
      </c>
      <c r="E2431" s="73" t="n">
        <v>16438.0207165345</v>
      </c>
      <c r="F2431" s="74" t="n">
        <v>11896.6128040797</v>
      </c>
      <c r="G2431" s="75" t="n">
        <v>16436.9312806497</v>
      </c>
      <c r="H2431" s="76" t="n">
        <v>11896.3823187386</v>
      </c>
      <c r="I2431" s="77" t="str">
        <f>H2431-F2431</f>
      </c>
      <c r="J2431" s="78" t="str">
        <f>G2431-E2431</f>
      </c>
    </row>
    <row r="2432">
      <c r="A2432" t="s">
        <v>274</v>
      </c>
      <c r="B2432" t="s">
        <v>276</v>
      </c>
      <c r="C2432" s="72" t="n">
        <v>2034</v>
      </c>
      <c r="D2432" t="s">
        <v>238</v>
      </c>
      <c r="E2432" s="73" t="n">
        <v>1136580.652472</v>
      </c>
      <c r="F2432" s="74" t="n">
        <v>202072.063997345</v>
      </c>
      <c r="G2432" s="75" t="n">
        <v>1139357.01951607</v>
      </c>
      <c r="H2432" s="76" t="n">
        <v>202147.27044605</v>
      </c>
      <c r="I2432" s="77" t="str">
        <f>H2432-F2432</f>
      </c>
      <c r="J2432" s="78" t="str">
        <f>G2432-E2432</f>
      </c>
    </row>
    <row r="2433">
      <c r="A2433" t="s">
        <v>274</v>
      </c>
      <c r="B2433" t="s">
        <v>276</v>
      </c>
      <c r="C2433" s="72" t="n">
        <v>2034</v>
      </c>
      <c r="D2433" t="s">
        <v>184</v>
      </c>
      <c r="E2433" s="73" t="n">
        <v>121111.946758308</v>
      </c>
      <c r="F2433" s="74" t="n">
        <v>81596.0471731637</v>
      </c>
      <c r="G2433" s="75" t="n">
        <v>121105.471839437</v>
      </c>
      <c r="H2433" s="76" t="n">
        <v>81594.9482339212</v>
      </c>
      <c r="I2433" s="77" t="str">
        <f>H2433-F2433</f>
      </c>
      <c r="J2433" s="78" t="str">
        <f>G2433-E2433</f>
      </c>
    </row>
    <row r="2434">
      <c r="A2434" t="s">
        <v>274</v>
      </c>
      <c r="B2434" t="s">
        <v>276</v>
      </c>
      <c r="C2434" s="72" t="n">
        <v>2034</v>
      </c>
      <c r="D2434" t="s">
        <v>187</v>
      </c>
      <c r="E2434" s="73" t="n">
        <v>406012.922037705</v>
      </c>
      <c r="F2434" s="74" t="n">
        <v>375661.563677204</v>
      </c>
      <c r="G2434" s="75" t="n">
        <v>406559.867353788</v>
      </c>
      <c r="H2434" s="76" t="n">
        <v>376028.132278335</v>
      </c>
      <c r="I2434" s="77" t="str">
        <f>H2434-F2434</f>
      </c>
      <c r="J2434" s="78" t="str">
        <f>G2434-E2434</f>
      </c>
    </row>
    <row r="2435">
      <c r="A2435" t="s">
        <v>274</v>
      </c>
      <c r="B2435" t="s">
        <v>276</v>
      </c>
      <c r="C2435" s="72" t="n">
        <v>2034</v>
      </c>
      <c r="D2435" t="s">
        <v>190</v>
      </c>
      <c r="E2435" s="73" t="n">
        <v>699021.059873575</v>
      </c>
      <c r="F2435" s="74" t="n">
        <v>422715.050804032</v>
      </c>
      <c r="G2435" s="75" t="n">
        <v>701691.677358768</v>
      </c>
      <c r="H2435" s="76" t="n">
        <v>423259.100590806</v>
      </c>
      <c r="I2435" s="77" t="str">
        <f>H2435-F2435</f>
      </c>
      <c r="J2435" s="78" t="str">
        <f>G2435-E2435</f>
      </c>
    </row>
    <row r="2436">
      <c r="A2436" t="s">
        <v>274</v>
      </c>
      <c r="B2436" t="s">
        <v>276</v>
      </c>
      <c r="C2436" s="72" t="n">
        <v>2034</v>
      </c>
      <c r="D2436" t="s">
        <v>193</v>
      </c>
      <c r="E2436" s="73" t="n">
        <v>515103.481360403</v>
      </c>
      <c r="F2436" s="74" t="n">
        <v>279209.254327581</v>
      </c>
      <c r="G2436" s="75" t="n">
        <v>516406.53850878</v>
      </c>
      <c r="H2436" s="76" t="n">
        <v>279484.980285229</v>
      </c>
      <c r="I2436" s="77" t="str">
        <f>H2436-F2436</f>
      </c>
      <c r="J2436" s="78" t="str">
        <f>G2436-E2436</f>
      </c>
    </row>
    <row r="2437">
      <c r="A2437" t="s">
        <v>274</v>
      </c>
      <c r="B2437" t="s">
        <v>276</v>
      </c>
      <c r="C2437" s="72" t="n">
        <v>2034</v>
      </c>
      <c r="D2437" t="s">
        <v>424</v>
      </c>
      <c r="E2437" s="73" t="n">
        <v>44355.3130406001</v>
      </c>
      <c r="F2437" s="74" t="n">
        <v>7385.04337960765</v>
      </c>
      <c r="G2437" s="75" t="n">
        <v>44355.184450179</v>
      </c>
      <c r="H2437" s="76" t="n">
        <v>7385.04094675217</v>
      </c>
      <c r="I2437" s="77" t="str">
        <f>H2437-F2437</f>
      </c>
      <c r="J2437" s="78" t="str">
        <f>G2437-E2437</f>
      </c>
    </row>
    <row r="2438">
      <c r="A2438" t="s">
        <v>274</v>
      </c>
      <c r="B2438" t="s">
        <v>276</v>
      </c>
      <c r="C2438" s="72" t="n">
        <v>2035</v>
      </c>
      <c r="D2438" t="s">
        <v>176</v>
      </c>
      <c r="E2438" s="73" t="n">
        <v>16893.7689838101</v>
      </c>
      <c r="F2438" s="74" t="n">
        <v>12203.4303864599</v>
      </c>
      <c r="G2438" s="75" t="n">
        <v>16892.2141390053</v>
      </c>
      <c r="H2438" s="76" t="n">
        <v>12203.0577178634</v>
      </c>
      <c r="I2438" s="77" t="str">
        <f>H2438-F2438</f>
      </c>
      <c r="J2438" s="78" t="str">
        <f>G2438-E2438</f>
      </c>
    </row>
    <row r="2439">
      <c r="A2439" t="s">
        <v>274</v>
      </c>
      <c r="B2439" t="s">
        <v>276</v>
      </c>
      <c r="C2439" s="72" t="n">
        <v>2035</v>
      </c>
      <c r="D2439" t="s">
        <v>238</v>
      </c>
      <c r="E2439" s="73" t="n">
        <v>1145927.52788713</v>
      </c>
      <c r="F2439" s="74" t="n">
        <v>210195.268497562</v>
      </c>
      <c r="G2439" s="75" t="n">
        <v>1148972.16574985</v>
      </c>
      <c r="H2439" s="76" t="n">
        <v>210290.980527925</v>
      </c>
      <c r="I2439" s="77" t="str">
        <f>H2439-F2439</f>
      </c>
      <c r="J2439" s="78" t="str">
        <f>G2439-E2439</f>
      </c>
    </row>
    <row r="2440">
      <c r="A2440" t="s">
        <v>274</v>
      </c>
      <c r="B2440" t="s">
        <v>276</v>
      </c>
      <c r="C2440" s="72" t="n">
        <v>2035</v>
      </c>
      <c r="D2440" t="s">
        <v>184</v>
      </c>
      <c r="E2440" s="73" t="n">
        <v>124157.437637485</v>
      </c>
      <c r="F2440" s="74" t="n">
        <v>83696.9101970587</v>
      </c>
      <c r="G2440" s="75" t="n">
        <v>124148.207195844</v>
      </c>
      <c r="H2440" s="76" t="n">
        <v>83695.1178728798</v>
      </c>
      <c r="I2440" s="77" t="str">
        <f>H2440-F2440</f>
      </c>
      <c r="J2440" s="78" t="str">
        <f>G2440-E2440</f>
      </c>
    </row>
    <row r="2441">
      <c r="A2441" t="s">
        <v>274</v>
      </c>
      <c r="B2441" t="s">
        <v>276</v>
      </c>
      <c r="C2441" s="72" t="n">
        <v>2035</v>
      </c>
      <c r="D2441" t="s">
        <v>187</v>
      </c>
      <c r="E2441" s="73" t="n">
        <v>413928.143101764</v>
      </c>
      <c r="F2441" s="74" t="n">
        <v>383364.188401792</v>
      </c>
      <c r="G2441" s="75" t="n">
        <v>414533.160603145</v>
      </c>
      <c r="H2441" s="76" t="n">
        <v>383788.762526672</v>
      </c>
      <c r="I2441" s="77" t="str">
        <f>H2441-F2441</f>
      </c>
      <c r="J2441" s="78" t="str">
        <f>G2441-E2441</f>
      </c>
    </row>
    <row r="2442">
      <c r="A2442" t="s">
        <v>274</v>
      </c>
      <c r="B2442" t="s">
        <v>276</v>
      </c>
      <c r="C2442" s="72" t="n">
        <v>2035</v>
      </c>
      <c r="D2442" t="s">
        <v>190</v>
      </c>
      <c r="E2442" s="73" t="n">
        <v>712371.620722394</v>
      </c>
      <c r="F2442" s="74" t="n">
        <v>433405.867363272</v>
      </c>
      <c r="G2442" s="75" t="n">
        <v>715331.788822102</v>
      </c>
      <c r="H2442" s="76" t="n">
        <v>434082.031551195</v>
      </c>
      <c r="I2442" s="77" t="str">
        <f>H2442-F2442</f>
      </c>
      <c r="J2442" s="78" t="str">
        <f>G2442-E2442</f>
      </c>
    </row>
    <row r="2443">
      <c r="A2443" t="s">
        <v>274</v>
      </c>
      <c r="B2443" t="s">
        <v>276</v>
      </c>
      <c r="C2443" s="72" t="n">
        <v>2035</v>
      </c>
      <c r="D2443" t="s">
        <v>193</v>
      </c>
      <c r="E2443" s="73" t="n">
        <v>527371.322654558</v>
      </c>
      <c r="F2443" s="74" t="n">
        <v>288811.953930008</v>
      </c>
      <c r="G2443" s="75" t="n">
        <v>528818.371883953</v>
      </c>
      <c r="H2443" s="76" t="n">
        <v>289150.802435983</v>
      </c>
      <c r="I2443" s="77" t="str">
        <f>H2443-F2443</f>
      </c>
      <c r="J2443" s="78" t="str">
        <f>G2443-E2443</f>
      </c>
    </row>
    <row r="2444">
      <c r="A2444" t="s">
        <v>274</v>
      </c>
      <c r="B2444" t="s">
        <v>276</v>
      </c>
      <c r="C2444" s="72" t="n">
        <v>2035</v>
      </c>
      <c r="D2444" t="s">
        <v>424</v>
      </c>
      <c r="E2444" s="73" t="n">
        <v>44206.8895226375</v>
      </c>
      <c r="F2444" s="74" t="n">
        <v>7419.98283857068</v>
      </c>
      <c r="G2444" s="75" t="n">
        <v>44206.7073067121</v>
      </c>
      <c r="H2444" s="76" t="n">
        <v>7419.97885519321</v>
      </c>
      <c r="I2444" s="77" t="str">
        <f>H2444-F2444</f>
      </c>
      <c r="J2444" s="78" t="str">
        <f>G2444-E2444</f>
      </c>
    </row>
    <row r="2445">
      <c r="A2445" t="s">
        <v>274</v>
      </c>
      <c r="B2445" t="s">
        <v>276</v>
      </c>
      <c r="C2445" s="72" t="n">
        <v>2036</v>
      </c>
      <c r="D2445" t="s">
        <v>176</v>
      </c>
      <c r="E2445" s="73" t="n">
        <v>17352.7740531902</v>
      </c>
      <c r="F2445" s="74" t="n">
        <v>12507.4626902034</v>
      </c>
      <c r="G2445" s="75" t="n">
        <v>17350.6546269342</v>
      </c>
      <c r="H2445" s="76" t="n">
        <v>12506.9021026876</v>
      </c>
      <c r="I2445" s="77" t="str">
        <f>H2445-F2445</f>
      </c>
      <c r="J2445" s="78" t="str">
        <f>G2445-E2445</f>
      </c>
    </row>
    <row r="2446">
      <c r="A2446" t="s">
        <v>274</v>
      </c>
      <c r="B2446" t="s">
        <v>276</v>
      </c>
      <c r="C2446" s="72" t="n">
        <v>2036</v>
      </c>
      <c r="D2446" t="s">
        <v>238</v>
      </c>
      <c r="E2446" s="73" t="n">
        <v>1154969.59549919</v>
      </c>
      <c r="F2446" s="74" t="n">
        <v>218252.374373191</v>
      </c>
      <c r="G2446" s="75" t="n">
        <v>1158266.13775829</v>
      </c>
      <c r="H2446" s="76" t="n">
        <v>218370.687575925</v>
      </c>
      <c r="I2446" s="77" t="str">
        <f>H2446-F2446</f>
      </c>
      <c r="J2446" s="78" t="str">
        <f>G2446-E2446</f>
      </c>
    </row>
    <row r="2447">
      <c r="A2447" t="s">
        <v>274</v>
      </c>
      <c r="B2447" t="s">
        <v>276</v>
      </c>
      <c r="C2447" s="72" t="n">
        <v>2036</v>
      </c>
      <c r="D2447" t="s">
        <v>184</v>
      </c>
      <c r="E2447" s="73" t="n">
        <v>127151.007174838</v>
      </c>
      <c r="F2447" s="74" t="n">
        <v>85768.28086903</v>
      </c>
      <c r="G2447" s="75" t="n">
        <v>127138.451085333</v>
      </c>
      <c r="H2447" s="76" t="n">
        <v>85765.5647353171</v>
      </c>
      <c r="I2447" s="77" t="str">
        <f>H2447-F2447</f>
      </c>
      <c r="J2447" s="78" t="str">
        <f>G2447-E2447</f>
      </c>
    </row>
    <row r="2448">
      <c r="A2448" t="s">
        <v>274</v>
      </c>
      <c r="B2448" t="s">
        <v>276</v>
      </c>
      <c r="C2448" s="72" t="n">
        <v>2036</v>
      </c>
      <c r="D2448" t="s">
        <v>187</v>
      </c>
      <c r="E2448" s="73" t="n">
        <v>421572.565780683</v>
      </c>
      <c r="F2448" s="74" t="n">
        <v>390804.97128091</v>
      </c>
      <c r="G2448" s="75" t="n">
        <v>422232.659922133</v>
      </c>
      <c r="H2448" s="76" t="n">
        <v>391285.955739587</v>
      </c>
      <c r="I2448" s="77" t="str">
        <f>H2448-F2448</f>
      </c>
      <c r="J2448" s="78" t="str">
        <f>G2448-E2448</f>
      </c>
    </row>
    <row r="2449">
      <c r="A2449" t="s">
        <v>274</v>
      </c>
      <c r="B2449" t="s">
        <v>276</v>
      </c>
      <c r="C2449" s="72" t="n">
        <v>2036</v>
      </c>
      <c r="D2449" t="s">
        <v>190</v>
      </c>
      <c r="E2449" s="73" t="n">
        <v>725293.625583363</v>
      </c>
      <c r="F2449" s="74" t="n">
        <v>443931.115438519</v>
      </c>
      <c r="G2449" s="75" t="n">
        <v>728531.610160843</v>
      </c>
      <c r="H2449" s="76" t="n">
        <v>444747.907566169</v>
      </c>
      <c r="I2449" s="77" t="str">
        <f>H2449-F2449</f>
      </c>
      <c r="J2449" s="78" t="str">
        <f>G2449-E2449</f>
      </c>
    </row>
    <row r="2450">
      <c r="A2450" t="s">
        <v>274</v>
      </c>
      <c r="B2450" t="s">
        <v>276</v>
      </c>
      <c r="C2450" s="72" t="n">
        <v>2036</v>
      </c>
      <c r="D2450" t="s">
        <v>193</v>
      </c>
      <c r="E2450" s="73" t="n">
        <v>539466.722597925</v>
      </c>
      <c r="F2450" s="74" t="n">
        <v>298474.277671887</v>
      </c>
      <c r="G2450" s="75" t="n">
        <v>541052.28077363</v>
      </c>
      <c r="H2450" s="76" t="n">
        <v>298879.611309733</v>
      </c>
      <c r="I2450" s="77" t="str">
        <f>H2450-F2450</f>
      </c>
      <c r="J2450" s="78" t="str">
        <f>G2450-E2450</f>
      </c>
    </row>
    <row r="2451">
      <c r="A2451" t="s">
        <v>274</v>
      </c>
      <c r="B2451" t="s">
        <v>276</v>
      </c>
      <c r="C2451" s="72" t="n">
        <v>2036</v>
      </c>
      <c r="D2451" t="s">
        <v>424</v>
      </c>
      <c r="E2451" s="73" t="n">
        <v>44050.2449337647</v>
      </c>
      <c r="F2451" s="74" t="n">
        <v>7453.34118075838</v>
      </c>
      <c r="G2451" s="75" t="n">
        <v>44049.9983782722</v>
      </c>
      <c r="H2451" s="76" t="n">
        <v>7453.3351271514</v>
      </c>
      <c r="I2451" s="77" t="str">
        <f>H2451-F2451</f>
      </c>
      <c r="J2451" s="78" t="str">
        <f>G2451-E2451</f>
      </c>
    </row>
    <row r="2452">
      <c r="A2452" t="s">
        <v>274</v>
      </c>
      <c r="B2452" t="s">
        <v>276</v>
      </c>
      <c r="C2452" s="72" t="n">
        <v>2037</v>
      </c>
      <c r="D2452" t="s">
        <v>176</v>
      </c>
      <c r="E2452" s="73" t="n">
        <v>17815.2911128951</v>
      </c>
      <c r="F2452" s="74" t="n">
        <v>12808.2995563418</v>
      </c>
      <c r="G2452" s="75" t="n">
        <v>17812.5035281772</v>
      </c>
      <c r="H2452" s="76" t="n">
        <v>12807.5012683992</v>
      </c>
      <c r="I2452" s="77" t="str">
        <f>H2452-F2452</f>
      </c>
      <c r="J2452" s="78" t="str">
        <f>G2452-E2452</f>
      </c>
    </row>
    <row r="2453">
      <c r="A2453" t="s">
        <v>274</v>
      </c>
      <c r="B2453" t="s">
        <v>276</v>
      </c>
      <c r="C2453" s="72" t="n">
        <v>2037</v>
      </c>
      <c r="D2453" t="s">
        <v>238</v>
      </c>
      <c r="E2453" s="73" t="n">
        <v>1163831.74334403</v>
      </c>
      <c r="F2453" s="74" t="n">
        <v>226230.478758641</v>
      </c>
      <c r="G2453" s="75" t="n">
        <v>1167364.66541375</v>
      </c>
      <c r="H2453" s="76" t="n">
        <v>226373.365626062</v>
      </c>
      <c r="I2453" s="77" t="str">
        <f>H2453-F2453</f>
      </c>
      <c r="J2453" s="78" t="str">
        <f>G2453-E2453</f>
      </c>
    </row>
    <row r="2454">
      <c r="A2454" t="s">
        <v>274</v>
      </c>
      <c r="B2454" t="s">
        <v>276</v>
      </c>
      <c r="C2454" s="72" t="n">
        <v>2037</v>
      </c>
      <c r="D2454" t="s">
        <v>184</v>
      </c>
      <c r="E2454" s="73" t="n">
        <v>130108.581722403</v>
      </c>
      <c r="F2454" s="74" t="n">
        <v>87789.766339578</v>
      </c>
      <c r="G2454" s="75" t="n">
        <v>130092.112965313</v>
      </c>
      <c r="H2454" s="76" t="n">
        <v>87785.8739142287</v>
      </c>
      <c r="I2454" s="77" t="str">
        <f>H2454-F2454</f>
      </c>
      <c r="J2454" s="78" t="str">
        <f>G2454-E2454</f>
      </c>
    </row>
    <row r="2455">
      <c r="A2455" t="s">
        <v>274</v>
      </c>
      <c r="B2455" t="s">
        <v>276</v>
      </c>
      <c r="C2455" s="72" t="n">
        <v>2037</v>
      </c>
      <c r="D2455" t="s">
        <v>187</v>
      </c>
      <c r="E2455" s="73" t="n">
        <v>428962.57778585</v>
      </c>
      <c r="F2455" s="74" t="n">
        <v>397938.483373827</v>
      </c>
      <c r="G2455" s="75" t="n">
        <v>429674.679324948</v>
      </c>
      <c r="H2455" s="76" t="n">
        <v>398473.813386608</v>
      </c>
      <c r="I2455" s="77" t="str">
        <f>H2455-F2455</f>
      </c>
      <c r="J2455" s="78" t="str">
        <f>G2455-E2455</f>
      </c>
    </row>
    <row r="2456">
      <c r="A2456" t="s">
        <v>274</v>
      </c>
      <c r="B2456" t="s">
        <v>276</v>
      </c>
      <c r="C2456" s="72" t="n">
        <v>2037</v>
      </c>
      <c r="D2456" t="s">
        <v>190</v>
      </c>
      <c r="E2456" s="73" t="n">
        <v>737757.763125536</v>
      </c>
      <c r="F2456" s="74" t="n">
        <v>454203.835073731</v>
      </c>
      <c r="G2456" s="75" t="n">
        <v>741261.427234993</v>
      </c>
      <c r="H2456" s="76" t="n">
        <v>455168.184528758</v>
      </c>
      <c r="I2456" s="77" t="str">
        <f>H2456-F2456</f>
      </c>
      <c r="J2456" s="78" t="str">
        <f>G2456-E2456</f>
      </c>
    </row>
    <row r="2457">
      <c r="A2457" t="s">
        <v>274</v>
      </c>
      <c r="B2457" t="s">
        <v>276</v>
      </c>
      <c r="C2457" s="72" t="n">
        <v>2037</v>
      </c>
      <c r="D2457" t="s">
        <v>193</v>
      </c>
      <c r="E2457" s="73" t="n">
        <v>551539.651539863</v>
      </c>
      <c r="F2457" s="74" t="n">
        <v>308191.445723879</v>
      </c>
      <c r="G2457" s="75" t="n">
        <v>553258.517761357</v>
      </c>
      <c r="H2457" s="76" t="n">
        <v>308666.043562302</v>
      </c>
      <c r="I2457" s="77" t="str">
        <f>H2457-F2457</f>
      </c>
      <c r="J2457" s="78" t="str">
        <f>G2457-E2457</f>
      </c>
    </row>
    <row r="2458">
      <c r="A2458" t="s">
        <v>274</v>
      </c>
      <c r="B2458" t="s">
        <v>276</v>
      </c>
      <c r="C2458" s="72" t="n">
        <v>2037</v>
      </c>
      <c r="D2458" t="s">
        <v>424</v>
      </c>
      <c r="E2458" s="73" t="n">
        <v>43886.8183667079</v>
      </c>
      <c r="F2458" s="74" t="n">
        <v>7485.6481515575</v>
      </c>
      <c r="G2458" s="75" t="n">
        <v>43886.4966397613</v>
      </c>
      <c r="H2458" s="76" t="n">
        <v>7485.63945861012</v>
      </c>
      <c r="I2458" s="77" t="str">
        <f>H2458-F2458</f>
      </c>
      <c r="J2458" s="78" t="str">
        <f>G2458-E2458</f>
      </c>
    </row>
    <row r="2459">
      <c r="A2459" t="s">
        <v>274</v>
      </c>
      <c r="B2459" t="s">
        <v>276</v>
      </c>
      <c r="C2459" s="72" t="n">
        <v>2038</v>
      </c>
      <c r="D2459" t="s">
        <v>176</v>
      </c>
      <c r="E2459" s="73" t="n">
        <v>18282.1822797193</v>
      </c>
      <c r="F2459" s="74" t="n">
        <v>13109.3476542638</v>
      </c>
      <c r="G2459" s="75" t="n">
        <v>18278.6195315823</v>
      </c>
      <c r="H2459" s="76" t="n">
        <v>13108.2586821674</v>
      </c>
      <c r="I2459" s="77" t="str">
        <f>H2459-F2459</f>
      </c>
      <c r="J2459" s="78" t="str">
        <f>G2459-E2459</f>
      </c>
    </row>
    <row r="2460">
      <c r="A2460" t="s">
        <v>274</v>
      </c>
      <c r="B2460" t="s">
        <v>276</v>
      </c>
      <c r="C2460" s="72" t="n">
        <v>2038</v>
      </c>
      <c r="D2460" t="s">
        <v>238</v>
      </c>
      <c r="E2460" s="73" t="n">
        <v>1172533.20148223</v>
      </c>
      <c r="F2460" s="74" t="n">
        <v>234116.977979889</v>
      </c>
      <c r="G2460" s="75" t="n">
        <v>1176286.23006217</v>
      </c>
      <c r="H2460" s="76" t="n">
        <v>234286.302403295</v>
      </c>
      <c r="I2460" s="77" t="str">
        <f>H2460-F2460</f>
      </c>
      <c r="J2460" s="78" t="str">
        <f>G2460-E2460</f>
      </c>
    </row>
    <row r="2461">
      <c r="A2461" t="s">
        <v>274</v>
      </c>
      <c r="B2461" t="s">
        <v>276</v>
      </c>
      <c r="C2461" s="72" t="n">
        <v>2038</v>
      </c>
      <c r="D2461" t="s">
        <v>184</v>
      </c>
      <c r="E2461" s="73" t="n">
        <v>133025.747093347</v>
      </c>
      <c r="F2461" s="74" t="n">
        <v>89768.2474569687</v>
      </c>
      <c r="G2461" s="75" t="n">
        <v>133004.77137127</v>
      </c>
      <c r="H2461" s="76" t="n">
        <v>89762.9085046272</v>
      </c>
      <c r="I2461" s="77" t="str">
        <f>H2461-F2461</f>
      </c>
      <c r="J2461" s="78" t="str">
        <f>G2461-E2461</f>
      </c>
    </row>
    <row r="2462">
      <c r="A2462" t="s">
        <v>274</v>
      </c>
      <c r="B2462" t="s">
        <v>276</v>
      </c>
      <c r="C2462" s="72" t="n">
        <v>2038</v>
      </c>
      <c r="D2462" t="s">
        <v>187</v>
      </c>
      <c r="E2462" s="73" t="n">
        <v>436117.391458719</v>
      </c>
      <c r="F2462" s="74" t="n">
        <v>404797.59120868</v>
      </c>
      <c r="G2462" s="75" t="n">
        <v>436878.359538317</v>
      </c>
      <c r="H2462" s="76" t="n">
        <v>405384.957772321</v>
      </c>
      <c r="I2462" s="77" t="str">
        <f>H2462-F2462</f>
      </c>
      <c r="J2462" s="78" t="str">
        <f>G2462-E2462</f>
      </c>
    </row>
    <row r="2463">
      <c r="A2463" t="s">
        <v>274</v>
      </c>
      <c r="B2463" t="s">
        <v>276</v>
      </c>
      <c r="C2463" s="72" t="n">
        <v>2038</v>
      </c>
      <c r="D2463" t="s">
        <v>190</v>
      </c>
      <c r="E2463" s="73" t="n">
        <v>749803.9979867</v>
      </c>
      <c r="F2463" s="74" t="n">
        <v>464225.606834737</v>
      </c>
      <c r="G2463" s="75" t="n">
        <v>753560.822146793</v>
      </c>
      <c r="H2463" s="76" t="n">
        <v>465342.91786371</v>
      </c>
      <c r="I2463" s="77" t="str">
        <f>H2463-F2463</f>
      </c>
      <c r="J2463" s="78" t="str">
        <f>G2463-E2463</f>
      </c>
    </row>
    <row r="2464">
      <c r="A2464" t="s">
        <v>274</v>
      </c>
      <c r="B2464" t="s">
        <v>276</v>
      </c>
      <c r="C2464" s="72" t="n">
        <v>2038</v>
      </c>
      <c r="D2464" t="s">
        <v>193</v>
      </c>
      <c r="E2464" s="73" t="n">
        <v>563557.095678815</v>
      </c>
      <c r="F2464" s="74" t="n">
        <v>317914.948342259</v>
      </c>
      <c r="G2464" s="75" t="n">
        <v>565403.758799385</v>
      </c>
      <c r="H2464" s="76" t="n">
        <v>318461.022248122</v>
      </c>
      <c r="I2464" s="77" t="str">
        <f>H2464-F2464</f>
      </c>
      <c r="J2464" s="78" t="str">
        <f>G2464-E2464</f>
      </c>
    </row>
    <row r="2465">
      <c r="A2465" t="s">
        <v>274</v>
      </c>
      <c r="B2465" t="s">
        <v>276</v>
      </c>
      <c r="C2465" s="72" t="n">
        <v>2038</v>
      </c>
      <c r="D2465" t="s">
        <v>424</v>
      </c>
      <c r="E2465" s="73" t="n">
        <v>43731.1526205598</v>
      </c>
      <c r="F2465" s="74" t="n">
        <v>7517.78229924828</v>
      </c>
      <c r="G2465" s="75" t="n">
        <v>43730.7448506382</v>
      </c>
      <c r="H2465" s="76" t="n">
        <v>7517.77035327065</v>
      </c>
      <c r="I2465" s="77" t="str">
        <f>H2465-F2465</f>
      </c>
      <c r="J2465" s="78" t="str">
        <f>G2465-E2465</f>
      </c>
    </row>
    <row r="2466">
      <c r="A2466" t="s">
        <v>274</v>
      </c>
      <c r="B2466" t="s">
        <v>276</v>
      </c>
      <c r="C2466" s="72" t="n">
        <v>2039</v>
      </c>
      <c r="D2466" t="s">
        <v>176</v>
      </c>
      <c r="E2466" s="73" t="n">
        <v>18756.5398935831</v>
      </c>
      <c r="F2466" s="74" t="n">
        <v>13406.1047668329</v>
      </c>
      <c r="G2466" s="75" t="n">
        <v>18752.090499403</v>
      </c>
      <c r="H2466" s="76" t="n">
        <v>13404.6696202756</v>
      </c>
      <c r="I2466" s="77" t="str">
        <f>H2466-F2466</f>
      </c>
      <c r="J2466" s="78" t="str">
        <f>G2466-E2466</f>
      </c>
    </row>
    <row r="2467">
      <c r="A2467" t="s">
        <v>274</v>
      </c>
      <c r="B2467" t="s">
        <v>276</v>
      </c>
      <c r="C2467" s="72" t="n">
        <v>2039</v>
      </c>
      <c r="D2467" t="s">
        <v>238</v>
      </c>
      <c r="E2467" s="73" t="n">
        <v>1180780.99916121</v>
      </c>
      <c r="F2467" s="74" t="n">
        <v>241934.687983576</v>
      </c>
      <c r="G2467" s="75" t="n">
        <v>1184738.39184491</v>
      </c>
      <c r="H2467" s="76" t="n">
        <v>242132.191153164</v>
      </c>
      <c r="I2467" s="77" t="str">
        <f>H2467-F2467</f>
      </c>
      <c r="J2467" s="78" t="str">
        <f>G2467-E2467</f>
      </c>
    </row>
    <row r="2468">
      <c r="A2468" t="s">
        <v>274</v>
      </c>
      <c r="B2468" t="s">
        <v>276</v>
      </c>
      <c r="C2468" s="72" t="n">
        <v>2039</v>
      </c>
      <c r="D2468" t="s">
        <v>184</v>
      </c>
      <c r="E2468" s="73" t="n">
        <v>135898.211215052</v>
      </c>
      <c r="F2468" s="74" t="n">
        <v>91723.4378920626</v>
      </c>
      <c r="G2468" s="75" t="n">
        <v>135872.13136763</v>
      </c>
      <c r="H2468" s="76" t="n">
        <v>91716.3663536023</v>
      </c>
      <c r="I2468" s="77" t="str">
        <f>H2468-F2468</f>
      </c>
      <c r="J2468" s="78" t="str">
        <f>G2468-E2468</f>
      </c>
    </row>
    <row r="2469">
      <c r="A2469" t="s">
        <v>274</v>
      </c>
      <c r="B2469" t="s">
        <v>276</v>
      </c>
      <c r="C2469" s="72" t="n">
        <v>2039</v>
      </c>
      <c r="D2469" t="s">
        <v>187</v>
      </c>
      <c r="E2469" s="73" t="n">
        <v>443099.193800494</v>
      </c>
      <c r="F2469" s="74" t="n">
        <v>411483.221118436</v>
      </c>
      <c r="G2469" s="75" t="n">
        <v>443905.980748337</v>
      </c>
      <c r="H2469" s="76" t="n">
        <v>412120.21350488</v>
      </c>
      <c r="I2469" s="77" t="str">
        <f>H2469-F2469</f>
      </c>
      <c r="J2469" s="78" t="str">
        <f>G2469-E2469</f>
      </c>
    </row>
    <row r="2470">
      <c r="A2470" t="s">
        <v>274</v>
      </c>
      <c r="B2470" t="s">
        <v>276</v>
      </c>
      <c r="C2470" s="72" t="n">
        <v>2039</v>
      </c>
      <c r="D2470" t="s">
        <v>190</v>
      </c>
      <c r="E2470" s="73" t="n">
        <v>761530.207178721</v>
      </c>
      <c r="F2470" s="74" t="n">
        <v>473995.591185365</v>
      </c>
      <c r="G2470" s="75" t="n">
        <v>765528.467838857</v>
      </c>
      <c r="H2470" s="76" t="n">
        <v>475269.787528918</v>
      </c>
      <c r="I2470" s="77" t="str">
        <f>H2470-F2470</f>
      </c>
      <c r="J2470" s="78" t="str">
        <f>G2470-E2470</f>
      </c>
    </row>
    <row r="2471">
      <c r="A2471" t="s">
        <v>274</v>
      </c>
      <c r="B2471" t="s">
        <v>276</v>
      </c>
      <c r="C2471" s="72" t="n">
        <v>2039</v>
      </c>
      <c r="D2471" t="s">
        <v>193</v>
      </c>
      <c r="E2471" s="73" t="n">
        <v>575445.809381516</v>
      </c>
      <c r="F2471" s="74" t="n">
        <v>327627.147010227</v>
      </c>
      <c r="G2471" s="75" t="n">
        <v>577414.514396235</v>
      </c>
      <c r="H2471" s="76" t="n">
        <v>328246.401276368</v>
      </c>
      <c r="I2471" s="77" t="str">
        <f>H2471-F2471</f>
      </c>
      <c r="J2471" s="78" t="str">
        <f>G2471-E2471</f>
      </c>
    </row>
    <row r="2472">
      <c r="A2472" t="s">
        <v>274</v>
      </c>
      <c r="B2472" t="s">
        <v>276</v>
      </c>
      <c r="C2472" s="72" t="n">
        <v>2039</v>
      </c>
      <c r="D2472" t="s">
        <v>424</v>
      </c>
      <c r="E2472" s="73" t="n">
        <v>43589.3501675838</v>
      </c>
      <c r="F2472" s="74" t="n">
        <v>7547.57570959554</v>
      </c>
      <c r="G2472" s="75" t="n">
        <v>43588.845456637</v>
      </c>
      <c r="H2472" s="76" t="n">
        <v>7547.5598608641</v>
      </c>
      <c r="I2472" s="77" t="str">
        <f>H2472-F2472</f>
      </c>
      <c r="J2472" s="78" t="str">
        <f>G2472-E2472</f>
      </c>
    </row>
    <row r="2473">
      <c r="A2473" t="s">
        <v>274</v>
      </c>
      <c r="B2473" t="s">
        <v>276</v>
      </c>
      <c r="C2473" s="72" t="n">
        <v>2040</v>
      </c>
      <c r="D2473" t="s">
        <v>176</v>
      </c>
      <c r="E2473" s="73" t="n">
        <v>19241.1893991518</v>
      </c>
      <c r="F2473" s="74" t="n">
        <v>13700.8120057054</v>
      </c>
      <c r="G2473" s="75" t="n">
        <v>19235.7365429273</v>
      </c>
      <c r="H2473" s="76" t="n">
        <v>13698.9721681132</v>
      </c>
      <c r="I2473" s="77" t="str">
        <f>H2473-F2473</f>
      </c>
      <c r="J2473" s="78" t="str">
        <f>G2473-E2473</f>
      </c>
    </row>
    <row r="2474">
      <c r="A2474" t="s">
        <v>274</v>
      </c>
      <c r="B2474" t="s">
        <v>276</v>
      </c>
      <c r="C2474" s="72" t="n">
        <v>2040</v>
      </c>
      <c r="D2474" t="s">
        <v>238</v>
      </c>
      <c r="E2474" s="73" t="n">
        <v>1188488.11748025</v>
      </c>
      <c r="F2474" s="74" t="n">
        <v>249667.177208666</v>
      </c>
      <c r="G2474" s="75" t="n">
        <v>1192634.43006365</v>
      </c>
      <c r="H2474" s="76" t="n">
        <v>249894.478827588</v>
      </c>
      <c r="I2474" s="77" t="str">
        <f>H2474-F2474</f>
      </c>
      <c r="J2474" s="78" t="str">
        <f>G2474-E2474</f>
      </c>
    </row>
    <row r="2475">
      <c r="A2475" t="s">
        <v>274</v>
      </c>
      <c r="B2475" t="s">
        <v>276</v>
      </c>
      <c r="C2475" s="72" t="n">
        <v>2040</v>
      </c>
      <c r="D2475" t="s">
        <v>184</v>
      </c>
      <c r="E2475" s="73" t="n">
        <v>138721.577822718</v>
      </c>
      <c r="F2475" s="74" t="n">
        <v>93645.9987990651</v>
      </c>
      <c r="G2475" s="75" t="n">
        <v>138689.796610277</v>
      </c>
      <c r="H2475" s="76" t="n">
        <v>93636.8967600593</v>
      </c>
      <c r="I2475" s="77" t="str">
        <f>H2475-F2475</f>
      </c>
      <c r="J2475" s="78" t="str">
        <f>G2475-E2475</f>
      </c>
    </row>
    <row r="2476">
      <c r="A2476" t="s">
        <v>274</v>
      </c>
      <c r="B2476" t="s">
        <v>276</v>
      </c>
      <c r="C2476" s="72" t="n">
        <v>2040</v>
      </c>
      <c r="D2476" t="s">
        <v>187</v>
      </c>
      <c r="E2476" s="73" t="n">
        <v>449992.04962114</v>
      </c>
      <c r="F2476" s="74" t="n">
        <v>417936.910347874</v>
      </c>
      <c r="G2476" s="75" t="n">
        <v>450841.764596063</v>
      </c>
      <c r="H2476" s="76" t="n">
        <v>418620.908948174</v>
      </c>
      <c r="I2476" s="77" t="str">
        <f>H2476-F2476</f>
      </c>
      <c r="J2476" s="78" t="str">
        <f>G2476-E2476</f>
      </c>
    </row>
    <row r="2477">
      <c r="A2477" t="s">
        <v>274</v>
      </c>
      <c r="B2477" t="s">
        <v>276</v>
      </c>
      <c r="C2477" s="72" t="n">
        <v>2040</v>
      </c>
      <c r="D2477" t="s">
        <v>190</v>
      </c>
      <c r="E2477" s="73" t="n">
        <v>772860.80379518</v>
      </c>
      <c r="F2477" s="74" t="n">
        <v>483513.351750216</v>
      </c>
      <c r="G2477" s="75" t="n">
        <v>777088.496702091</v>
      </c>
      <c r="H2477" s="76" t="n">
        <v>484947.105425179</v>
      </c>
      <c r="I2477" s="77" t="str">
        <f>H2477-F2477</f>
      </c>
      <c r="J2477" s="78" t="str">
        <f>G2477-E2477</f>
      </c>
    </row>
    <row r="2478">
      <c r="A2478" t="s">
        <v>274</v>
      </c>
      <c r="B2478" t="s">
        <v>276</v>
      </c>
      <c r="C2478" s="72" t="n">
        <v>2040</v>
      </c>
      <c r="D2478" t="s">
        <v>193</v>
      </c>
      <c r="E2478" s="73" t="n">
        <v>587274.557341981</v>
      </c>
      <c r="F2478" s="74" t="n">
        <v>337345.320339357</v>
      </c>
      <c r="G2478" s="75" t="n">
        <v>589359.733832842</v>
      </c>
      <c r="H2478" s="76" t="n">
        <v>338039.010430446</v>
      </c>
      <c r="I2478" s="77" t="str">
        <f>H2478-F2478</f>
      </c>
      <c r="J2478" s="78" t="str">
        <f>G2478-E2478</f>
      </c>
    </row>
    <row r="2479">
      <c r="A2479" t="s">
        <v>274</v>
      </c>
      <c r="B2479" t="s">
        <v>276</v>
      </c>
      <c r="C2479" s="72" t="n">
        <v>2040</v>
      </c>
      <c r="D2479" t="s">
        <v>424</v>
      </c>
      <c r="E2479" s="73" t="n">
        <v>43465.4722221262</v>
      </c>
      <c r="F2479" s="74" t="n">
        <v>7573.74599013498</v>
      </c>
      <c r="G2479" s="75" t="n">
        <v>43464.8596818836</v>
      </c>
      <c r="H2479" s="76" t="n">
        <v>7573.72556082699</v>
      </c>
      <c r="I2479" s="77" t="str">
        <f>H2479-F2479</f>
      </c>
      <c r="J2479" s="78" t="str">
        <f>G2479-E2479</f>
      </c>
    </row>
    <row r="2480">
      <c r="A2480" t="s">
        <v>274</v>
      </c>
      <c r="B2480" t="s">
        <v>276</v>
      </c>
      <c r="C2480" s="72" t="n">
        <v>2041</v>
      </c>
      <c r="D2480" t="s">
        <v>176</v>
      </c>
      <c r="E2480" s="73" t="n">
        <v>19733.8607997483</v>
      </c>
      <c r="F2480" s="74" t="n">
        <v>13993.9129754235</v>
      </c>
      <c r="G2480" s="75" t="n">
        <v>19727.283486384</v>
      </c>
      <c r="H2480" s="76" t="n">
        <v>13991.6066902828</v>
      </c>
      <c r="I2480" s="77" t="str">
        <f>H2480-F2480</f>
      </c>
      <c r="J2480" s="78" t="str">
        <f>G2480-E2480</f>
      </c>
    </row>
    <row r="2481">
      <c r="A2481" t="s">
        <v>274</v>
      </c>
      <c r="B2481" t="s">
        <v>276</v>
      </c>
      <c r="C2481" s="72" t="n">
        <v>2041</v>
      </c>
      <c r="D2481" t="s">
        <v>238</v>
      </c>
      <c r="E2481" s="73" t="n">
        <v>1195667.59676432</v>
      </c>
      <c r="F2481" s="74" t="n">
        <v>257340.414859041</v>
      </c>
      <c r="G2481" s="75" t="n">
        <v>1199988.17586749</v>
      </c>
      <c r="H2481" s="76" t="n">
        <v>257599.044002988</v>
      </c>
      <c r="I2481" s="77" t="str">
        <f>H2481-F2481</f>
      </c>
      <c r="J2481" s="78" t="str">
        <f>G2481-E2481</f>
      </c>
    </row>
    <row r="2482">
      <c r="A2482" t="s">
        <v>274</v>
      </c>
      <c r="B2482" t="s">
        <v>276</v>
      </c>
      <c r="C2482" s="72" t="n">
        <v>2041</v>
      </c>
      <c r="D2482" t="s">
        <v>184</v>
      </c>
      <c r="E2482" s="73" t="n">
        <v>141513.65969131</v>
      </c>
      <c r="F2482" s="74" t="n">
        <v>95538.4466714861</v>
      </c>
      <c r="G2482" s="75" t="n">
        <v>141475.570851386</v>
      </c>
      <c r="H2482" s="76" t="n">
        <v>95527.0063786807</v>
      </c>
      <c r="I2482" s="77" t="str">
        <f>H2482-F2482</f>
      </c>
      <c r="J2482" s="78" t="str">
        <f>G2482-E2482</f>
      </c>
    </row>
    <row r="2483">
      <c r="A2483" t="s">
        <v>274</v>
      </c>
      <c r="B2483" t="s">
        <v>276</v>
      </c>
      <c r="C2483" s="72" t="n">
        <v>2041</v>
      </c>
      <c r="D2483" t="s">
        <v>187</v>
      </c>
      <c r="E2483" s="73" t="n">
        <v>456808.33326537</v>
      </c>
      <c r="F2483" s="74" t="n">
        <v>424277.267241486</v>
      </c>
      <c r="G2483" s="75" t="n">
        <v>457698.128134802</v>
      </c>
      <c r="H2483" s="76" t="n">
        <v>425005.77720965</v>
      </c>
      <c r="I2483" s="77" t="str">
        <f>H2483-F2483</f>
      </c>
      <c r="J2483" s="78" t="str">
        <f>G2483-E2483</f>
      </c>
    </row>
    <row r="2484">
      <c r="A2484" t="s">
        <v>274</v>
      </c>
      <c r="B2484" t="s">
        <v>276</v>
      </c>
      <c r="C2484" s="72" t="n">
        <v>2041</v>
      </c>
      <c r="D2484" t="s">
        <v>190</v>
      </c>
      <c r="E2484" s="73" t="n">
        <v>783847.719253465</v>
      </c>
      <c r="F2484" s="74" t="n">
        <v>492795.973644865</v>
      </c>
      <c r="G2484" s="75" t="n">
        <v>788293.242756689</v>
      </c>
      <c r="H2484" s="76" t="n">
        <v>494390.873248259</v>
      </c>
      <c r="I2484" s="77" t="str">
        <f>H2484-F2484</f>
      </c>
      <c r="J2484" s="78" t="str">
        <f>G2484-E2484</f>
      </c>
    </row>
    <row r="2485">
      <c r="A2485" t="s">
        <v>274</v>
      </c>
      <c r="B2485" t="s">
        <v>276</v>
      </c>
      <c r="C2485" s="72" t="n">
        <v>2041</v>
      </c>
      <c r="D2485" t="s">
        <v>193</v>
      </c>
      <c r="E2485" s="73" t="n">
        <v>598959.56279807</v>
      </c>
      <c r="F2485" s="74" t="n">
        <v>347155.547038547</v>
      </c>
      <c r="G2485" s="75" t="n">
        <v>601155.340946961</v>
      </c>
      <c r="H2485" s="76" t="n">
        <v>347924.766327078</v>
      </c>
      <c r="I2485" s="77" t="str">
        <f>H2485-F2485</f>
      </c>
      <c r="J2485" s="78" t="str">
        <f>G2485-E2485</f>
      </c>
    </row>
    <row r="2486">
      <c r="A2486" t="s">
        <v>274</v>
      </c>
      <c r="B2486" t="s">
        <v>276</v>
      </c>
      <c r="C2486" s="72" t="n">
        <v>2041</v>
      </c>
      <c r="D2486" t="s">
        <v>424</v>
      </c>
      <c r="E2486" s="73" t="n">
        <v>43361.6668339154</v>
      </c>
      <c r="F2486" s="74" t="n">
        <v>7596.02105558321</v>
      </c>
      <c r="G2486" s="75" t="n">
        <v>43360.9356755525</v>
      </c>
      <c r="H2486" s="76" t="n">
        <v>7595.99533386821</v>
      </c>
      <c r="I2486" s="77" t="str">
        <f>H2486-F2486</f>
      </c>
      <c r="J2486" s="78" t="str">
        <f>G2486-E2486</f>
      </c>
    </row>
    <row r="2487">
      <c r="A2487" t="s">
        <v>274</v>
      </c>
      <c r="B2487" t="s">
        <v>276</v>
      </c>
      <c r="C2487" s="72" t="n">
        <v>2042</v>
      </c>
      <c r="D2487" t="s">
        <v>176</v>
      </c>
      <c r="E2487" s="73" t="n">
        <v>20230.0947724639</v>
      </c>
      <c r="F2487" s="74" t="n">
        <v>14287.4554121534</v>
      </c>
      <c r="G2487" s="75" t="n">
        <v>20222.2683991647</v>
      </c>
      <c r="H2487" s="76" t="n">
        <v>14284.6169088399</v>
      </c>
      <c r="I2487" s="77" t="str">
        <f>H2487-F2487</f>
      </c>
      <c r="J2487" s="78" t="str">
        <f>G2487-E2487</f>
      </c>
    </row>
    <row r="2488">
      <c r="A2488" t="s">
        <v>274</v>
      </c>
      <c r="B2488" t="s">
        <v>276</v>
      </c>
      <c r="C2488" s="72" t="n">
        <v>2042</v>
      </c>
      <c r="D2488" t="s">
        <v>238</v>
      </c>
      <c r="E2488" s="73" t="n">
        <v>1202318.9148991</v>
      </c>
      <c r="F2488" s="74" t="n">
        <v>264997.989188028</v>
      </c>
      <c r="G2488" s="75" t="n">
        <v>1206799.58929471</v>
      </c>
      <c r="H2488" s="76" t="n">
        <v>265289.409116733</v>
      </c>
      <c r="I2488" s="77" t="str">
        <f>H2488-F2488</f>
      </c>
      <c r="J2488" s="78" t="str">
        <f>G2488-E2488</f>
      </c>
    </row>
    <row r="2489">
      <c r="A2489" t="s">
        <v>274</v>
      </c>
      <c r="B2489" t="s">
        <v>276</v>
      </c>
      <c r="C2489" s="72" t="n">
        <v>2042</v>
      </c>
      <c r="D2489" t="s">
        <v>184</v>
      </c>
      <c r="E2489" s="73" t="n">
        <v>144293.089273243</v>
      </c>
      <c r="F2489" s="74" t="n">
        <v>97420.2542454243</v>
      </c>
      <c r="G2489" s="75" t="n">
        <v>144248.066926011</v>
      </c>
      <c r="H2489" s="76" t="n">
        <v>97406.1569770963</v>
      </c>
      <c r="I2489" s="77" t="str">
        <f>H2489-F2489</f>
      </c>
      <c r="J2489" s="78" t="str">
        <f>G2489-E2489</f>
      </c>
    </row>
    <row r="2490">
      <c r="A2490" t="s">
        <v>274</v>
      </c>
      <c r="B2490" t="s">
        <v>276</v>
      </c>
      <c r="C2490" s="72" t="n">
        <v>2042</v>
      </c>
      <c r="D2490" t="s">
        <v>187</v>
      </c>
      <c r="E2490" s="73" t="n">
        <v>463559.979571327</v>
      </c>
      <c r="F2490" s="74" t="n">
        <v>430626.354094128</v>
      </c>
      <c r="G2490" s="75" t="n">
        <v>464487.038990191</v>
      </c>
      <c r="H2490" s="76" t="n">
        <v>431397.042999706</v>
      </c>
      <c r="I2490" s="77" t="str">
        <f>H2490-F2490</f>
      </c>
      <c r="J2490" s="78" t="str">
        <f>G2490-E2490</f>
      </c>
    </row>
    <row r="2491">
      <c r="A2491" t="s">
        <v>274</v>
      </c>
      <c r="B2491" t="s">
        <v>276</v>
      </c>
      <c r="C2491" s="72" t="n">
        <v>2042</v>
      </c>
      <c r="D2491" t="s">
        <v>190</v>
      </c>
      <c r="E2491" s="73" t="n">
        <v>794573.317966554</v>
      </c>
      <c r="F2491" s="74" t="n">
        <v>501847.16797153</v>
      </c>
      <c r="G2491" s="75" t="n">
        <v>799225.499121645</v>
      </c>
      <c r="H2491" s="76" t="n">
        <v>503603.803809569</v>
      </c>
      <c r="I2491" s="77" t="str">
        <f>H2491-F2491</f>
      </c>
      <c r="J2491" s="78" t="str">
        <f>G2491-E2491</f>
      </c>
    </row>
    <row r="2492">
      <c r="A2492" t="s">
        <v>274</v>
      </c>
      <c r="B2492" t="s">
        <v>276</v>
      </c>
      <c r="C2492" s="72" t="n">
        <v>2042</v>
      </c>
      <c r="D2492" t="s">
        <v>193</v>
      </c>
      <c r="E2492" s="73" t="n">
        <v>610364.236391422</v>
      </c>
      <c r="F2492" s="74" t="n">
        <v>357085.309833006</v>
      </c>
      <c r="G2492" s="75" t="n">
        <v>612664.177038008</v>
      </c>
      <c r="H2492" s="76" t="n">
        <v>357930.939504437</v>
      </c>
      <c r="I2492" s="77" t="str">
        <f>H2492-F2492</f>
      </c>
      <c r="J2492" s="78" t="str">
        <f>G2492-E2492</f>
      </c>
    </row>
    <row r="2493">
      <c r="A2493" t="s">
        <v>274</v>
      </c>
      <c r="B2493" t="s">
        <v>276</v>
      </c>
      <c r="C2493" s="72" t="n">
        <v>2042</v>
      </c>
      <c r="D2493" t="s">
        <v>424</v>
      </c>
      <c r="E2493" s="73" t="n">
        <v>43279.5889860124</v>
      </c>
      <c r="F2493" s="74" t="n">
        <v>7616.62457545296</v>
      </c>
      <c r="G2493" s="75" t="n">
        <v>43278.7284816073</v>
      </c>
      <c r="H2493" s="76" t="n">
        <v>7616.59280355029</v>
      </c>
      <c r="I2493" s="77" t="str">
        <f>H2493-F2493</f>
      </c>
      <c r="J2493" s="78" t="str">
        <f>G2493-E2493</f>
      </c>
    </row>
    <row r="2494">
      <c r="A2494" t="s">
        <v>274</v>
      </c>
      <c r="B2494" t="s">
        <v>276</v>
      </c>
      <c r="C2494" s="72" t="n">
        <v>2043</v>
      </c>
      <c r="D2494" t="s">
        <v>176</v>
      </c>
      <c r="E2494" s="73" t="n">
        <v>20729.7548061143</v>
      </c>
      <c r="F2494" s="74" t="n">
        <v>14576.3227833017</v>
      </c>
      <c r="G2494" s="75" t="n">
        <v>20720.5482054553</v>
      </c>
      <c r="H2494" s="76" t="n">
        <v>14572.8831532714</v>
      </c>
      <c r="I2494" s="77" t="str">
        <f>H2494-F2494</f>
      </c>
      <c r="J2494" s="78" t="str">
        <f>G2494-E2494</f>
      </c>
    </row>
    <row r="2495">
      <c r="A2495" t="s">
        <v>274</v>
      </c>
      <c r="B2495" t="s">
        <v>276</v>
      </c>
      <c r="C2495" s="72" t="n">
        <v>2043</v>
      </c>
      <c r="D2495" t="s">
        <v>238</v>
      </c>
      <c r="E2495" s="73" t="n">
        <v>1208422.28082863</v>
      </c>
      <c r="F2495" s="74" t="n">
        <v>272624.887842026</v>
      </c>
      <c r="G2495" s="75" t="n">
        <v>1213049.26096591</v>
      </c>
      <c r="H2495" s="76" t="n">
        <v>272950.435419178</v>
      </c>
      <c r="I2495" s="77" t="str">
        <f>H2495-F2495</f>
      </c>
      <c r="J2495" s="78" t="str">
        <f>G2495-E2495</f>
      </c>
    </row>
    <row r="2496">
      <c r="A2496" t="s">
        <v>274</v>
      </c>
      <c r="B2496" t="s">
        <v>276</v>
      </c>
      <c r="C2496" s="72" t="n">
        <v>2043</v>
      </c>
      <c r="D2496" t="s">
        <v>184</v>
      </c>
      <c r="E2496" s="73" t="n">
        <v>147046.410876338</v>
      </c>
      <c r="F2496" s="74" t="n">
        <v>99288.4749216255</v>
      </c>
      <c r="G2496" s="75" t="n">
        <v>146993.814208207</v>
      </c>
      <c r="H2496" s="76" t="n">
        <v>99271.3911680729</v>
      </c>
      <c r="I2496" s="77" t="str">
        <f>H2496-F2496</f>
      </c>
      <c r="J2496" s="78" t="str">
        <f>G2496-E2496</f>
      </c>
    </row>
    <row r="2497">
      <c r="A2497" t="s">
        <v>274</v>
      </c>
      <c r="B2497" t="s">
        <v>276</v>
      </c>
      <c r="C2497" s="72" t="n">
        <v>2043</v>
      </c>
      <c r="D2497" t="s">
        <v>187</v>
      </c>
      <c r="E2497" s="73" t="n">
        <v>470193.431448242</v>
      </c>
      <c r="F2497" s="74" t="n">
        <v>436869.690450309</v>
      </c>
      <c r="G2497" s="75" t="n">
        <v>471154.839580669</v>
      </c>
      <c r="H2497" s="76" t="n">
        <v>437679.988471842</v>
      </c>
      <c r="I2497" s="77" t="str">
        <f>H2497-F2497</f>
      </c>
      <c r="J2497" s="78" t="str">
        <f>G2497-E2497</f>
      </c>
    </row>
    <row r="2498">
      <c r="A2498" t="s">
        <v>274</v>
      </c>
      <c r="B2498" t="s">
        <v>276</v>
      </c>
      <c r="C2498" s="72" t="n">
        <v>2043</v>
      </c>
      <c r="D2498" t="s">
        <v>190</v>
      </c>
      <c r="E2498" s="73" t="n">
        <v>805166.25792599</v>
      </c>
      <c r="F2498" s="74" t="n">
        <v>510692.28350575</v>
      </c>
      <c r="G2498" s="75" t="n">
        <v>810014.772834319</v>
      </c>
      <c r="H2498" s="76" t="n">
        <v>512610.449179313</v>
      </c>
      <c r="I2498" s="77" t="str">
        <f>H2498-F2498</f>
      </c>
      <c r="J2498" s="78" t="str">
        <f>G2498-E2498</f>
      </c>
    </row>
    <row r="2499">
      <c r="A2499" t="s">
        <v>274</v>
      </c>
      <c r="B2499" t="s">
        <v>276</v>
      </c>
      <c r="C2499" s="72" t="n">
        <v>2043</v>
      </c>
      <c r="D2499" t="s">
        <v>193</v>
      </c>
      <c r="E2499" s="73" t="n">
        <v>621555.480649892</v>
      </c>
      <c r="F2499" s="74" t="n">
        <v>367036.697059974</v>
      </c>
      <c r="G2499" s="75" t="n">
        <v>623953.356494139</v>
      </c>
      <c r="H2499" s="76" t="n">
        <v>367959.059248153</v>
      </c>
      <c r="I2499" s="77" t="str">
        <f>H2499-F2499</f>
      </c>
      <c r="J2499" s="78" t="str">
        <f>G2499-E2499</f>
      </c>
    </row>
    <row r="2500">
      <c r="A2500" t="s">
        <v>274</v>
      </c>
      <c r="B2500" t="s">
        <v>276</v>
      </c>
      <c r="C2500" s="72" t="n">
        <v>2043</v>
      </c>
      <c r="D2500" t="s">
        <v>424</v>
      </c>
      <c r="E2500" s="73" t="n">
        <v>43233.1391026595</v>
      </c>
      <c r="F2500" s="74" t="n">
        <v>7634.67672040462</v>
      </c>
      <c r="G2500" s="75" t="n">
        <v>43232.1385441846</v>
      </c>
      <c r="H2500" s="76" t="n">
        <v>7634.63809790975</v>
      </c>
      <c r="I2500" s="77" t="str">
        <f>H2500-F2500</f>
      </c>
      <c r="J2500" s="78" t="str">
        <f>G2500-E2500</f>
      </c>
    </row>
    <row r="2501">
      <c r="A2501" t="s">
        <v>274</v>
      </c>
      <c r="B2501" t="s">
        <v>276</v>
      </c>
      <c r="C2501" s="72" t="n">
        <v>2044</v>
      </c>
      <c r="D2501" t="s">
        <v>176</v>
      </c>
      <c r="E2501" s="73" t="n">
        <v>21230.9712617472</v>
      </c>
      <c r="F2501" s="74" t="n">
        <v>14865.5437027492</v>
      </c>
      <c r="G2501" s="75" t="n">
        <v>21220.2473713984</v>
      </c>
      <c r="H2501" s="76" t="n">
        <v>14861.4315691186</v>
      </c>
      <c r="I2501" s="77" t="str">
        <f>H2501-F2501</f>
      </c>
      <c r="J2501" s="78" t="str">
        <f>G2501-E2501</f>
      </c>
    </row>
    <row r="2502">
      <c r="A2502" t="s">
        <v>274</v>
      </c>
      <c r="B2502" t="s">
        <v>276</v>
      </c>
      <c r="C2502" s="72" t="n">
        <v>2044</v>
      </c>
      <c r="D2502" t="s">
        <v>238</v>
      </c>
      <c r="E2502" s="73" t="n">
        <v>1214227.41600703</v>
      </c>
      <c r="F2502" s="74" t="n">
        <v>280145.56151015</v>
      </c>
      <c r="G2502" s="75" t="n">
        <v>1218988.4670045</v>
      </c>
      <c r="H2502" s="76" t="n">
        <v>280506.441535508</v>
      </c>
      <c r="I2502" s="77" t="str">
        <f>H2502-F2502</f>
      </c>
      <c r="J2502" s="78" t="str">
        <f>G2502-E2502</f>
      </c>
    </row>
    <row r="2503">
      <c r="A2503" t="s">
        <v>274</v>
      </c>
      <c r="B2503" t="s">
        <v>276</v>
      </c>
      <c r="C2503" s="72" t="n">
        <v>2044</v>
      </c>
      <c r="D2503" t="s">
        <v>184</v>
      </c>
      <c r="E2503" s="73" t="n">
        <v>149757.037012086</v>
      </c>
      <c r="F2503" s="74" t="n">
        <v>101132.6979349</v>
      </c>
      <c r="G2503" s="75" t="n">
        <v>149696.213967301</v>
      </c>
      <c r="H2503" s="76" t="n">
        <v>101112.290089553</v>
      </c>
      <c r="I2503" s="77" t="str">
        <f>H2503-F2503</f>
      </c>
      <c r="J2503" s="78" t="str">
        <f>G2503-E2503</f>
      </c>
    </row>
    <row r="2504">
      <c r="A2504" t="s">
        <v>274</v>
      </c>
      <c r="B2504" t="s">
        <v>276</v>
      </c>
      <c r="C2504" s="72" t="n">
        <v>2044</v>
      </c>
      <c r="D2504" t="s">
        <v>187</v>
      </c>
      <c r="E2504" s="73" t="n">
        <v>476588.713202805</v>
      </c>
      <c r="F2504" s="74" t="n">
        <v>442953.447189656</v>
      </c>
      <c r="G2504" s="75" t="n">
        <v>477581.314836645</v>
      </c>
      <c r="H2504" s="76" t="n">
        <v>443800.637197395</v>
      </c>
      <c r="I2504" s="77" t="str">
        <f>H2504-F2504</f>
      </c>
      <c r="J2504" s="78" t="str">
        <f>G2504-E2504</f>
      </c>
    </row>
    <row r="2505">
      <c r="A2505" t="s">
        <v>274</v>
      </c>
      <c r="B2505" t="s">
        <v>276</v>
      </c>
      <c r="C2505" s="72" t="n">
        <v>2044</v>
      </c>
      <c r="D2505" t="s">
        <v>190</v>
      </c>
      <c r="E2505" s="73" t="n">
        <v>815707.199822695</v>
      </c>
      <c r="F2505" s="74" t="n">
        <v>519341.333864032</v>
      </c>
      <c r="G2505" s="75" t="n">
        <v>820742.370121934</v>
      </c>
      <c r="H2505" s="76" t="n">
        <v>521420.170330997</v>
      </c>
      <c r="I2505" s="77" t="str">
        <f>H2505-F2505</f>
      </c>
      <c r="J2505" s="78" t="str">
        <f>G2505-E2505</f>
      </c>
    </row>
    <row r="2506">
      <c r="A2506" t="s">
        <v>274</v>
      </c>
      <c r="B2506" t="s">
        <v>276</v>
      </c>
      <c r="C2506" s="72" t="n">
        <v>2044</v>
      </c>
      <c r="D2506" t="s">
        <v>193</v>
      </c>
      <c r="E2506" s="73" t="n">
        <v>632534.947940484</v>
      </c>
      <c r="F2506" s="74" t="n">
        <v>376919.740703941</v>
      </c>
      <c r="G2506" s="75" t="n">
        <v>635024.546467649</v>
      </c>
      <c r="H2506" s="76" t="n">
        <v>377918.589898958</v>
      </c>
      <c r="I2506" s="77" t="str">
        <f>H2506-F2506</f>
      </c>
      <c r="J2506" s="78" t="str">
        <f>G2506-E2506</f>
      </c>
    </row>
    <row r="2507">
      <c r="A2507" t="s">
        <v>274</v>
      </c>
      <c r="B2507" t="s">
        <v>276</v>
      </c>
      <c r="C2507" s="72" t="n">
        <v>2044</v>
      </c>
      <c r="D2507" t="s">
        <v>424</v>
      </c>
      <c r="E2507" s="73" t="n">
        <v>43203.7811801405</v>
      </c>
      <c r="F2507" s="74" t="n">
        <v>7652.76814492011</v>
      </c>
      <c r="G2507" s="75" t="n">
        <v>43202.6300388595</v>
      </c>
      <c r="H2507" s="76" t="n">
        <v>7652.72182573668</v>
      </c>
      <c r="I2507" s="77" t="str">
        <f>H2507-F2507</f>
      </c>
      <c r="J2507" s="78" t="str">
        <f>G2507-E2507</f>
      </c>
    </row>
    <row r="2508">
      <c r="A2508" t="s">
        <v>274</v>
      </c>
      <c r="B2508" t="s">
        <v>276</v>
      </c>
      <c r="C2508" s="72" t="n">
        <v>2045</v>
      </c>
      <c r="D2508" t="s">
        <v>176</v>
      </c>
      <c r="E2508" s="73" t="n">
        <v>21729.9969775063</v>
      </c>
      <c r="F2508" s="74" t="n">
        <v>15153.1561877128</v>
      </c>
      <c r="G2508" s="75" t="n">
        <v>21717.6165215297</v>
      </c>
      <c r="H2508" s="76" t="n">
        <v>15148.2979562423</v>
      </c>
      <c r="I2508" s="77" t="str">
        <f>H2508-F2508</f>
      </c>
      <c r="J2508" s="78" t="str">
        <f>G2508-E2508</f>
      </c>
    </row>
    <row r="2509">
      <c r="A2509" t="s">
        <v>274</v>
      </c>
      <c r="B2509" t="s">
        <v>276</v>
      </c>
      <c r="C2509" s="72" t="n">
        <v>2045</v>
      </c>
      <c r="D2509" t="s">
        <v>238</v>
      </c>
      <c r="E2509" s="73" t="n">
        <v>1219785.26002578</v>
      </c>
      <c r="F2509" s="74" t="n">
        <v>287527.777393079</v>
      </c>
      <c r="G2509" s="75" t="n">
        <v>1224668.96644768</v>
      </c>
      <c r="H2509" s="76" t="n">
        <v>287925.043222784</v>
      </c>
      <c r="I2509" s="77" t="str">
        <f>H2509-F2509</f>
      </c>
      <c r="J2509" s="78" t="str">
        <f>G2509-E2509</f>
      </c>
    </row>
    <row r="2510">
      <c r="A2510" t="s">
        <v>274</v>
      </c>
      <c r="B2510" t="s">
        <v>276</v>
      </c>
      <c r="C2510" s="72" t="n">
        <v>2045</v>
      </c>
      <c r="D2510" t="s">
        <v>184</v>
      </c>
      <c r="E2510" s="73" t="n">
        <v>152407.755044736</v>
      </c>
      <c r="F2510" s="74" t="n">
        <v>102959.391676564</v>
      </c>
      <c r="G2510" s="75" t="n">
        <v>152338.052815886</v>
      </c>
      <c r="H2510" s="76" t="n">
        <v>102935.314985138</v>
      </c>
      <c r="I2510" s="77" t="str">
        <f>H2510-F2510</f>
      </c>
      <c r="J2510" s="78" t="str">
        <f>G2510-E2510</f>
      </c>
    </row>
    <row r="2511">
      <c r="A2511" t="s">
        <v>274</v>
      </c>
      <c r="B2511" t="s">
        <v>276</v>
      </c>
      <c r="C2511" s="72" t="n">
        <v>2045</v>
      </c>
      <c r="D2511" t="s">
        <v>187</v>
      </c>
      <c r="E2511" s="73" t="n">
        <v>482702.939164467</v>
      </c>
      <c r="F2511" s="74" t="n">
        <v>448836.323551502</v>
      </c>
      <c r="G2511" s="75" t="n">
        <v>483723.516122198</v>
      </c>
      <c r="H2511" s="76" t="n">
        <v>449717.558047709</v>
      </c>
      <c r="I2511" s="77" t="str">
        <f>H2511-F2511</f>
      </c>
      <c r="J2511" s="78" t="str">
        <f>G2511-E2511</f>
      </c>
    </row>
    <row r="2512">
      <c r="A2512" t="s">
        <v>274</v>
      </c>
      <c r="B2512" t="s">
        <v>276</v>
      </c>
      <c r="C2512" s="72" t="n">
        <v>2045</v>
      </c>
      <c r="D2512" t="s">
        <v>190</v>
      </c>
      <c r="E2512" s="73" t="n">
        <v>826257.52201662</v>
      </c>
      <c r="F2512" s="74" t="n">
        <v>527756.459022986</v>
      </c>
      <c r="G2512" s="75" t="n">
        <v>831470.210098177</v>
      </c>
      <c r="H2512" s="76" t="n">
        <v>529994.226959208</v>
      </c>
      <c r="I2512" s="77" t="str">
        <f>H2512-F2512</f>
      </c>
      <c r="J2512" s="78" t="str">
        <f>G2512-E2512</f>
      </c>
    </row>
    <row r="2513">
      <c r="A2513" t="s">
        <v>274</v>
      </c>
      <c r="B2513" t="s">
        <v>276</v>
      </c>
      <c r="C2513" s="72" t="n">
        <v>2045</v>
      </c>
      <c r="D2513" t="s">
        <v>193</v>
      </c>
      <c r="E2513" s="73" t="n">
        <v>643155.919686858</v>
      </c>
      <c r="F2513" s="74" t="n">
        <v>386676.154422814</v>
      </c>
      <c r="G2513" s="75" t="n">
        <v>645730.44769896</v>
      </c>
      <c r="H2513" s="76" t="n">
        <v>387750.678781898</v>
      </c>
      <c r="I2513" s="77" t="str">
        <f>H2513-F2513</f>
      </c>
      <c r="J2513" s="78" t="str">
        <f>G2513-E2513</f>
      </c>
    </row>
    <row r="2514">
      <c r="A2514" t="s">
        <v>274</v>
      </c>
      <c r="B2514" t="s">
        <v>276</v>
      </c>
      <c r="C2514" s="72" t="n">
        <v>2045</v>
      </c>
      <c r="D2514" t="s">
        <v>424</v>
      </c>
      <c r="E2514" s="73" t="n">
        <v>43191.9157938053</v>
      </c>
      <c r="F2514" s="74" t="n">
        <v>7672.12313196577</v>
      </c>
      <c r="G2514" s="75" t="n">
        <v>43190.6037513161</v>
      </c>
      <c r="H2514" s="76" t="n">
        <v>7672.06822678464</v>
      </c>
      <c r="I2514" s="77" t="str">
        <f>H2514-F2514</f>
      </c>
      <c r="J2514" s="78" t="str">
        <f>G2514-E2514</f>
      </c>
    </row>
    <row r="2515">
      <c r="A2515" t="s">
        <v>274</v>
      </c>
      <c r="B2515" t="s">
        <v>276</v>
      </c>
      <c r="C2515" s="72" t="n">
        <v>2046</v>
      </c>
      <c r="D2515" t="s">
        <v>176</v>
      </c>
      <c r="E2515" s="73" t="n">
        <v>22225.1532259087</v>
      </c>
      <c r="F2515" s="74" t="n">
        <v>15442.5760069403</v>
      </c>
      <c r="G2515" s="75" t="n">
        <v>22210.9745219107</v>
      </c>
      <c r="H2515" s="76" t="n">
        <v>15436.8918612077</v>
      </c>
      <c r="I2515" s="77" t="str">
        <f>H2515-F2515</f>
      </c>
      <c r="J2515" s="78" t="str">
        <f>G2515-E2515</f>
      </c>
    </row>
    <row r="2516">
      <c r="A2516" t="s">
        <v>274</v>
      </c>
      <c r="B2516" t="s">
        <v>276</v>
      </c>
      <c r="C2516" s="72" t="n">
        <v>2046</v>
      </c>
      <c r="D2516" t="s">
        <v>238</v>
      </c>
      <c r="E2516" s="73" t="n">
        <v>1225129.36302585</v>
      </c>
      <c r="F2516" s="74" t="n">
        <v>294731.354871685</v>
      </c>
      <c r="G2516" s="75" t="n">
        <v>1230125.0687767</v>
      </c>
      <c r="H2516" s="76" t="n">
        <v>295165.877208802</v>
      </c>
      <c r="I2516" s="77" t="str">
        <f>H2516-F2516</f>
      </c>
      <c r="J2516" s="78" t="str">
        <f>G2516-E2516</f>
      </c>
    </row>
    <row r="2517">
      <c r="A2517" t="s">
        <v>274</v>
      </c>
      <c r="B2517" t="s">
        <v>276</v>
      </c>
      <c r="C2517" s="72" t="n">
        <v>2046</v>
      </c>
      <c r="D2517" t="s">
        <v>184</v>
      </c>
      <c r="E2517" s="73" t="n">
        <v>154998.426447723</v>
      </c>
      <c r="F2517" s="74" t="n">
        <v>104759.23166296</v>
      </c>
      <c r="G2517" s="75" t="n">
        <v>154919.185199882</v>
      </c>
      <c r="H2517" s="76" t="n">
        <v>104731.133984312</v>
      </c>
      <c r="I2517" s="77" t="str">
        <f>H2517-F2517</f>
      </c>
      <c r="J2517" s="78" t="str">
        <f>G2517-E2517</f>
      </c>
    </row>
    <row r="2518">
      <c r="A2518" t="s">
        <v>274</v>
      </c>
      <c r="B2518" t="s">
        <v>276</v>
      </c>
      <c r="C2518" s="72" t="n">
        <v>2046</v>
      </c>
      <c r="D2518" t="s">
        <v>187</v>
      </c>
      <c r="E2518" s="73" t="n">
        <v>488514.270754189</v>
      </c>
      <c r="F2518" s="74" t="n">
        <v>454397.910655598</v>
      </c>
      <c r="G2518" s="75" t="n">
        <v>489559.569488497</v>
      </c>
      <c r="H2518" s="76" t="n">
        <v>455310.080020589</v>
      </c>
      <c r="I2518" s="77" t="str">
        <f>H2518-F2518</f>
      </c>
      <c r="J2518" s="78" t="str">
        <f>G2518-E2518</f>
      </c>
    </row>
    <row r="2519">
      <c r="A2519" t="s">
        <v>274</v>
      </c>
      <c r="B2519" t="s">
        <v>276</v>
      </c>
      <c r="C2519" s="72" t="n">
        <v>2046</v>
      </c>
      <c r="D2519" t="s">
        <v>190</v>
      </c>
      <c r="E2519" s="73" t="n">
        <v>836642.005708164</v>
      </c>
      <c r="F2519" s="74" t="n">
        <v>536045.458643685</v>
      </c>
      <c r="G2519" s="75" t="n">
        <v>842022.211146035</v>
      </c>
      <c r="H2519" s="76" t="n">
        <v>538440.168228285</v>
      </c>
      <c r="I2519" s="77" t="str">
        <f>H2519-F2519</f>
      </c>
      <c r="J2519" s="78" t="str">
        <f>G2519-E2519</f>
      </c>
    </row>
    <row r="2520">
      <c r="A2520" t="s">
        <v>274</v>
      </c>
      <c r="B2520" t="s">
        <v>276</v>
      </c>
      <c r="C2520" s="72" t="n">
        <v>2046</v>
      </c>
      <c r="D2520" t="s">
        <v>193</v>
      </c>
      <c r="E2520" s="73" t="n">
        <v>653370.813473441</v>
      </c>
      <c r="F2520" s="74" t="n">
        <v>396283.049634939</v>
      </c>
      <c r="G2520" s="75" t="n">
        <v>656023.203848247</v>
      </c>
      <c r="H2520" s="76" t="n">
        <v>397431.950602612</v>
      </c>
      <c r="I2520" s="77" t="str">
        <f>H2520-F2520</f>
      </c>
      <c r="J2520" s="78" t="str">
        <f>G2520-E2520</f>
      </c>
    </row>
    <row r="2521">
      <c r="A2521" t="s">
        <v>274</v>
      </c>
      <c r="B2521" t="s">
        <v>276</v>
      </c>
      <c r="C2521" s="72" t="n">
        <v>2046</v>
      </c>
      <c r="D2521" t="s">
        <v>424</v>
      </c>
      <c r="E2521" s="73" t="n">
        <v>43197.7937123634</v>
      </c>
      <c r="F2521" s="74" t="n">
        <v>7693.62145668778</v>
      </c>
      <c r="G2521" s="75" t="n">
        <v>43196.3103231123</v>
      </c>
      <c r="H2521" s="76" t="n">
        <v>7693.55704865625</v>
      </c>
      <c r="I2521" s="77" t="str">
        <f>H2521-F2521</f>
      </c>
      <c r="J2521" s="78" t="str">
        <f>G2521-E2521</f>
      </c>
    </row>
    <row r="2522">
      <c r="A2522" t="s">
        <v>274</v>
      </c>
      <c r="B2522" t="s">
        <v>276</v>
      </c>
      <c r="C2522" s="72" t="n">
        <v>2047</v>
      </c>
      <c r="D2522" t="s">
        <v>176</v>
      </c>
      <c r="E2522" s="73" t="n">
        <v>22715.7851238472</v>
      </c>
      <c r="F2522" s="74" t="n">
        <v>15735.0812811566</v>
      </c>
      <c r="G2522" s="75" t="n">
        <v>22699.6629629007</v>
      </c>
      <c r="H2522" s="76" t="n">
        <v>15728.4854947303</v>
      </c>
      <c r="I2522" s="77" t="str">
        <f>H2522-F2522</f>
      </c>
      <c r="J2522" s="78" t="str">
        <f>G2522-E2522</f>
      </c>
    </row>
    <row r="2523">
      <c r="A2523" t="s">
        <v>274</v>
      </c>
      <c r="B2523" t="s">
        <v>276</v>
      </c>
      <c r="C2523" s="72" t="n">
        <v>2047</v>
      </c>
      <c r="D2523" t="s">
        <v>238</v>
      </c>
      <c r="E2523" s="73" t="n">
        <v>1230177.37940915</v>
      </c>
      <c r="F2523" s="74" t="n">
        <v>301708.088727222</v>
      </c>
      <c r="G2523" s="75" t="n">
        <v>1235274.66521773</v>
      </c>
      <c r="H2523" s="76" t="n">
        <v>302180.550312501</v>
      </c>
      <c r="I2523" s="77" t="str">
        <f>H2523-F2523</f>
      </c>
      <c r="J2523" s="78" t="str">
        <f>G2523-E2523</f>
      </c>
    </row>
    <row r="2524">
      <c r="A2524" t="s">
        <v>274</v>
      </c>
      <c r="B2524" t="s">
        <v>276</v>
      </c>
      <c r="C2524" s="72" t="n">
        <v>2047</v>
      </c>
      <c r="D2524" t="s">
        <v>184</v>
      </c>
      <c r="E2524" s="73" t="n">
        <v>157525.383802326</v>
      </c>
      <c r="F2524" s="74" t="n">
        <v>106520.156392455</v>
      </c>
      <c r="G2524" s="75" t="n">
        <v>157435.937342911</v>
      </c>
      <c r="H2524" s="76" t="n">
        <v>106487.677760342</v>
      </c>
      <c r="I2524" s="77" t="str">
        <f>H2524-F2524</f>
      </c>
      <c r="J2524" s="78" t="str">
        <f>G2524-E2524</f>
      </c>
    </row>
    <row r="2525">
      <c r="A2525" t="s">
        <v>274</v>
      </c>
      <c r="B2525" t="s">
        <v>276</v>
      </c>
      <c r="C2525" s="72" t="n">
        <v>2047</v>
      </c>
      <c r="D2525" t="s">
        <v>187</v>
      </c>
      <c r="E2525" s="73" t="n">
        <v>493980.649143191</v>
      </c>
      <c r="F2525" s="74" t="n">
        <v>459599.533202838</v>
      </c>
      <c r="G2525" s="75" t="n">
        <v>495047.331680699</v>
      </c>
      <c r="H2525" s="76" t="n">
        <v>460539.427749469</v>
      </c>
      <c r="I2525" s="77" t="str">
        <f>H2525-F2525</f>
      </c>
      <c r="J2525" s="78" t="str">
        <f>G2525-E2525</f>
      </c>
    </row>
    <row r="2526">
      <c r="A2526" t="s">
        <v>274</v>
      </c>
      <c r="B2526" t="s">
        <v>276</v>
      </c>
      <c r="C2526" s="72" t="n">
        <v>2047</v>
      </c>
      <c r="D2526" t="s">
        <v>190</v>
      </c>
      <c r="E2526" s="73" t="n">
        <v>846819.175044794</v>
      </c>
      <c r="F2526" s="74" t="n">
        <v>544343.240572452</v>
      </c>
      <c r="G2526" s="75" t="n">
        <v>852357.036896631</v>
      </c>
      <c r="H2526" s="76" t="n">
        <v>546892.884748123</v>
      </c>
      <c r="I2526" s="77" t="str">
        <f>H2526-F2526</f>
      </c>
      <c r="J2526" s="78" t="str">
        <f>G2526-E2526</f>
      </c>
    </row>
    <row r="2527">
      <c r="A2527" t="s">
        <v>274</v>
      </c>
      <c r="B2527" t="s">
        <v>276</v>
      </c>
      <c r="C2527" s="72" t="n">
        <v>2047</v>
      </c>
      <c r="D2527" t="s">
        <v>193</v>
      </c>
      <c r="E2527" s="73" t="n">
        <v>663237.155547173</v>
      </c>
      <c r="F2527" s="74" t="n">
        <v>405716.82568264</v>
      </c>
      <c r="G2527" s="75" t="n">
        <v>665960.530537607</v>
      </c>
      <c r="H2527" s="76" t="n">
        <v>406938.309858621</v>
      </c>
      <c r="I2527" s="77" t="str">
        <f>H2527-F2527</f>
      </c>
      <c r="J2527" s="78" t="str">
        <f>G2527-E2527</f>
      </c>
    </row>
    <row r="2528">
      <c r="A2528" t="s">
        <v>274</v>
      </c>
      <c r="B2528" t="s">
        <v>276</v>
      </c>
      <c r="C2528" s="72" t="n">
        <v>2047</v>
      </c>
      <c r="D2528" t="s">
        <v>424</v>
      </c>
      <c r="E2528" s="73" t="n">
        <v>43219.2995873554</v>
      </c>
      <c r="F2528" s="74" t="n">
        <v>7716.33937584737</v>
      </c>
      <c r="G2528" s="75" t="n">
        <v>43217.6341923504</v>
      </c>
      <c r="H2528" s="76" t="n">
        <v>7716.26452507886</v>
      </c>
      <c r="I2528" s="77" t="str">
        <f>H2528-F2528</f>
      </c>
      <c r="J2528" s="78" t="str">
        <f>G2528-E2528</f>
      </c>
    </row>
    <row r="2529">
      <c r="A2529" t="s">
        <v>274</v>
      </c>
      <c r="B2529" t="s">
        <v>276</v>
      </c>
      <c r="C2529" s="72" t="n">
        <v>2048</v>
      </c>
      <c r="D2529" t="s">
        <v>176</v>
      </c>
      <c r="E2529" s="73" t="n">
        <v>23197.9884278381</v>
      </c>
      <c r="F2529" s="74" t="n">
        <v>16032.8110630119</v>
      </c>
      <c r="G2529" s="75" t="n">
        <v>23179.7775298232</v>
      </c>
      <c r="H2529" s="76" t="n">
        <v>16025.2187605858</v>
      </c>
      <c r="I2529" s="77" t="str">
        <f>H2529-F2529</f>
      </c>
      <c r="J2529" s="78" t="str">
        <f>G2529-E2529</f>
      </c>
    </row>
    <row r="2530">
      <c r="A2530" t="s">
        <v>274</v>
      </c>
      <c r="B2530" t="s">
        <v>276</v>
      </c>
      <c r="C2530" s="72" t="n">
        <v>2048</v>
      </c>
      <c r="D2530" t="s">
        <v>238</v>
      </c>
      <c r="E2530" s="73" t="n">
        <v>1235019.69533789</v>
      </c>
      <c r="F2530" s="74" t="n">
        <v>308453.339396073</v>
      </c>
      <c r="G2530" s="75" t="n">
        <v>1240209.10376068</v>
      </c>
      <c r="H2530" s="76" t="n">
        <v>308964.310377282</v>
      </c>
      <c r="I2530" s="77" t="str">
        <f>H2530-F2530</f>
      </c>
      <c r="J2530" s="78" t="str">
        <f>G2530-E2530</f>
      </c>
    </row>
    <row r="2531">
      <c r="A2531" t="s">
        <v>274</v>
      </c>
      <c r="B2531" t="s">
        <v>276</v>
      </c>
      <c r="C2531" s="72" t="n">
        <v>2048</v>
      </c>
      <c r="D2531" t="s">
        <v>184</v>
      </c>
      <c r="E2531" s="73" t="n">
        <v>159977.37479685</v>
      </c>
      <c r="F2531" s="74" t="n">
        <v>108242.531431684</v>
      </c>
      <c r="G2531" s="75" t="n">
        <v>159877.069557409</v>
      </c>
      <c r="H2531" s="76" t="n">
        <v>108205.309376064</v>
      </c>
      <c r="I2531" s="77" t="str">
        <f>H2531-F2531</f>
      </c>
      <c r="J2531" s="78" t="str">
        <f>G2531-E2531</f>
      </c>
    </row>
    <row r="2532">
      <c r="A2532" t="s">
        <v>274</v>
      </c>
      <c r="B2532" t="s">
        <v>276</v>
      </c>
      <c r="C2532" s="72" t="n">
        <v>2048</v>
      </c>
      <c r="D2532" t="s">
        <v>187</v>
      </c>
      <c r="E2532" s="73" t="n">
        <v>499167.023012235</v>
      </c>
      <c r="F2532" s="74" t="n">
        <v>464593.756109315</v>
      </c>
      <c r="G2532" s="75" t="n">
        <v>500251.963676638</v>
      </c>
      <c r="H2532" s="76" t="n">
        <v>465558.478994868</v>
      </c>
      <c r="I2532" s="77" t="str">
        <f>H2532-F2532</f>
      </c>
      <c r="J2532" s="78" t="str">
        <f>G2532-E2532</f>
      </c>
    </row>
    <row r="2533">
      <c r="A2533" t="s">
        <v>274</v>
      </c>
      <c r="B2533" t="s">
        <v>276</v>
      </c>
      <c r="C2533" s="72" t="n">
        <v>2048</v>
      </c>
      <c r="D2533" t="s">
        <v>190</v>
      </c>
      <c r="E2533" s="73" t="n">
        <v>856735.662662485</v>
      </c>
      <c r="F2533" s="74" t="n">
        <v>552517.781545055</v>
      </c>
      <c r="G2533" s="75" t="n">
        <v>862421.197666068</v>
      </c>
      <c r="H2533" s="76" t="n">
        <v>555219.254274076</v>
      </c>
      <c r="I2533" s="77" t="str">
        <f>H2533-F2533</f>
      </c>
      <c r="J2533" s="78" t="str">
        <f>G2533-E2533</f>
      </c>
    </row>
    <row r="2534">
      <c r="A2534" t="s">
        <v>274</v>
      </c>
      <c r="B2534" t="s">
        <v>276</v>
      </c>
      <c r="C2534" s="72" t="n">
        <v>2048</v>
      </c>
      <c r="D2534" t="s">
        <v>193</v>
      </c>
      <c r="E2534" s="73" t="n">
        <v>672750.496760123</v>
      </c>
      <c r="F2534" s="74" t="n">
        <v>414929.425029055</v>
      </c>
      <c r="G2534" s="75" t="n">
        <v>675538.067131439</v>
      </c>
      <c r="H2534" s="76" t="n">
        <v>416221.145643516</v>
      </c>
      <c r="I2534" s="77" t="str">
        <f>H2534-F2534</f>
      </c>
      <c r="J2534" s="78" t="str">
        <f>G2534-E2534</f>
      </c>
    </row>
    <row r="2535">
      <c r="A2535" t="s">
        <v>274</v>
      </c>
      <c r="B2535" t="s">
        <v>276</v>
      </c>
      <c r="C2535" s="72" t="n">
        <v>2048</v>
      </c>
      <c r="D2535" t="s">
        <v>424</v>
      </c>
      <c r="E2535" s="73" t="n">
        <v>43248.9742560418</v>
      </c>
      <c r="F2535" s="74" t="n">
        <v>7741.05451236319</v>
      </c>
      <c r="G2535" s="75" t="n">
        <v>43247.1165682685</v>
      </c>
      <c r="H2535" s="76" t="n">
        <v>7740.96823230914</v>
      </c>
      <c r="I2535" s="77" t="str">
        <f>H2535-F2535</f>
      </c>
      <c r="J2535" s="78" t="str">
        <f>G2535-E2535</f>
      </c>
    </row>
    <row r="2536">
      <c r="A2536" t="s">
        <v>274</v>
      </c>
      <c r="B2536" t="s">
        <v>276</v>
      </c>
      <c r="C2536" s="72" t="n">
        <v>2049</v>
      </c>
      <c r="D2536" t="s">
        <v>176</v>
      </c>
      <c r="E2536" s="73" t="n">
        <v>23670.8029452428</v>
      </c>
      <c r="F2536" s="74" t="n">
        <v>16331.2864464033</v>
      </c>
      <c r="G2536" s="75" t="n">
        <v>23650.3614840449</v>
      </c>
      <c r="H2536" s="76" t="n">
        <v>16322.61151708</v>
      </c>
      <c r="I2536" s="77" t="str">
        <f>H2536-F2536</f>
      </c>
      <c r="J2536" s="78" t="str">
        <f>G2536-E2536</f>
      </c>
    </row>
    <row r="2537">
      <c r="A2537" t="s">
        <v>274</v>
      </c>
      <c r="B2537" t="s">
        <v>276</v>
      </c>
      <c r="C2537" s="72" t="n">
        <v>2049</v>
      </c>
      <c r="D2537" t="s">
        <v>238</v>
      </c>
      <c r="E2537" s="73" t="n">
        <v>1239685.66628654</v>
      </c>
      <c r="F2537" s="74" t="n">
        <v>314978.732217411</v>
      </c>
      <c r="G2537" s="75" t="n">
        <v>1244958.37630862</v>
      </c>
      <c r="H2537" s="76" t="n">
        <v>315528.654574656</v>
      </c>
      <c r="I2537" s="77" t="str">
        <f>H2537-F2537</f>
      </c>
      <c r="J2537" s="78" t="str">
        <f>G2537-E2537</f>
      </c>
    </row>
    <row r="2538">
      <c r="A2538" t="s">
        <v>274</v>
      </c>
      <c r="B2538" t="s">
        <v>276</v>
      </c>
      <c r="C2538" s="72" t="n">
        <v>2049</v>
      </c>
      <c r="D2538" t="s">
        <v>184</v>
      </c>
      <c r="E2538" s="73" t="n">
        <v>162349.930132818</v>
      </c>
      <c r="F2538" s="74" t="n">
        <v>109924.695996794</v>
      </c>
      <c r="G2538" s="75" t="n">
        <v>162238.134685625</v>
      </c>
      <c r="H2538" s="76" t="n">
        <v>109882.371148655</v>
      </c>
      <c r="I2538" s="77" t="str">
        <f>H2538-F2538</f>
      </c>
      <c r="J2538" s="78" t="str">
        <f>G2538-E2538</f>
      </c>
    </row>
    <row r="2539">
      <c r="A2539" t="s">
        <v>274</v>
      </c>
      <c r="B2539" t="s">
        <v>276</v>
      </c>
      <c r="C2539" s="72" t="n">
        <v>2049</v>
      </c>
      <c r="D2539" t="s">
        <v>187</v>
      </c>
      <c r="E2539" s="73" t="n">
        <v>504115.644856908</v>
      </c>
      <c r="F2539" s="74" t="n">
        <v>469397.126807206</v>
      </c>
      <c r="G2539" s="75" t="n">
        <v>505215.900508139</v>
      </c>
      <c r="H2539" s="76" t="n">
        <v>470383.880162835</v>
      </c>
      <c r="I2539" s="77" t="str">
        <f>H2539-F2539</f>
      </c>
      <c r="J2539" s="78" t="str">
        <f>G2539-E2539</f>
      </c>
    </row>
    <row r="2540">
      <c r="A2540" t="s">
        <v>274</v>
      </c>
      <c r="B2540" t="s">
        <v>276</v>
      </c>
      <c r="C2540" s="72" t="n">
        <v>2049</v>
      </c>
      <c r="D2540" t="s">
        <v>190</v>
      </c>
      <c r="E2540" s="73" t="n">
        <v>866217.175240504</v>
      </c>
      <c r="F2540" s="74" t="n">
        <v>560488.539725568</v>
      </c>
      <c r="G2540" s="75" t="n">
        <v>872039.412561908</v>
      </c>
      <c r="H2540" s="76" t="n">
        <v>563337.765593671</v>
      </c>
      <c r="I2540" s="77" t="str">
        <f>H2540-F2540</f>
      </c>
      <c r="J2540" s="78" t="str">
        <f>G2540-E2540</f>
      </c>
    </row>
    <row r="2541">
      <c r="A2541" t="s">
        <v>274</v>
      </c>
      <c r="B2541" t="s">
        <v>276</v>
      </c>
      <c r="C2541" s="72" t="n">
        <v>2049</v>
      </c>
      <c r="D2541" t="s">
        <v>193</v>
      </c>
      <c r="E2541" s="73" t="n">
        <v>681954.192397373</v>
      </c>
      <c r="F2541" s="74" t="n">
        <v>423852.263610279</v>
      </c>
      <c r="G2541" s="75" t="n">
        <v>684799.519243418</v>
      </c>
      <c r="H2541" s="76" t="n">
        <v>425211.294806661</v>
      </c>
      <c r="I2541" s="77" t="str">
        <f>H2541-F2541</f>
      </c>
      <c r="J2541" s="78" t="str">
        <f>G2541-E2541</f>
      </c>
    </row>
    <row r="2542">
      <c r="A2542" t="s">
        <v>274</v>
      </c>
      <c r="B2542" t="s">
        <v>276</v>
      </c>
      <c r="C2542" s="72" t="n">
        <v>2049</v>
      </c>
      <c r="D2542" t="s">
        <v>424</v>
      </c>
      <c r="E2542" s="73" t="n">
        <v>43289.7537486324</v>
      </c>
      <c r="F2542" s="74" t="n">
        <v>7764.52379065979</v>
      </c>
      <c r="G2542" s="75" t="n">
        <v>43287.6941181752</v>
      </c>
      <c r="H2542" s="76" t="n">
        <v>7764.42505773382</v>
      </c>
      <c r="I2542" s="77" t="str">
        <f>H2542-F2542</f>
      </c>
      <c r="J2542" s="78" t="str">
        <f>G2542-E2542</f>
      </c>
    </row>
    <row r="2543">
      <c r="A2543" t="s">
        <v>274</v>
      </c>
      <c r="B2543" t="s">
        <v>276</v>
      </c>
      <c r="C2543" s="72" t="n">
        <v>2050</v>
      </c>
      <c r="D2543" t="s">
        <v>176</v>
      </c>
      <c r="E2543" s="73" t="n">
        <v>24133.2405548029</v>
      </c>
      <c r="F2543" s="74" t="n">
        <v>16628.7671914861</v>
      </c>
      <c r="G2543" s="75" t="n">
        <v>24110.4306261692</v>
      </c>
      <c r="H2543" s="76" t="n">
        <v>16618.9237091261</v>
      </c>
      <c r="I2543" s="77" t="str">
        <f>H2543-F2543</f>
      </c>
      <c r="J2543" s="78" t="str">
        <f>G2543-E2543</f>
      </c>
    </row>
    <row r="2544">
      <c r="A2544" t="s">
        <v>274</v>
      </c>
      <c r="B2544" t="s">
        <v>276</v>
      </c>
      <c r="C2544" s="72" t="n">
        <v>2050</v>
      </c>
      <c r="D2544" t="s">
        <v>238</v>
      </c>
      <c r="E2544" s="73" t="n">
        <v>1244227.04358304</v>
      </c>
      <c r="F2544" s="74" t="n">
        <v>321276.952969884</v>
      </c>
      <c r="G2544" s="75" t="n">
        <v>1249574.98129843</v>
      </c>
      <c r="H2544" s="76" t="n">
        <v>321866.145423905</v>
      </c>
      <c r="I2544" s="77" t="str">
        <f>H2544-F2544</f>
      </c>
      <c r="J2544" s="78" t="str">
        <f>G2544-E2544</f>
      </c>
    </row>
    <row r="2545">
      <c r="A2545" t="s">
        <v>274</v>
      </c>
      <c r="B2545" t="s">
        <v>276</v>
      </c>
      <c r="C2545" s="72" t="n">
        <v>2050</v>
      </c>
      <c r="D2545" t="s">
        <v>184</v>
      </c>
      <c r="E2545" s="73" t="n">
        <v>164650.845778632</v>
      </c>
      <c r="F2545" s="74" t="n">
        <v>111544.0354058</v>
      </c>
      <c r="G2545" s="75" t="n">
        <v>164526.94959842</v>
      </c>
      <c r="H2545" s="76" t="n">
        <v>111496.260054028</v>
      </c>
      <c r="I2545" s="77" t="str">
        <f>H2545-F2545</f>
      </c>
      <c r="J2545" s="78" t="str">
        <f>G2545-E2545</f>
      </c>
    </row>
    <row r="2546">
      <c r="A2546" t="s">
        <v>274</v>
      </c>
      <c r="B2546" t="s">
        <v>276</v>
      </c>
      <c r="C2546" s="72" t="n">
        <v>2050</v>
      </c>
      <c r="D2546" t="s">
        <v>187</v>
      </c>
      <c r="E2546" s="73" t="n">
        <v>508811.120302558</v>
      </c>
      <c r="F2546" s="74" t="n">
        <v>473887.462056209</v>
      </c>
      <c r="G2546" s="75" t="n">
        <v>509923.794653266</v>
      </c>
      <c r="H2546" s="76" t="n">
        <v>474893.254554943</v>
      </c>
      <c r="I2546" s="77" t="str">
        <f>H2546-F2546</f>
      </c>
      <c r="J2546" s="78" t="str">
        <f>G2546-E2546</f>
      </c>
    </row>
    <row r="2547">
      <c r="A2547" t="s">
        <v>274</v>
      </c>
      <c r="B2547" t="s">
        <v>276</v>
      </c>
      <c r="C2547" s="72" t="n">
        <v>2050</v>
      </c>
      <c r="D2547" t="s">
        <v>190</v>
      </c>
      <c r="E2547" s="73" t="n">
        <v>875271.868403012</v>
      </c>
      <c r="F2547" s="74" t="n">
        <v>568312.296600754</v>
      </c>
      <c r="G2547" s="75" t="n">
        <v>881220.210178615</v>
      </c>
      <c r="H2547" s="76" t="n">
        <v>571305.130665456</v>
      </c>
      <c r="I2547" s="77" t="str">
        <f>H2547-F2547</f>
      </c>
      <c r="J2547" s="78" t="str">
        <f>G2547-E2547</f>
      </c>
    </row>
    <row r="2548">
      <c r="A2548" t="s">
        <v>274</v>
      </c>
      <c r="B2548" t="s">
        <v>276</v>
      </c>
      <c r="C2548" s="72" t="n">
        <v>2050</v>
      </c>
      <c r="D2548" t="s">
        <v>193</v>
      </c>
      <c r="E2548" s="73" t="n">
        <v>690936.14063936</v>
      </c>
      <c r="F2548" s="74" t="n">
        <v>432504.953743637</v>
      </c>
      <c r="G2548" s="75" t="n">
        <v>693833.375810026</v>
      </c>
      <c r="H2548" s="76" t="n">
        <v>433928.116842437</v>
      </c>
      <c r="I2548" s="77" t="str">
        <f>H2548-F2548</f>
      </c>
      <c r="J2548" s="78" t="str">
        <f>G2548-E2548</f>
      </c>
    </row>
    <row r="2549">
      <c r="A2549" t="s">
        <v>274</v>
      </c>
      <c r="B2549" t="s">
        <v>276</v>
      </c>
      <c r="C2549" s="72" t="n">
        <v>2050</v>
      </c>
      <c r="D2549" t="s">
        <v>424</v>
      </c>
      <c r="E2549" s="73" t="n">
        <v>43339.6046750832</v>
      </c>
      <c r="F2549" s="74" t="n">
        <v>7785.70474443892</v>
      </c>
      <c r="G2549" s="75" t="n">
        <v>43337.3340718481</v>
      </c>
      <c r="H2549" s="76" t="n">
        <v>7785.59251624651</v>
      </c>
      <c r="I2549" s="77" t="str">
        <f>H2549-F2549</f>
      </c>
      <c r="J2549" s="78" t="str">
        <f>G2549-E2549</f>
      </c>
    </row>
    <row r="2550">
      <c r="A2550" t="s">
        <v>76</v>
      </c>
      <c r="B2550" t="s">
        <v>427</v>
      </c>
      <c r="C2550" s="72" t="n">
        <v>2025</v>
      </c>
      <c r="D2550" t="s">
        <v>176</v>
      </c>
      <c r="E2550" s="73" t="n">
        <v>12347.3896757033</v>
      </c>
      <c r="F2550" s="74" t="n">
        <v>8975.30849722876</v>
      </c>
      <c r="G2550" s="75" t="n">
        <v>12347.3896757033</v>
      </c>
      <c r="H2550" s="76" t="n">
        <v>8975.30849722876</v>
      </c>
      <c r="I2550" s="77" t="str">
        <f>H2550-F2550</f>
      </c>
      <c r="J2550" s="78" t="str">
        <f>G2550-E2550</f>
      </c>
    </row>
    <row r="2551">
      <c r="A2551" t="s">
        <v>76</v>
      </c>
      <c r="B2551" t="s">
        <v>427</v>
      </c>
      <c r="C2551" s="72" t="n">
        <v>2025</v>
      </c>
      <c r="D2551" t="s">
        <v>238</v>
      </c>
      <c r="E2551" s="73" t="n">
        <v>1026043.97207164</v>
      </c>
      <c r="F2551" s="74" t="n">
        <v>129403.022830672</v>
      </c>
      <c r="G2551" s="75" t="n">
        <v>1026043.97207164</v>
      </c>
      <c r="H2551" s="76" t="n">
        <v>129403.022830672</v>
      </c>
      <c r="I2551" s="77" t="str">
        <f>H2551-F2551</f>
      </c>
      <c r="J2551" s="78" t="str">
        <f>G2551-E2551</f>
      </c>
    </row>
    <row r="2552">
      <c r="A2552" t="s">
        <v>76</v>
      </c>
      <c r="B2552" t="s">
        <v>427</v>
      </c>
      <c r="C2552" s="72" t="n">
        <v>2025</v>
      </c>
      <c r="D2552" t="s">
        <v>184</v>
      </c>
      <c r="E2552" s="73" t="n">
        <v>91684.5090142746</v>
      </c>
      <c r="F2552" s="74" t="n">
        <v>63318.7518252021</v>
      </c>
      <c r="G2552" s="75" t="n">
        <v>91684.5090142746</v>
      </c>
      <c r="H2552" s="76" t="n">
        <v>63318.7518252021</v>
      </c>
      <c r="I2552" s="77" t="str">
        <f>H2552-F2552</f>
      </c>
      <c r="J2552" s="78" t="str">
        <f>G2552-E2552</f>
      </c>
    </row>
    <row r="2553">
      <c r="A2553" t="s">
        <v>76</v>
      </c>
      <c r="B2553" t="s">
        <v>427</v>
      </c>
      <c r="C2553" s="72" t="n">
        <v>2025</v>
      </c>
      <c r="D2553" t="s">
        <v>187</v>
      </c>
      <c r="E2553" s="73" t="n">
        <v>327817.992111529</v>
      </c>
      <c r="F2553" s="74" t="n">
        <v>300216.82861998</v>
      </c>
      <c r="G2553" s="75" t="n">
        <v>327817.992111529</v>
      </c>
      <c r="H2553" s="76" t="n">
        <v>300216.82861998</v>
      </c>
      <c r="I2553" s="77" t="str">
        <f>H2553-F2553</f>
      </c>
      <c r="J2553" s="78" t="str">
        <f>G2553-E2553</f>
      </c>
    </row>
    <row r="2554">
      <c r="A2554" t="s">
        <v>76</v>
      </c>
      <c r="B2554" t="s">
        <v>427</v>
      </c>
      <c r="C2554" s="72" t="n">
        <v>2025</v>
      </c>
      <c r="D2554" t="s">
        <v>190</v>
      </c>
      <c r="E2554" s="73" t="n">
        <v>563964.128928848</v>
      </c>
      <c r="F2554" s="74" t="n">
        <v>321188.162987932</v>
      </c>
      <c r="G2554" s="75" t="n">
        <v>563964.128928848</v>
      </c>
      <c r="H2554" s="76" t="n">
        <v>321188.162987932</v>
      </c>
      <c r="I2554" s="77" t="str">
        <f>H2554-F2554</f>
      </c>
      <c r="J2554" s="78" t="str">
        <f>G2554-E2554</f>
      </c>
    </row>
    <row r="2555">
      <c r="A2555" t="s">
        <v>76</v>
      </c>
      <c r="B2555" t="s">
        <v>427</v>
      </c>
      <c r="C2555" s="72" t="n">
        <v>2025</v>
      </c>
      <c r="D2555" t="s">
        <v>193</v>
      </c>
      <c r="E2555" s="73" t="n">
        <v>396205.912797568</v>
      </c>
      <c r="F2555" s="74" t="n">
        <v>191954.713579597</v>
      </c>
      <c r="G2555" s="75" t="n">
        <v>396205.912797568</v>
      </c>
      <c r="H2555" s="76" t="n">
        <v>191954.713579597</v>
      </c>
      <c r="I2555" s="77" t="str">
        <f>H2555-F2555</f>
      </c>
      <c r="J2555" s="78" t="str">
        <f>G2555-E2555</f>
      </c>
    </row>
    <row r="2556">
      <c r="A2556" t="s">
        <v>76</v>
      </c>
      <c r="B2556" t="s">
        <v>427</v>
      </c>
      <c r="C2556" s="72" t="n">
        <v>2025</v>
      </c>
      <c r="D2556" t="s">
        <v>424</v>
      </c>
      <c r="E2556" s="73" t="n">
        <v>44024.8557845561</v>
      </c>
      <c r="F2556" s="74" t="n">
        <v>6961.02866951274</v>
      </c>
      <c r="G2556" s="75" t="n">
        <v>44024.8557845561</v>
      </c>
      <c r="H2556" s="76" t="n">
        <v>6961.02866951274</v>
      </c>
      <c r="I2556" s="77" t="str">
        <f>H2556-F2556</f>
      </c>
      <c r="J2556" s="78" t="str">
        <f>G2556-E2556</f>
      </c>
    </row>
    <row r="2557">
      <c r="A2557" t="s">
        <v>76</v>
      </c>
      <c r="B2557" t="s">
        <v>427</v>
      </c>
      <c r="C2557" s="72" t="n">
        <v>2026</v>
      </c>
      <c r="D2557" t="s">
        <v>176</v>
      </c>
      <c r="E2557" s="73" t="n">
        <v>12811.6971333067</v>
      </c>
      <c r="F2557" s="74" t="n">
        <v>9308.26420910955</v>
      </c>
      <c r="G2557" s="75" t="n">
        <v>12812.507871628</v>
      </c>
      <c r="H2557" s="76" t="n">
        <v>9308.26420910955</v>
      </c>
      <c r="I2557" s="77" t="str">
        <f>H2557-F2557</f>
      </c>
      <c r="J2557" s="78" t="str">
        <f>G2557-E2557</f>
      </c>
    </row>
    <row r="2558">
      <c r="A2558" t="s">
        <v>76</v>
      </c>
      <c r="B2558" t="s">
        <v>427</v>
      </c>
      <c r="C2558" s="72" t="n">
        <v>2026</v>
      </c>
      <c r="D2558" t="s">
        <v>238</v>
      </c>
      <c r="E2558" s="73" t="n">
        <v>1040293.93432531</v>
      </c>
      <c r="F2558" s="74" t="n">
        <v>137191.896136923</v>
      </c>
      <c r="G2558" s="75" t="n">
        <v>1040956.74283153</v>
      </c>
      <c r="H2558" s="76" t="n">
        <v>137191.896136923</v>
      </c>
      <c r="I2558" s="77" t="str">
        <f>H2558-F2558</f>
      </c>
      <c r="J2558" s="78" t="str">
        <f>G2558-E2558</f>
      </c>
    </row>
    <row r="2559">
      <c r="A2559" t="s">
        <v>76</v>
      </c>
      <c r="B2559" t="s">
        <v>427</v>
      </c>
      <c r="C2559" s="72" t="n">
        <v>2026</v>
      </c>
      <c r="D2559" t="s">
        <v>184</v>
      </c>
      <c r="E2559" s="73" t="n">
        <v>94127.9612091749</v>
      </c>
      <c r="F2559" s="74" t="n">
        <v>65164.4704134017</v>
      </c>
      <c r="G2559" s="75" t="n">
        <v>95077.1833035265</v>
      </c>
      <c r="H2559" s="76" t="n">
        <v>65164.4704134017</v>
      </c>
      <c r="I2559" s="77" t="str">
        <f>H2559-F2559</f>
      </c>
      <c r="J2559" s="78" t="str">
        <f>G2559-E2559</f>
      </c>
    </row>
    <row r="2560">
      <c r="A2560" t="s">
        <v>76</v>
      </c>
      <c r="B2560" t="s">
        <v>427</v>
      </c>
      <c r="C2560" s="72" t="n">
        <v>2026</v>
      </c>
      <c r="D2560" t="s">
        <v>187</v>
      </c>
      <c r="E2560" s="73" t="n">
        <v>333560.408441681</v>
      </c>
      <c r="F2560" s="74" t="n">
        <v>308606.943045308</v>
      </c>
      <c r="G2560" s="75" t="n">
        <v>336875.423495605</v>
      </c>
      <c r="H2560" s="76" t="n">
        <v>308606.943045308</v>
      </c>
      <c r="I2560" s="77" t="str">
        <f>H2560-F2560</f>
      </c>
      <c r="J2560" s="78" t="str">
        <f>G2560-E2560</f>
      </c>
    </row>
    <row r="2561">
      <c r="A2561" t="s">
        <v>76</v>
      </c>
      <c r="B2561" t="s">
        <v>427</v>
      </c>
      <c r="C2561" s="72" t="n">
        <v>2026</v>
      </c>
      <c r="D2561" t="s">
        <v>190</v>
      </c>
      <c r="E2561" s="73" t="n">
        <v>571690.584547589</v>
      </c>
      <c r="F2561" s="74" t="n">
        <v>332896.185768311</v>
      </c>
      <c r="G2561" s="75" t="n">
        <v>580111.541957649</v>
      </c>
      <c r="H2561" s="76" t="n">
        <v>332896.185768311</v>
      </c>
      <c r="I2561" s="77" t="str">
        <f>H2561-F2561</f>
      </c>
      <c r="J2561" s="78" t="str">
        <f>G2561-E2561</f>
      </c>
    </row>
    <row r="2562">
      <c r="A2562" t="s">
        <v>76</v>
      </c>
      <c r="B2562" t="s">
        <v>427</v>
      </c>
      <c r="C2562" s="72" t="n">
        <v>2026</v>
      </c>
      <c r="D2562" t="s">
        <v>193</v>
      </c>
      <c r="E2562" s="73" t="n">
        <v>405811.915633612</v>
      </c>
      <c r="F2562" s="74" t="n">
        <v>202008.199783237</v>
      </c>
      <c r="G2562" s="75" t="n">
        <v>409829.87281699</v>
      </c>
      <c r="H2562" s="76" t="n">
        <v>202008.199783237</v>
      </c>
      <c r="I2562" s="77" t="str">
        <f>H2562-F2562</f>
      </c>
      <c r="J2562" s="78" t="str">
        <f>G2562-E2562</f>
      </c>
    </row>
    <row r="2563">
      <c r="A2563" t="s">
        <v>76</v>
      </c>
      <c r="B2563" t="s">
        <v>427</v>
      </c>
      <c r="C2563" s="72" t="n">
        <v>2026</v>
      </c>
      <c r="D2563" t="s">
        <v>424</v>
      </c>
      <c r="E2563" s="73" t="n">
        <v>44219.1707517653</v>
      </c>
      <c r="F2563" s="74" t="n">
        <v>7023.77126872287</v>
      </c>
      <c r="G2563" s="75" t="n">
        <v>44219.1707517653</v>
      </c>
      <c r="H2563" s="76" t="n">
        <v>7023.77126872287</v>
      </c>
      <c r="I2563" s="77" t="str">
        <f>H2563-F2563</f>
      </c>
      <c r="J2563" s="78" t="str">
        <f>G2563-E2563</f>
      </c>
    </row>
    <row r="2564">
      <c r="A2564" t="s">
        <v>76</v>
      </c>
      <c r="B2564" t="s">
        <v>427</v>
      </c>
      <c r="C2564" s="72" t="n">
        <v>2027</v>
      </c>
      <c r="D2564" t="s">
        <v>176</v>
      </c>
      <c r="E2564" s="73" t="n">
        <v>13271.79829752</v>
      </c>
      <c r="F2564" s="74" t="n">
        <v>9640.58190335153</v>
      </c>
      <c r="G2564" s="75" t="n">
        <v>13273.481772584</v>
      </c>
      <c r="H2564" s="76" t="n">
        <v>9640.71530777017</v>
      </c>
      <c r="I2564" s="77" t="str">
        <f>H2564-F2564</f>
      </c>
      <c r="J2564" s="78" t="str">
        <f>G2564-E2564</f>
      </c>
    </row>
    <row r="2565">
      <c r="A2565" t="s">
        <v>76</v>
      </c>
      <c r="B2565" t="s">
        <v>427</v>
      </c>
      <c r="C2565" s="72" t="n">
        <v>2027</v>
      </c>
      <c r="D2565" t="s">
        <v>238</v>
      </c>
      <c r="E2565" s="73" t="n">
        <v>1050739.61601536</v>
      </c>
      <c r="F2565" s="74" t="n">
        <v>145082.704176156</v>
      </c>
      <c r="G2565" s="75" t="n">
        <v>1055255.40879996</v>
      </c>
      <c r="H2565" s="76" t="n">
        <v>145087.130776418</v>
      </c>
      <c r="I2565" s="77" t="str">
        <f>H2565-F2565</f>
      </c>
      <c r="J2565" s="78" t="str">
        <f>G2565-E2565</f>
      </c>
    </row>
    <row r="2566">
      <c r="A2566" t="s">
        <v>76</v>
      </c>
      <c r="B2566" t="s">
        <v>427</v>
      </c>
      <c r="C2566" s="72" t="n">
        <v>2027</v>
      </c>
      <c r="D2566" t="s">
        <v>184</v>
      </c>
      <c r="E2566" s="73" t="n">
        <v>96494.564966815</v>
      </c>
      <c r="F2566" s="74" t="n">
        <v>66907.2314776139</v>
      </c>
      <c r="G2566" s="75" t="n">
        <v>98448.8278839669</v>
      </c>
      <c r="H2566" s="76" t="n">
        <v>67068.0169086102</v>
      </c>
      <c r="I2566" s="77" t="str">
        <f>H2566-F2566</f>
      </c>
      <c r="J2566" s="78" t="str">
        <f>G2566-E2566</f>
      </c>
    </row>
    <row r="2567">
      <c r="A2567" t="s">
        <v>76</v>
      </c>
      <c r="B2567" t="s">
        <v>427</v>
      </c>
      <c r="C2567" s="72" t="n">
        <v>2027</v>
      </c>
      <c r="D2567" t="s">
        <v>187</v>
      </c>
      <c r="E2567" s="73" t="n">
        <v>338609.737988207</v>
      </c>
      <c r="F2567" s="74" t="n">
        <v>315682.244010494</v>
      </c>
      <c r="G2567" s="75" t="n">
        <v>345936.706716403</v>
      </c>
      <c r="H2567" s="76" t="n">
        <v>317119.553552555</v>
      </c>
      <c r="I2567" s="77" t="str">
        <f>H2567-F2567</f>
      </c>
      <c r="J2567" s="78" t="str">
        <f>G2567-E2567</f>
      </c>
    </row>
    <row r="2568">
      <c r="A2568" t="s">
        <v>76</v>
      </c>
      <c r="B2568" t="s">
        <v>427</v>
      </c>
      <c r="C2568" s="72" t="n">
        <v>2027</v>
      </c>
      <c r="D2568" t="s">
        <v>190</v>
      </c>
      <c r="E2568" s="73" t="n">
        <v>576298.20544931</v>
      </c>
      <c r="F2568" s="74" t="n">
        <v>343974.04519472</v>
      </c>
      <c r="G2568" s="75" t="n">
        <v>596148.832334676</v>
      </c>
      <c r="H2568" s="76" t="n">
        <v>344517.274659827</v>
      </c>
      <c r="I2568" s="77" t="str">
        <f>H2568-F2568</f>
      </c>
      <c r="J2568" s="78" t="str">
        <f>G2568-E2568</f>
      </c>
    </row>
    <row r="2569">
      <c r="A2569" t="s">
        <v>76</v>
      </c>
      <c r="B2569" t="s">
        <v>427</v>
      </c>
      <c r="C2569" s="72" t="n">
        <v>2027</v>
      </c>
      <c r="D2569" t="s">
        <v>193</v>
      </c>
      <c r="E2569" s="73" t="n">
        <v>413944.190889336</v>
      </c>
      <c r="F2569" s="74" t="n">
        <v>211690.58751914</v>
      </c>
      <c r="G2569" s="75" t="n">
        <v>423485.101321999</v>
      </c>
      <c r="H2569" s="76" t="n">
        <v>211995.488024171</v>
      </c>
      <c r="I2569" s="77" t="str">
        <f>H2569-F2569</f>
      </c>
      <c r="J2569" s="78" t="str">
        <f>G2569-E2569</f>
      </c>
    </row>
    <row r="2570">
      <c r="A2570" t="s">
        <v>76</v>
      </c>
      <c r="B2570" t="s">
        <v>427</v>
      </c>
      <c r="C2570" s="72" t="n">
        <v>2027</v>
      </c>
      <c r="D2570" t="s">
        <v>424</v>
      </c>
      <c r="E2570" s="73" t="n">
        <v>44384.2018393689</v>
      </c>
      <c r="F2570" s="74" t="n">
        <v>7080.05700568168</v>
      </c>
      <c r="G2570" s="75" t="n">
        <v>44384.2018393689</v>
      </c>
      <c r="H2570" s="76" t="n">
        <v>7080.05700568168</v>
      </c>
      <c r="I2570" s="77" t="str">
        <f>H2570-F2570</f>
      </c>
      <c r="J2570" s="78" t="str">
        <f>G2570-E2570</f>
      </c>
    </row>
    <row r="2571">
      <c r="A2571" t="s">
        <v>76</v>
      </c>
      <c r="B2571" t="s">
        <v>427</v>
      </c>
      <c r="C2571" s="72" t="n">
        <v>2028</v>
      </c>
      <c r="D2571" t="s">
        <v>176</v>
      </c>
      <c r="E2571" s="73" t="n">
        <v>13727.7028698318</v>
      </c>
      <c r="F2571" s="74" t="n">
        <v>9971.07563051458</v>
      </c>
      <c r="G2571" s="75" t="n">
        <v>13729.5005000864</v>
      </c>
      <c r="H2571" s="76" t="n">
        <v>9971.45472163389</v>
      </c>
      <c r="I2571" s="77" t="str">
        <f>H2571-F2571</f>
      </c>
      <c r="J2571" s="78" t="str">
        <f>G2571-E2571</f>
      </c>
    </row>
    <row r="2572">
      <c r="A2572" t="s">
        <v>76</v>
      </c>
      <c r="B2572" t="s">
        <v>427</v>
      </c>
      <c r="C2572" s="72" t="n">
        <v>2028</v>
      </c>
      <c r="D2572" t="s">
        <v>238</v>
      </c>
      <c r="E2572" s="73" t="n">
        <v>1060789.2015413</v>
      </c>
      <c r="F2572" s="74" t="n">
        <v>153042.744970388</v>
      </c>
      <c r="G2572" s="75" t="n">
        <v>1069005.07088018</v>
      </c>
      <c r="H2572" s="76" t="n">
        <v>153077.867387244</v>
      </c>
      <c r="I2572" s="77" t="str">
        <f>H2572-F2572</f>
      </c>
      <c r="J2572" s="78" t="str">
        <f>G2572-E2572</f>
      </c>
    </row>
    <row r="2573">
      <c r="A2573" t="s">
        <v>76</v>
      </c>
      <c r="B2573" t="s">
        <v>427</v>
      </c>
      <c r="C2573" s="72" t="n">
        <v>2028</v>
      </c>
      <c r="D2573" t="s">
        <v>184</v>
      </c>
      <c r="E2573" s="73" t="n">
        <v>98789.0596223701</v>
      </c>
      <c r="F2573" s="74" t="n">
        <v>68568.4327801555</v>
      </c>
      <c r="G2573" s="75" t="n">
        <v>101797.96761407</v>
      </c>
      <c r="H2573" s="76" t="n">
        <v>69019.933123165</v>
      </c>
      <c r="I2573" s="77" t="str">
        <f>H2573-F2573</f>
      </c>
      <c r="J2573" s="78" t="str">
        <f>G2573-E2573</f>
      </c>
    </row>
    <row r="2574">
      <c r="A2574" t="s">
        <v>76</v>
      </c>
      <c r="B2574" t="s">
        <v>427</v>
      </c>
      <c r="C2574" s="72" t="n">
        <v>2028</v>
      </c>
      <c r="D2574" t="s">
        <v>187</v>
      </c>
      <c r="E2574" s="73" t="n">
        <v>343521.863889228</v>
      </c>
      <c r="F2574" s="74" t="n">
        <v>321900.801172921</v>
      </c>
      <c r="G2574" s="75" t="n">
        <v>354965.535819133</v>
      </c>
      <c r="H2574" s="76" t="n">
        <v>325690.683016893</v>
      </c>
      <c r="I2574" s="77" t="str">
        <f>H2574-F2574</f>
      </c>
      <c r="J2574" s="78" t="str">
        <f>G2574-E2574</f>
      </c>
    </row>
    <row r="2575">
      <c r="A2575" t="s">
        <v>76</v>
      </c>
      <c r="B2575" t="s">
        <v>427</v>
      </c>
      <c r="C2575" s="72" t="n">
        <v>2028</v>
      </c>
      <c r="D2575" t="s">
        <v>190</v>
      </c>
      <c r="E2575" s="73" t="n">
        <v>580632.418000948</v>
      </c>
      <c r="F2575" s="74" t="n">
        <v>354285.363217867</v>
      </c>
      <c r="G2575" s="75" t="n">
        <v>612031.659444751</v>
      </c>
      <c r="H2575" s="76" t="n">
        <v>356073.571438059</v>
      </c>
      <c r="I2575" s="77" t="str">
        <f>H2575-F2575</f>
      </c>
      <c r="J2575" s="78" t="str">
        <f>G2575-E2575</f>
      </c>
    </row>
    <row r="2576">
      <c r="A2576" t="s">
        <v>76</v>
      </c>
      <c r="B2576" t="s">
        <v>427</v>
      </c>
      <c r="C2576" s="72" t="n">
        <v>2028</v>
      </c>
      <c r="D2576" t="s">
        <v>193</v>
      </c>
      <c r="E2576" s="73" t="n">
        <v>421956.149912792</v>
      </c>
      <c r="F2576" s="74" t="n">
        <v>220926.748779018</v>
      </c>
      <c r="G2576" s="75" t="n">
        <v>437159.755191958</v>
      </c>
      <c r="H2576" s="76" t="n">
        <v>221908.958563303</v>
      </c>
      <c r="I2576" s="77" t="str">
        <f>H2576-F2576</f>
      </c>
      <c r="J2576" s="78" t="str">
        <f>G2576-E2576</f>
      </c>
    </row>
    <row r="2577">
      <c r="A2577" t="s">
        <v>76</v>
      </c>
      <c r="B2577" t="s">
        <v>427</v>
      </c>
      <c r="C2577" s="72" t="n">
        <v>2028</v>
      </c>
      <c r="D2577" t="s">
        <v>424</v>
      </c>
      <c r="E2577" s="73" t="n">
        <v>44510.1747256828</v>
      </c>
      <c r="F2577" s="74" t="n">
        <v>7131.07016356498</v>
      </c>
      <c r="G2577" s="75" t="n">
        <v>44510.0649629929</v>
      </c>
      <c r="H2577" s="76" t="n">
        <v>7131.07016356498</v>
      </c>
      <c r="I2577" s="77" t="str">
        <f>H2577-F2577</f>
      </c>
      <c r="J2577" s="78" t="str">
        <f>G2577-E2577</f>
      </c>
    </row>
    <row r="2578">
      <c r="A2578" t="s">
        <v>76</v>
      </c>
      <c r="B2578" t="s">
        <v>427</v>
      </c>
      <c r="C2578" s="72" t="n">
        <v>2029</v>
      </c>
      <c r="D2578" t="s">
        <v>176</v>
      </c>
      <c r="E2578" s="73" t="n">
        <v>14181.005156424</v>
      </c>
      <c r="F2578" s="74" t="n">
        <v>10300.6644762763</v>
      </c>
      <c r="G2578" s="75" t="n">
        <v>14181.4236375467</v>
      </c>
      <c r="H2578" s="76" t="n">
        <v>10301.2295792609</v>
      </c>
      <c r="I2578" s="77" t="str">
        <f>H2578-F2578</f>
      </c>
      <c r="J2578" s="78" t="str">
        <f>G2578-E2578</f>
      </c>
    </row>
    <row r="2579">
      <c r="A2579" t="s">
        <v>76</v>
      </c>
      <c r="B2579" t="s">
        <v>427</v>
      </c>
      <c r="C2579" s="72" t="n">
        <v>2029</v>
      </c>
      <c r="D2579" t="s">
        <v>238</v>
      </c>
      <c r="E2579" s="73" t="n">
        <v>1070503.72135494</v>
      </c>
      <c r="F2579" s="74" t="n">
        <v>161069.260454016</v>
      </c>
      <c r="G2579" s="75" t="n">
        <v>1082252.39423074</v>
      </c>
      <c r="H2579" s="76" t="n">
        <v>161161.062132093</v>
      </c>
      <c r="I2579" s="77" t="str">
        <f>H2579-F2579</f>
      </c>
      <c r="J2579" s="78" t="str">
        <f>G2579-E2579</f>
      </c>
    </row>
    <row r="2580">
      <c r="A2580" t="s">
        <v>76</v>
      </c>
      <c r="B2580" t="s">
        <v>427</v>
      </c>
      <c r="C2580" s="72" t="n">
        <v>2029</v>
      </c>
      <c r="D2580" t="s">
        <v>184</v>
      </c>
      <c r="E2580" s="73" t="n">
        <v>101007.516151958</v>
      </c>
      <c r="F2580" s="74" t="n">
        <v>70192.7426071529</v>
      </c>
      <c r="G2580" s="75" t="n">
        <v>105114.693344183</v>
      </c>
      <c r="H2580" s="76" t="n">
        <v>71042.0544294395</v>
      </c>
      <c r="I2580" s="77" t="str">
        <f>H2580-F2580</f>
      </c>
      <c r="J2580" s="78" t="str">
        <f>G2580-E2580</f>
      </c>
    </row>
    <row r="2581">
      <c r="A2581" t="s">
        <v>76</v>
      </c>
      <c r="B2581" t="s">
        <v>427</v>
      </c>
      <c r="C2581" s="72" t="n">
        <v>2029</v>
      </c>
      <c r="D2581" t="s">
        <v>187</v>
      </c>
      <c r="E2581" s="73" t="n">
        <v>348243.351812544</v>
      </c>
      <c r="F2581" s="74" t="n">
        <v>327623.98945372</v>
      </c>
      <c r="G2581" s="75" t="n">
        <v>363896.204247168</v>
      </c>
      <c r="H2581" s="76" t="n">
        <v>334292.677138926</v>
      </c>
      <c r="I2581" s="77" t="str">
        <f>H2581-F2581</f>
      </c>
      <c r="J2581" s="78" t="str">
        <f>G2581-E2581</f>
      </c>
    </row>
    <row r="2582">
      <c r="A2582" t="s">
        <v>76</v>
      </c>
      <c r="B2582" t="s">
        <v>427</v>
      </c>
      <c r="C2582" s="72" t="n">
        <v>2029</v>
      </c>
      <c r="D2582" t="s">
        <v>190</v>
      </c>
      <c r="E2582" s="73" t="n">
        <v>584686.714990349</v>
      </c>
      <c r="F2582" s="74" t="n">
        <v>363884.517636122</v>
      </c>
      <c r="G2582" s="75" t="n">
        <v>627726.336898794</v>
      </c>
      <c r="H2582" s="76" t="n">
        <v>367575.22274735</v>
      </c>
      <c r="I2582" s="77" t="str">
        <f>H2582-F2582</f>
      </c>
      <c r="J2582" s="78" t="str">
        <f>G2582-E2582</f>
      </c>
    </row>
    <row r="2583">
      <c r="A2583" t="s">
        <v>76</v>
      </c>
      <c r="B2583" t="s">
        <v>427</v>
      </c>
      <c r="C2583" s="72" t="n">
        <v>2029</v>
      </c>
      <c r="D2583" t="s">
        <v>193</v>
      </c>
      <c r="E2583" s="73" t="n">
        <v>429800.601642617</v>
      </c>
      <c r="F2583" s="74" t="n">
        <v>229720.578908103</v>
      </c>
      <c r="G2583" s="75" t="n">
        <v>450786.134013569</v>
      </c>
      <c r="H2583" s="76" t="n">
        <v>231708.01887569</v>
      </c>
      <c r="I2583" s="77" t="str">
        <f>H2583-F2583</f>
      </c>
      <c r="J2583" s="78" t="str">
        <f>G2583-E2583</f>
      </c>
    </row>
    <row r="2584">
      <c r="A2584" t="s">
        <v>76</v>
      </c>
      <c r="B2584" t="s">
        <v>427</v>
      </c>
      <c r="C2584" s="72" t="n">
        <v>2029</v>
      </c>
      <c r="D2584" t="s">
        <v>424</v>
      </c>
      <c r="E2584" s="73" t="n">
        <v>44600.6866270307</v>
      </c>
      <c r="F2584" s="74" t="n">
        <v>7178.22083878323</v>
      </c>
      <c r="G2584" s="75" t="n">
        <v>44600.2614435955</v>
      </c>
      <c r="H2584" s="76" t="n">
        <v>7178.21931597252</v>
      </c>
      <c r="I2584" s="77" t="str">
        <f>H2584-F2584</f>
      </c>
      <c r="J2584" s="78" t="str">
        <f>G2584-E2584</f>
      </c>
    </row>
    <row r="2585">
      <c r="A2585" t="s">
        <v>76</v>
      </c>
      <c r="B2585" t="s">
        <v>427</v>
      </c>
      <c r="C2585" s="72" t="n">
        <v>2030</v>
      </c>
      <c r="D2585" t="s">
        <v>176</v>
      </c>
      <c r="E2585" s="73" t="n">
        <v>14633.9628893908</v>
      </c>
      <c r="F2585" s="74" t="n">
        <v>10629.8433849031</v>
      </c>
      <c r="G2585" s="75" t="n">
        <v>14630.9263575645</v>
      </c>
      <c r="H2585" s="76" t="n">
        <v>10630.2702680602</v>
      </c>
      <c r="I2585" s="77" t="str">
        <f>H2585-F2585</f>
      </c>
      <c r="J2585" s="78" t="str">
        <f>G2585-E2585</f>
      </c>
    </row>
    <row r="2586">
      <c r="A2586" t="s">
        <v>76</v>
      </c>
      <c r="B2586" t="s">
        <v>427</v>
      </c>
      <c r="C2586" s="72" t="n">
        <v>2030</v>
      </c>
      <c r="D2586" t="s">
        <v>238</v>
      </c>
      <c r="E2586" s="73" t="n">
        <v>1079852.39781937</v>
      </c>
      <c r="F2586" s="74" t="n">
        <v>169141.151166078</v>
      </c>
      <c r="G2586" s="75" t="n">
        <v>1094956.84444967</v>
      </c>
      <c r="H2586" s="76" t="n">
        <v>169314.834038038</v>
      </c>
      <c r="I2586" s="77" t="str">
        <f>H2586-F2586</f>
      </c>
      <c r="J2586" s="78" t="str">
        <f>G2586-E2586</f>
      </c>
    </row>
    <row r="2587">
      <c r="A2587" t="s">
        <v>76</v>
      </c>
      <c r="B2587" t="s">
        <v>427</v>
      </c>
      <c r="C2587" s="72" t="n">
        <v>2030</v>
      </c>
      <c r="D2587" t="s">
        <v>184</v>
      </c>
      <c r="E2587" s="73" t="n">
        <v>103149.759046617</v>
      </c>
      <c r="F2587" s="74" t="n">
        <v>71784.0191399566</v>
      </c>
      <c r="G2587" s="75" t="n">
        <v>108393.77376612</v>
      </c>
      <c r="H2587" s="76" t="n">
        <v>73120.8011068864</v>
      </c>
      <c r="I2587" s="77" t="str">
        <f>H2587-F2587</f>
      </c>
      <c r="J2587" s="78" t="str">
        <f>G2587-E2587</f>
      </c>
    </row>
    <row r="2588">
      <c r="A2588" t="s">
        <v>76</v>
      </c>
      <c r="B2588" t="s">
        <v>427</v>
      </c>
      <c r="C2588" s="72" t="n">
        <v>2030</v>
      </c>
      <c r="D2588" t="s">
        <v>187</v>
      </c>
      <c r="E2588" s="73" t="n">
        <v>352797.088617337</v>
      </c>
      <c r="F2588" s="74" t="n">
        <v>332984.333996412</v>
      </c>
      <c r="G2588" s="75" t="n">
        <v>372741.795461264</v>
      </c>
      <c r="H2588" s="76" t="n">
        <v>342889.635366394</v>
      </c>
      <c r="I2588" s="77" t="str">
        <f>H2588-F2588</f>
      </c>
      <c r="J2588" s="78" t="str">
        <f>G2588-E2588</f>
      </c>
    </row>
    <row r="2589">
      <c r="A2589" t="s">
        <v>76</v>
      </c>
      <c r="B2589" t="s">
        <v>427</v>
      </c>
      <c r="C2589" s="72" t="n">
        <v>2030</v>
      </c>
      <c r="D2589" t="s">
        <v>190</v>
      </c>
      <c r="E2589" s="73" t="n">
        <v>588409.236193886</v>
      </c>
      <c r="F2589" s="74" t="n">
        <v>372734.889750278</v>
      </c>
      <c r="G2589" s="75" t="n">
        <v>643154.211305628</v>
      </c>
      <c r="H2589" s="76" t="n">
        <v>378940.231267445</v>
      </c>
      <c r="I2589" s="77" t="str">
        <f>H2589-F2589</f>
      </c>
      <c r="J2589" s="78" t="str">
        <f>G2589-E2589</f>
      </c>
    </row>
    <row r="2590">
      <c r="A2590" t="s">
        <v>76</v>
      </c>
      <c r="B2590" t="s">
        <v>427</v>
      </c>
      <c r="C2590" s="72" t="n">
        <v>2030</v>
      </c>
      <c r="D2590" t="s">
        <v>193</v>
      </c>
      <c r="E2590" s="73" t="n">
        <v>437489.472650544</v>
      </c>
      <c r="F2590" s="74" t="n">
        <v>238023.129865349</v>
      </c>
      <c r="G2590" s="75" t="n">
        <v>464360.518103772</v>
      </c>
      <c r="H2590" s="76" t="n">
        <v>241310.309903655</v>
      </c>
      <c r="I2590" s="77" t="str">
        <f>H2590-F2590</f>
      </c>
      <c r="J2590" s="78" t="str">
        <f>G2590-E2590</f>
      </c>
    </row>
    <row r="2591">
      <c r="A2591" t="s">
        <v>76</v>
      </c>
      <c r="B2591" t="s">
        <v>427</v>
      </c>
      <c r="C2591" s="72" t="n">
        <v>2030</v>
      </c>
      <c r="D2591" t="s">
        <v>424</v>
      </c>
      <c r="E2591" s="73" t="n">
        <v>44648.2866491203</v>
      </c>
      <c r="F2591" s="74" t="n">
        <v>7223.11755393176</v>
      </c>
      <c r="G2591" s="75" t="n">
        <v>44647.268915283</v>
      </c>
      <c r="H2591" s="76" t="n">
        <v>7223.11031474236</v>
      </c>
      <c r="I2591" s="77" t="str">
        <f>H2591-F2591</f>
      </c>
      <c r="J2591" s="78" t="str">
        <f>G2591-E2591</f>
      </c>
    </row>
    <row r="2592">
      <c r="A2592" t="s">
        <v>76</v>
      </c>
      <c r="B2592" t="s">
        <v>427</v>
      </c>
      <c r="C2592" s="72" t="n">
        <v>2031</v>
      </c>
      <c r="D2592" t="s">
        <v>176</v>
      </c>
      <c r="E2592" s="73" t="n">
        <v>15090.4194975494</v>
      </c>
      <c r="F2592" s="74" t="n">
        <v>10955.760855425</v>
      </c>
      <c r="G2592" s="75" t="n">
        <v>15080.3825495532</v>
      </c>
      <c r="H2592" s="76" t="n">
        <v>10955.4255331558</v>
      </c>
      <c r="I2592" s="77" t="str">
        <f>H2592-F2592</f>
      </c>
      <c r="J2592" s="78" t="str">
        <f>G2592-E2592</f>
      </c>
    </row>
    <row r="2593">
      <c r="A2593" t="s">
        <v>76</v>
      </c>
      <c r="B2593" t="s">
        <v>427</v>
      </c>
      <c r="C2593" s="72" t="n">
        <v>2031</v>
      </c>
      <c r="D2593" t="s">
        <v>238</v>
      </c>
      <c r="E2593" s="73" t="n">
        <v>1089443.854027</v>
      </c>
      <c r="F2593" s="74" t="n">
        <v>177231.310163277</v>
      </c>
      <c r="G2593" s="75" t="n">
        <v>1107027.69162894</v>
      </c>
      <c r="H2593" s="76" t="n">
        <v>177510.906196669</v>
      </c>
      <c r="I2593" s="77" t="str">
        <f>H2593-F2593</f>
      </c>
      <c r="J2593" s="78" t="str">
        <f>G2593-E2593</f>
      </c>
    </row>
    <row r="2594">
      <c r="A2594" t="s">
        <v>76</v>
      </c>
      <c r="B2594" t="s">
        <v>427</v>
      </c>
      <c r="C2594" s="72" t="n">
        <v>2031</v>
      </c>
      <c r="D2594" t="s">
        <v>184</v>
      </c>
      <c r="E2594" s="73" t="n">
        <v>106279.051635012</v>
      </c>
      <c r="F2594" s="74" t="n">
        <v>73329.9394232737</v>
      </c>
      <c r="G2594" s="75" t="n">
        <v>111632.947554352</v>
      </c>
      <c r="H2594" s="76" t="n">
        <v>75230.219664338</v>
      </c>
      <c r="I2594" s="77" t="str">
        <f>H2594-F2594</f>
      </c>
      <c r="J2594" s="78" t="str">
        <f>G2594-E2594</f>
      </c>
    </row>
    <row r="2595">
      <c r="A2595" t="s">
        <v>76</v>
      </c>
      <c r="B2595" t="s">
        <v>427</v>
      </c>
      <c r="C2595" s="72" t="n">
        <v>2031</v>
      </c>
      <c r="D2595" t="s">
        <v>187</v>
      </c>
      <c r="E2595" s="73" t="n">
        <v>360712.031080034</v>
      </c>
      <c r="F2595" s="74" t="n">
        <v>338028.17629506</v>
      </c>
      <c r="G2595" s="75" t="n">
        <v>381470.266781021</v>
      </c>
      <c r="H2595" s="76" t="n">
        <v>351432.518672951</v>
      </c>
      <c r="I2595" s="77" t="str">
        <f>H2595-F2595</f>
      </c>
      <c r="J2595" s="78" t="str">
        <f>G2595-E2595</f>
      </c>
    </row>
    <row r="2596">
      <c r="A2596" t="s">
        <v>76</v>
      </c>
      <c r="B2596" t="s">
        <v>427</v>
      </c>
      <c r="C2596" s="72" t="n">
        <v>2031</v>
      </c>
      <c r="D2596" t="s">
        <v>190</v>
      </c>
      <c r="E2596" s="73" t="n">
        <v>600506.49370621</v>
      </c>
      <c r="F2596" s="74" t="n">
        <v>380894.029406826</v>
      </c>
      <c r="G2596" s="75" t="n">
        <v>658282.149268814</v>
      </c>
      <c r="H2596" s="76" t="n">
        <v>390181.003020302</v>
      </c>
      <c r="I2596" s="77" t="str">
        <f>H2596-F2596</f>
      </c>
      <c r="J2596" s="78" t="str">
        <f>G2596-E2596</f>
      </c>
    </row>
    <row r="2597">
      <c r="A2597" t="s">
        <v>76</v>
      </c>
      <c r="B2597" t="s">
        <v>427</v>
      </c>
      <c r="C2597" s="72" t="n">
        <v>2031</v>
      </c>
      <c r="D2597" t="s">
        <v>193</v>
      </c>
      <c r="E2597" s="73" t="n">
        <v>449343.979172138</v>
      </c>
      <c r="F2597" s="74" t="n">
        <v>245961.415380049</v>
      </c>
      <c r="G2597" s="75" t="n">
        <v>477778.146047482</v>
      </c>
      <c r="H2597" s="76" t="n">
        <v>250815.782662592</v>
      </c>
      <c r="I2597" s="77" t="str">
        <f>H2597-F2597</f>
      </c>
      <c r="J2597" s="78" t="str">
        <f>G2597-E2597</f>
      </c>
    </row>
    <row r="2598">
      <c r="A2598" t="s">
        <v>76</v>
      </c>
      <c r="B2598" t="s">
        <v>427</v>
      </c>
      <c r="C2598" s="72" t="n">
        <v>2031</v>
      </c>
      <c r="D2598" t="s">
        <v>424</v>
      </c>
      <c r="E2598" s="73" t="n">
        <v>44642.291923644</v>
      </c>
      <c r="F2598" s="74" t="n">
        <v>7266.78641382016</v>
      </c>
      <c r="G2598" s="75" t="n">
        <v>44640.3472954778</v>
      </c>
      <c r="H2598" s="76" t="n">
        <v>7266.76600020754</v>
      </c>
      <c r="I2598" s="77" t="str">
        <f>H2598-F2598</f>
      </c>
      <c r="J2598" s="78" t="str">
        <f>G2598-E2598</f>
      </c>
    </row>
    <row r="2599">
      <c r="A2599" t="s">
        <v>76</v>
      </c>
      <c r="B2599" t="s">
        <v>427</v>
      </c>
      <c r="C2599" s="72" t="n">
        <v>2032</v>
      </c>
      <c r="D2599" t="s">
        <v>176</v>
      </c>
      <c r="E2599" s="73" t="n">
        <v>15551.3969808625</v>
      </c>
      <c r="F2599" s="74" t="n">
        <v>11276.6811968419</v>
      </c>
      <c r="G2599" s="75" t="n">
        <v>15531.2601955666</v>
      </c>
      <c r="H2599" s="76" t="n">
        <v>11274.4954497352</v>
      </c>
      <c r="I2599" s="77" t="str">
        <f>H2599-F2599</f>
      </c>
      <c r="J2599" s="78" t="str">
        <f>G2599-E2599</f>
      </c>
    </row>
    <row r="2600">
      <c r="A2600" t="s">
        <v>76</v>
      </c>
      <c r="B2600" t="s">
        <v>427</v>
      </c>
      <c r="C2600" s="72" t="n">
        <v>2032</v>
      </c>
      <c r="D2600" t="s">
        <v>238</v>
      </c>
      <c r="E2600" s="73" t="n">
        <v>1098604.4836343</v>
      </c>
      <c r="F2600" s="74" t="n">
        <v>185322.904265606</v>
      </c>
      <c r="G2600" s="75" t="n">
        <v>1118477.32749824</v>
      </c>
      <c r="H2600" s="76" t="n">
        <v>185725.999058801</v>
      </c>
      <c r="I2600" s="77" t="str">
        <f>H2600-F2600</f>
      </c>
      <c r="J2600" s="78" t="str">
        <f>G2600-E2600</f>
      </c>
    </row>
    <row r="2601">
      <c r="A2601" t="s">
        <v>76</v>
      </c>
      <c r="B2601" t="s">
        <v>427</v>
      </c>
      <c r="C2601" s="72" t="n">
        <v>2032</v>
      </c>
      <c r="D2601" t="s">
        <v>184</v>
      </c>
      <c r="E2601" s="73" t="n">
        <v>109390.217895412</v>
      </c>
      <c r="F2601" s="74" t="n">
        <v>75001.8505533807</v>
      </c>
      <c r="G2601" s="75" t="n">
        <v>114835.221802653</v>
      </c>
      <c r="H2601" s="76" t="n">
        <v>77353.0610239329</v>
      </c>
      <c r="I2601" s="77" t="str">
        <f>H2601-F2601</f>
      </c>
      <c r="J2601" s="78" t="str">
        <f>G2601-E2601</f>
      </c>
    </row>
    <row r="2602">
      <c r="A2602" t="s">
        <v>76</v>
      </c>
      <c r="B2602" t="s">
        <v>427</v>
      </c>
      <c r="C2602" s="72" t="n">
        <v>2032</v>
      </c>
      <c r="D2602" t="s">
        <v>187</v>
      </c>
      <c r="E2602" s="73" t="n">
        <v>368474.298555894</v>
      </c>
      <c r="F2602" s="74" t="n">
        <v>344327.821670927</v>
      </c>
      <c r="G2602" s="75" t="n">
        <v>389998.376688754</v>
      </c>
      <c r="H2602" s="76" t="n">
        <v>359834.546852866</v>
      </c>
      <c r="I2602" s="77" t="str">
        <f>H2602-F2602</f>
      </c>
      <c r="J2602" s="78" t="str">
        <f>G2602-E2602</f>
      </c>
    </row>
    <row r="2603">
      <c r="A2603" t="s">
        <v>76</v>
      </c>
      <c r="B2603" t="s">
        <v>427</v>
      </c>
      <c r="C2603" s="72" t="n">
        <v>2032</v>
      </c>
      <c r="D2603" t="s">
        <v>190</v>
      </c>
      <c r="E2603" s="73" t="n">
        <v>612456.756672864</v>
      </c>
      <c r="F2603" s="74" t="n">
        <v>389019.285177037</v>
      </c>
      <c r="G2603" s="75" t="n">
        <v>673133.888273266</v>
      </c>
      <c r="H2603" s="76" t="n">
        <v>401318.286193472</v>
      </c>
      <c r="I2603" s="77" t="str">
        <f>H2603-F2603</f>
      </c>
      <c r="J2603" s="78" t="str">
        <f>G2603-E2603</f>
      </c>
    </row>
    <row r="2604">
      <c r="A2604" t="s">
        <v>76</v>
      </c>
      <c r="B2604" t="s">
        <v>427</v>
      </c>
      <c r="C2604" s="72" t="n">
        <v>2032</v>
      </c>
      <c r="D2604" t="s">
        <v>193</v>
      </c>
      <c r="E2604" s="73" t="n">
        <v>460998.676593209</v>
      </c>
      <c r="F2604" s="74" t="n">
        <v>254055.539891846</v>
      </c>
      <c r="G2604" s="75" t="n">
        <v>490904.70344578</v>
      </c>
      <c r="H2604" s="76" t="n">
        <v>260346.937343717</v>
      </c>
      <c r="I2604" s="77" t="str">
        <f>H2604-F2604</f>
      </c>
      <c r="J2604" s="78" t="str">
        <f>G2604-E2604</f>
      </c>
    </row>
    <row r="2605">
      <c r="A2605" t="s">
        <v>76</v>
      </c>
      <c r="B2605" t="s">
        <v>427</v>
      </c>
      <c r="C2605" s="72" t="n">
        <v>2032</v>
      </c>
      <c r="D2605" t="s">
        <v>424</v>
      </c>
      <c r="E2605" s="73" t="n">
        <v>44586.497504755</v>
      </c>
      <c r="F2605" s="74" t="n">
        <v>7308.73411974154</v>
      </c>
      <c r="G2605" s="75" t="n">
        <v>44583.2455015959</v>
      </c>
      <c r="H2605" s="76" t="n">
        <v>7308.68956833998</v>
      </c>
      <c r="I2605" s="77" t="str">
        <f>H2605-F2605</f>
      </c>
      <c r="J2605" s="78" t="str">
        <f>G2605-E2605</f>
      </c>
    </row>
    <row r="2606">
      <c r="A2606" t="s">
        <v>76</v>
      </c>
      <c r="B2606" t="s">
        <v>427</v>
      </c>
      <c r="C2606" s="72" t="n">
        <v>2033</v>
      </c>
      <c r="D2606" t="s">
        <v>176</v>
      </c>
      <c r="E2606" s="73" t="n">
        <v>16016.4141951529</v>
      </c>
      <c r="F2606" s="74" t="n">
        <v>11592.3251336688</v>
      </c>
      <c r="G2606" s="75" t="n">
        <v>15983.7175379286</v>
      </c>
      <c r="H2606" s="76" t="n">
        <v>11586.9335708044</v>
      </c>
      <c r="I2606" s="77" t="str">
        <f>H2606-F2606</f>
      </c>
      <c r="J2606" s="78" t="str">
        <f>G2606-E2606</f>
      </c>
    </row>
    <row r="2607">
      <c r="A2607" t="s">
        <v>76</v>
      </c>
      <c r="B2607" t="s">
        <v>427</v>
      </c>
      <c r="C2607" s="72" t="n">
        <v>2033</v>
      </c>
      <c r="D2607" t="s">
        <v>238</v>
      </c>
      <c r="E2607" s="73" t="n">
        <v>1107242.30754639</v>
      </c>
      <c r="F2607" s="74" t="n">
        <v>193410.827064782</v>
      </c>
      <c r="G2607" s="75" t="n">
        <v>1129233.47845058</v>
      </c>
      <c r="H2607" s="76" t="n">
        <v>193953.224223645</v>
      </c>
      <c r="I2607" s="77" t="str">
        <f>H2607-F2607</f>
      </c>
      <c r="J2607" s="78" t="str">
        <f>G2607-E2607</f>
      </c>
    </row>
    <row r="2608">
      <c r="A2608" t="s">
        <v>76</v>
      </c>
      <c r="B2608" t="s">
        <v>427</v>
      </c>
      <c r="C2608" s="72" t="n">
        <v>2033</v>
      </c>
      <c r="D2608" t="s">
        <v>184</v>
      </c>
      <c r="E2608" s="73" t="n">
        <v>112477.926714298</v>
      </c>
      <c r="F2608" s="74" t="n">
        <v>76764.2951953082</v>
      </c>
      <c r="G2608" s="75" t="n">
        <v>117998.738437442</v>
      </c>
      <c r="H2608" s="76" t="n">
        <v>79480.4761690429</v>
      </c>
      <c r="I2608" s="77" t="str">
        <f>H2608-F2608</f>
      </c>
      <c r="J2608" s="78" t="str">
        <f>G2608-E2608</f>
      </c>
    </row>
    <row r="2609">
      <c r="A2609" t="s">
        <v>76</v>
      </c>
      <c r="B2609" t="s">
        <v>427</v>
      </c>
      <c r="C2609" s="72" t="n">
        <v>2033</v>
      </c>
      <c r="D2609" t="s">
        <v>187</v>
      </c>
      <c r="E2609" s="73" t="n">
        <v>376108.948653791</v>
      </c>
      <c r="F2609" s="74" t="n">
        <v>350989.271670926</v>
      </c>
      <c r="G2609" s="75" t="n">
        <v>398354.344992358</v>
      </c>
      <c r="H2609" s="76" t="n">
        <v>368051.624575443</v>
      </c>
      <c r="I2609" s="77" t="str">
        <f>H2609-F2609</f>
      </c>
      <c r="J2609" s="78" t="str">
        <f>G2609-E2609</f>
      </c>
    </row>
    <row r="2610">
      <c r="A2610" t="s">
        <v>76</v>
      </c>
      <c r="B2610" t="s">
        <v>427</v>
      </c>
      <c r="C2610" s="72" t="n">
        <v>2033</v>
      </c>
      <c r="D2610" t="s">
        <v>190</v>
      </c>
      <c r="E2610" s="73" t="n">
        <v>624177.502024453</v>
      </c>
      <c r="F2610" s="74" t="n">
        <v>397101.308116507</v>
      </c>
      <c r="G2610" s="75" t="n">
        <v>687634.699546926</v>
      </c>
      <c r="H2610" s="76" t="n">
        <v>412348.075678578</v>
      </c>
      <c r="I2610" s="77" t="str">
        <f>H2610-F2610</f>
      </c>
      <c r="J2610" s="78" t="str">
        <f>G2610-E2610</f>
      </c>
    </row>
    <row r="2611">
      <c r="A2611" t="s">
        <v>76</v>
      </c>
      <c r="B2611" t="s">
        <v>427</v>
      </c>
      <c r="C2611" s="72" t="n">
        <v>2033</v>
      </c>
      <c r="D2611" t="s">
        <v>193</v>
      </c>
      <c r="E2611" s="73" t="n">
        <v>472453.058787294</v>
      </c>
      <c r="F2611" s="74" t="n">
        <v>262231.7700499</v>
      </c>
      <c r="G2611" s="75" t="n">
        <v>503751.109420694</v>
      </c>
      <c r="H2611" s="76" t="n">
        <v>269883.407599987</v>
      </c>
      <c r="I2611" s="77" t="str">
        <f>H2611-F2611</f>
      </c>
      <c r="J2611" s="78" t="str">
        <f>G2611-E2611</f>
      </c>
    </row>
    <row r="2612">
      <c r="A2612" t="s">
        <v>76</v>
      </c>
      <c r="B2612" t="s">
        <v>427</v>
      </c>
      <c r="C2612" s="72" t="n">
        <v>2033</v>
      </c>
      <c r="D2612" t="s">
        <v>424</v>
      </c>
      <c r="E2612" s="73" t="n">
        <v>44488.5329345298</v>
      </c>
      <c r="F2612" s="74" t="n">
        <v>7348.15730629719</v>
      </c>
      <c r="G2612" s="75" t="n">
        <v>44483.6835898413</v>
      </c>
      <c r="H2612" s="76" t="n">
        <v>7348.07414732206</v>
      </c>
      <c r="I2612" s="77" t="str">
        <f>H2612-F2612</f>
      </c>
      <c r="J2612" s="78" t="str">
        <f>G2612-E2612</f>
      </c>
    </row>
    <row r="2613">
      <c r="A2613" t="s">
        <v>76</v>
      </c>
      <c r="B2613" t="s">
        <v>427</v>
      </c>
      <c r="C2613" s="72" t="n">
        <v>2034</v>
      </c>
      <c r="D2613" t="s">
        <v>176</v>
      </c>
      <c r="E2613" s="73" t="n">
        <v>16484.3953226513</v>
      </c>
      <c r="F2613" s="74" t="n">
        <v>11906.3828620025</v>
      </c>
      <c r="G2613" s="75" t="n">
        <v>16436.9312806497</v>
      </c>
      <c r="H2613" s="76" t="n">
        <v>11896.3823187386</v>
      </c>
      <c r="I2613" s="77" t="str">
        <f>H2613-F2613</f>
      </c>
      <c r="J2613" s="78" t="str">
        <f>G2613-E2613</f>
      </c>
    </row>
    <row r="2614">
      <c r="A2614" t="s">
        <v>76</v>
      </c>
      <c r="B2614" t="s">
        <v>427</v>
      </c>
      <c r="C2614" s="72" t="n">
        <v>2034</v>
      </c>
      <c r="D2614" t="s">
        <v>238</v>
      </c>
      <c r="E2614" s="73" t="n">
        <v>1115410.67670919</v>
      </c>
      <c r="F2614" s="74" t="n">
        <v>201451.150740436</v>
      </c>
      <c r="G2614" s="75" t="n">
        <v>1139357.01951607</v>
      </c>
      <c r="H2614" s="76" t="n">
        <v>202147.27044605</v>
      </c>
      <c r="I2614" s="77" t="str">
        <f>H2614-F2614</f>
      </c>
      <c r="J2614" s="78" t="str">
        <f>G2614-E2614</f>
      </c>
    </row>
    <row r="2615">
      <c r="A2615" t="s">
        <v>76</v>
      </c>
      <c r="B2615" t="s">
        <v>427</v>
      </c>
      <c r="C2615" s="72" t="n">
        <v>2034</v>
      </c>
      <c r="D2615" t="s">
        <v>184</v>
      </c>
      <c r="E2615" s="73" t="n">
        <v>115523.350951429</v>
      </c>
      <c r="F2615" s="74" t="n">
        <v>78580.7904858052</v>
      </c>
      <c r="G2615" s="75" t="n">
        <v>121105.471839437</v>
      </c>
      <c r="H2615" s="76" t="n">
        <v>81594.9482339212</v>
      </c>
      <c r="I2615" s="77" t="str">
        <f>H2615-F2615</f>
      </c>
      <c r="J2615" s="78" t="str">
        <f>G2615-E2615</f>
      </c>
    </row>
    <row r="2616">
      <c r="A2616" t="s">
        <v>76</v>
      </c>
      <c r="B2616" t="s">
        <v>427</v>
      </c>
      <c r="C2616" s="72" t="n">
        <v>2034</v>
      </c>
      <c r="D2616" t="s">
        <v>187</v>
      </c>
      <c r="E2616" s="73" t="n">
        <v>383635.256962733</v>
      </c>
      <c r="F2616" s="74" t="n">
        <v>357718.523015145</v>
      </c>
      <c r="G2616" s="75" t="n">
        <v>406559.867353788</v>
      </c>
      <c r="H2616" s="76" t="n">
        <v>376028.132278335</v>
      </c>
      <c r="I2616" s="77" t="str">
        <f>H2616-F2616</f>
      </c>
      <c r="J2616" s="78" t="str">
        <f>G2616-E2616</f>
      </c>
    </row>
    <row r="2617">
      <c r="A2617" t="s">
        <v>76</v>
      </c>
      <c r="B2617" t="s">
        <v>427</v>
      </c>
      <c r="C2617" s="72" t="n">
        <v>2034</v>
      </c>
      <c r="D2617" t="s">
        <v>190</v>
      </c>
      <c r="E2617" s="73" t="n">
        <v>635581.11304773</v>
      </c>
      <c r="F2617" s="74" t="n">
        <v>405124.703435481</v>
      </c>
      <c r="G2617" s="75" t="n">
        <v>701691.677358768</v>
      </c>
      <c r="H2617" s="76" t="n">
        <v>423259.100590806</v>
      </c>
      <c r="I2617" s="77" t="str">
        <f>H2617-F2617</f>
      </c>
      <c r="J2617" s="78" t="str">
        <f>G2617-E2617</f>
      </c>
    </row>
    <row r="2618">
      <c r="A2618" t="s">
        <v>76</v>
      </c>
      <c r="B2618" t="s">
        <v>427</v>
      </c>
      <c r="C2618" s="72" t="n">
        <v>2034</v>
      </c>
      <c r="D2618" t="s">
        <v>193</v>
      </c>
      <c r="E2618" s="73" t="n">
        <v>483788.26399521</v>
      </c>
      <c r="F2618" s="74" t="n">
        <v>270528.284924674</v>
      </c>
      <c r="G2618" s="75" t="n">
        <v>516406.53850878</v>
      </c>
      <c r="H2618" s="76" t="n">
        <v>279484.980285229</v>
      </c>
      <c r="I2618" s="77" t="str">
        <f>H2618-F2618</f>
      </c>
      <c r="J2618" s="78" t="str">
        <f>G2618-E2618</f>
      </c>
    </row>
    <row r="2619">
      <c r="A2619" t="s">
        <v>76</v>
      </c>
      <c r="B2619" t="s">
        <v>427</v>
      </c>
      <c r="C2619" s="72" t="n">
        <v>2034</v>
      </c>
      <c r="D2619" t="s">
        <v>424</v>
      </c>
      <c r="E2619" s="73" t="n">
        <v>44361.8743289046</v>
      </c>
      <c r="F2619" s="74" t="n">
        <v>7385.17863728409</v>
      </c>
      <c r="G2619" s="75" t="n">
        <v>44355.184450179</v>
      </c>
      <c r="H2619" s="76" t="n">
        <v>7385.04094675217</v>
      </c>
      <c r="I2619" s="77" t="str">
        <f>H2619-F2619</f>
      </c>
      <c r="J2619" s="78" t="str">
        <f>G2619-E2619</f>
      </c>
    </row>
    <row r="2620">
      <c r="A2620" t="s">
        <v>76</v>
      </c>
      <c r="B2620" t="s">
        <v>427</v>
      </c>
      <c r="C2620" s="72" t="n">
        <v>2035</v>
      </c>
      <c r="D2620" t="s">
        <v>176</v>
      </c>
      <c r="E2620" s="73" t="n">
        <v>16956.5067979238</v>
      </c>
      <c r="F2620" s="74" t="n">
        <v>12219.0479482015</v>
      </c>
      <c r="G2620" s="75" t="n">
        <v>16892.2141390053</v>
      </c>
      <c r="H2620" s="76" t="n">
        <v>12203.0577178634</v>
      </c>
      <c r="I2620" s="77" t="str">
        <f>H2620-F2620</f>
      </c>
      <c r="J2620" s="78" t="str">
        <f>G2620-E2620</f>
      </c>
    </row>
    <row r="2621">
      <c r="A2621" t="s">
        <v>76</v>
      </c>
      <c r="B2621" t="s">
        <v>427</v>
      </c>
      <c r="C2621" s="72" t="n">
        <v>2035</v>
      </c>
      <c r="D2621" t="s">
        <v>238</v>
      </c>
      <c r="E2621" s="73" t="n">
        <v>1123224.80498053</v>
      </c>
      <c r="F2621" s="74" t="n">
        <v>209427.959665859</v>
      </c>
      <c r="G2621" s="75" t="n">
        <v>1148972.16574985</v>
      </c>
      <c r="H2621" s="76" t="n">
        <v>210290.980527925</v>
      </c>
      <c r="I2621" s="77" t="str">
        <f>H2621-F2621</f>
      </c>
      <c r="J2621" s="78" t="str">
        <f>G2621-E2621</f>
      </c>
    </row>
    <row r="2622">
      <c r="A2622" t="s">
        <v>76</v>
      </c>
      <c r="B2622" t="s">
        <v>427</v>
      </c>
      <c r="C2622" s="72" t="n">
        <v>2035</v>
      </c>
      <c r="D2622" t="s">
        <v>184</v>
      </c>
      <c r="E2622" s="73" t="n">
        <v>118518.462350231</v>
      </c>
      <c r="F2622" s="74" t="n">
        <v>80436.1723308858</v>
      </c>
      <c r="G2622" s="75" t="n">
        <v>124148.207195844</v>
      </c>
      <c r="H2622" s="76" t="n">
        <v>83695.1178728798</v>
      </c>
      <c r="I2622" s="77" t="str">
        <f>H2622-F2622</f>
      </c>
      <c r="J2622" s="78" t="str">
        <f>G2622-E2622</f>
      </c>
    </row>
    <row r="2623">
      <c r="A2623" t="s">
        <v>76</v>
      </c>
      <c r="B2623" t="s">
        <v>427</v>
      </c>
      <c r="C2623" s="72" t="n">
        <v>2035</v>
      </c>
      <c r="D2623" t="s">
        <v>187</v>
      </c>
      <c r="E2623" s="73" t="n">
        <v>390975.042486974</v>
      </c>
      <c r="F2623" s="74" t="n">
        <v>364428.15969962</v>
      </c>
      <c r="G2623" s="75" t="n">
        <v>414533.160603145</v>
      </c>
      <c r="H2623" s="76" t="n">
        <v>383788.762526672</v>
      </c>
      <c r="I2623" s="77" t="str">
        <f>H2623-F2623</f>
      </c>
      <c r="J2623" s="78" t="str">
        <f>G2623-E2623</f>
      </c>
    </row>
    <row r="2624">
      <c r="A2624" t="s">
        <v>76</v>
      </c>
      <c r="B2624" t="s">
        <v>427</v>
      </c>
      <c r="C2624" s="72" t="n">
        <v>2035</v>
      </c>
      <c r="D2624" t="s">
        <v>190</v>
      </c>
      <c r="E2624" s="73" t="n">
        <v>646690.6225122</v>
      </c>
      <c r="F2624" s="74" t="n">
        <v>413115.997777229</v>
      </c>
      <c r="G2624" s="75" t="n">
        <v>715331.788822102</v>
      </c>
      <c r="H2624" s="76" t="n">
        <v>434082.031551195</v>
      </c>
      <c r="I2624" s="77" t="str">
        <f>H2624-F2624</f>
      </c>
      <c r="J2624" s="78" t="str">
        <f>G2624-E2624</f>
      </c>
    </row>
    <row r="2625">
      <c r="A2625" t="s">
        <v>76</v>
      </c>
      <c r="B2625" t="s">
        <v>427</v>
      </c>
      <c r="C2625" s="72" t="n">
        <v>2035</v>
      </c>
      <c r="D2625" t="s">
        <v>193</v>
      </c>
      <c r="E2625" s="73" t="n">
        <v>494953.467436525</v>
      </c>
      <c r="F2625" s="74" t="n">
        <v>278934.174774363</v>
      </c>
      <c r="G2625" s="75" t="n">
        <v>528818.371883953</v>
      </c>
      <c r="H2625" s="76" t="n">
        <v>289150.802435983</v>
      </c>
      <c r="I2625" s="77" t="str">
        <f>H2625-F2625</f>
      </c>
      <c r="J2625" s="78" t="str">
        <f>G2625-E2625</f>
      </c>
    </row>
    <row r="2626">
      <c r="A2626" t="s">
        <v>76</v>
      </c>
      <c r="B2626" t="s">
        <v>427</v>
      </c>
      <c r="C2626" s="72" t="n">
        <v>2035</v>
      </c>
      <c r="D2626" t="s">
        <v>424</v>
      </c>
      <c r="E2626" s="73" t="n">
        <v>44215.4486054591</v>
      </c>
      <c r="F2626" s="74" t="n">
        <v>7420.18746233075</v>
      </c>
      <c r="G2626" s="75" t="n">
        <v>44206.7073067121</v>
      </c>
      <c r="H2626" s="76" t="n">
        <v>7419.97885519321</v>
      </c>
      <c r="I2626" s="77" t="str">
        <f>H2626-F2626</f>
      </c>
      <c r="J2626" s="78" t="str">
        <f>G2626-E2626</f>
      </c>
    </row>
    <row r="2627">
      <c r="A2627" t="s">
        <v>76</v>
      </c>
      <c r="B2627" t="s">
        <v>427</v>
      </c>
      <c r="C2627" s="72" t="n">
        <v>2036</v>
      </c>
      <c r="D2627" t="s">
        <v>176</v>
      </c>
      <c r="E2627" s="73" t="n">
        <v>17433.751917737</v>
      </c>
      <c r="F2627" s="74" t="n">
        <v>12530.2132984505</v>
      </c>
      <c r="G2627" s="75" t="n">
        <v>17350.6546269342</v>
      </c>
      <c r="H2627" s="76" t="n">
        <v>12506.9021026876</v>
      </c>
      <c r="I2627" s="77" t="str">
        <f>H2627-F2627</f>
      </c>
      <c r="J2627" s="78" t="str">
        <f>G2627-E2627</f>
      </c>
    </row>
    <row r="2628">
      <c r="A2628" t="s">
        <v>76</v>
      </c>
      <c r="B2628" t="s">
        <v>427</v>
      </c>
      <c r="C2628" s="72" t="n">
        <v>2036</v>
      </c>
      <c r="D2628" t="s">
        <v>238</v>
      </c>
      <c r="E2628" s="73" t="n">
        <v>1130859.72797119</v>
      </c>
      <c r="F2628" s="74" t="n">
        <v>217328.727909904</v>
      </c>
      <c r="G2628" s="75" t="n">
        <v>1158266.13775829</v>
      </c>
      <c r="H2628" s="76" t="n">
        <v>218370.687575925</v>
      </c>
      <c r="I2628" s="77" t="str">
        <f>H2628-F2628</f>
      </c>
      <c r="J2628" s="78" t="str">
        <f>G2628-E2628</f>
      </c>
    </row>
    <row r="2629">
      <c r="A2629" t="s">
        <v>76</v>
      </c>
      <c r="B2629" t="s">
        <v>427</v>
      </c>
      <c r="C2629" s="72" t="n">
        <v>2036</v>
      </c>
      <c r="D2629" t="s">
        <v>184</v>
      </c>
      <c r="E2629" s="73" t="n">
        <v>121473.374029729</v>
      </c>
      <c r="F2629" s="74" t="n">
        <v>82305.4815503993</v>
      </c>
      <c r="G2629" s="75" t="n">
        <v>127138.451085333</v>
      </c>
      <c r="H2629" s="76" t="n">
        <v>85765.5647353171</v>
      </c>
      <c r="I2629" s="77" t="str">
        <f>H2629-F2629</f>
      </c>
      <c r="J2629" s="78" t="str">
        <f>G2629-E2629</f>
      </c>
    </row>
    <row r="2630">
      <c r="A2630" t="s">
        <v>76</v>
      </c>
      <c r="B2630" t="s">
        <v>427</v>
      </c>
      <c r="C2630" s="72" t="n">
        <v>2036</v>
      </c>
      <c r="D2630" t="s">
        <v>187</v>
      </c>
      <c r="E2630" s="73" t="n">
        <v>398088.10198635</v>
      </c>
      <c r="F2630" s="74" t="n">
        <v>371015.457075368</v>
      </c>
      <c r="G2630" s="75" t="n">
        <v>422232.659922133</v>
      </c>
      <c r="H2630" s="76" t="n">
        <v>391285.955739587</v>
      </c>
      <c r="I2630" s="77" t="str">
        <f>H2630-F2630</f>
      </c>
      <c r="J2630" s="78" t="str">
        <f>G2630-E2630</f>
      </c>
    </row>
    <row r="2631">
      <c r="A2631" t="s">
        <v>76</v>
      </c>
      <c r="B2631" t="s">
        <v>427</v>
      </c>
      <c r="C2631" s="72" t="n">
        <v>2036</v>
      </c>
      <c r="D2631" t="s">
        <v>190</v>
      </c>
      <c r="E2631" s="73" t="n">
        <v>657483.961601685</v>
      </c>
      <c r="F2631" s="74" t="n">
        <v>421006.814001301</v>
      </c>
      <c r="G2631" s="75" t="n">
        <v>728531.610160843</v>
      </c>
      <c r="H2631" s="76" t="n">
        <v>444747.907566169</v>
      </c>
      <c r="I2631" s="77" t="str">
        <f>H2631-F2631</f>
      </c>
      <c r="J2631" s="78" t="str">
        <f>G2631-E2631</f>
      </c>
    </row>
    <row r="2632">
      <c r="A2632" t="s">
        <v>76</v>
      </c>
      <c r="B2632" t="s">
        <v>427</v>
      </c>
      <c r="C2632" s="72" t="n">
        <v>2036</v>
      </c>
      <c r="D2632" t="s">
        <v>193</v>
      </c>
      <c r="E2632" s="73" t="n">
        <v>506009.149479205</v>
      </c>
      <c r="F2632" s="74" t="n">
        <v>287442.711561138</v>
      </c>
      <c r="G2632" s="75" t="n">
        <v>541052.28077363</v>
      </c>
      <c r="H2632" s="76" t="n">
        <v>298879.611309733</v>
      </c>
      <c r="I2632" s="77" t="str">
        <f>H2632-F2632</f>
      </c>
      <c r="J2632" s="78" t="str">
        <f>G2632-E2632</f>
      </c>
    </row>
    <row r="2633">
      <c r="A2633" t="s">
        <v>76</v>
      </c>
      <c r="B2633" t="s">
        <v>427</v>
      </c>
      <c r="C2633" s="72" t="n">
        <v>2036</v>
      </c>
      <c r="D2633" t="s">
        <v>424</v>
      </c>
      <c r="E2633" s="73" t="n">
        <v>44060.9767696593</v>
      </c>
      <c r="F2633" s="74" t="n">
        <v>7453.63089643086</v>
      </c>
      <c r="G2633" s="75" t="n">
        <v>44049.9983782722</v>
      </c>
      <c r="H2633" s="76" t="n">
        <v>7453.3351271514</v>
      </c>
      <c r="I2633" s="77" t="str">
        <f>H2633-F2633</f>
      </c>
      <c r="J2633" s="78" t="str">
        <f>G2633-E2633</f>
      </c>
    </row>
    <row r="2634">
      <c r="A2634" t="s">
        <v>76</v>
      </c>
      <c r="B2634" t="s">
        <v>427</v>
      </c>
      <c r="C2634" s="72" t="n">
        <v>2037</v>
      </c>
      <c r="D2634" t="s">
        <v>176</v>
      </c>
      <c r="E2634" s="73" t="n">
        <v>17916.3024442592</v>
      </c>
      <c r="F2634" s="74" t="n">
        <v>12839.402613392</v>
      </c>
      <c r="G2634" s="75" t="n">
        <v>17812.5035281772</v>
      </c>
      <c r="H2634" s="76" t="n">
        <v>12807.5012683992</v>
      </c>
      <c r="I2634" s="77" t="str">
        <f>H2634-F2634</f>
      </c>
      <c r="J2634" s="78" t="str">
        <f>G2634-E2634</f>
      </c>
    </row>
    <row r="2635">
      <c r="A2635" t="s">
        <v>76</v>
      </c>
      <c r="B2635" t="s">
        <v>427</v>
      </c>
      <c r="C2635" s="72" t="n">
        <v>2037</v>
      </c>
      <c r="D2635" t="s">
        <v>238</v>
      </c>
      <c r="E2635" s="73" t="n">
        <v>1138430.27737854</v>
      </c>
      <c r="F2635" s="74" t="n">
        <v>225141.408946974</v>
      </c>
      <c r="G2635" s="75" t="n">
        <v>1167364.66541375</v>
      </c>
      <c r="H2635" s="76" t="n">
        <v>226373.365626062</v>
      </c>
      <c r="I2635" s="77" t="str">
        <f>H2635-F2635</f>
      </c>
      <c r="J2635" s="78" t="str">
        <f>G2635-E2635</f>
      </c>
    </row>
    <row r="2636">
      <c r="A2636" t="s">
        <v>76</v>
      </c>
      <c r="B2636" t="s">
        <v>427</v>
      </c>
      <c r="C2636" s="72" t="n">
        <v>2037</v>
      </c>
      <c r="D2636" t="s">
        <v>184</v>
      </c>
      <c r="E2636" s="73" t="n">
        <v>124402.615308172</v>
      </c>
      <c r="F2636" s="74" t="n">
        <v>84160.9746261191</v>
      </c>
      <c r="G2636" s="75" t="n">
        <v>130092.112965313</v>
      </c>
      <c r="H2636" s="76" t="n">
        <v>87785.8739142287</v>
      </c>
      <c r="I2636" s="77" t="str">
        <f>H2636-F2636</f>
      </c>
      <c r="J2636" s="78" t="str">
        <f>G2636-E2636</f>
      </c>
    </row>
    <row r="2637">
      <c r="A2637" t="s">
        <v>76</v>
      </c>
      <c r="B2637" t="s">
        <v>427</v>
      </c>
      <c r="C2637" s="72" t="n">
        <v>2037</v>
      </c>
      <c r="D2637" t="s">
        <v>187</v>
      </c>
      <c r="E2637" s="73" t="n">
        <v>404988.773189832</v>
      </c>
      <c r="F2637" s="74" t="n">
        <v>377401.789778221</v>
      </c>
      <c r="G2637" s="75" t="n">
        <v>429674.679324948</v>
      </c>
      <c r="H2637" s="76" t="n">
        <v>398473.813386608</v>
      </c>
      <c r="I2637" s="77" t="str">
        <f>H2637-F2637</f>
      </c>
      <c r="J2637" s="78" t="str">
        <f>G2637-E2637</f>
      </c>
    </row>
    <row r="2638">
      <c r="A2638" t="s">
        <v>76</v>
      </c>
      <c r="B2638" t="s">
        <v>427</v>
      </c>
      <c r="C2638" s="72" t="n">
        <v>2037</v>
      </c>
      <c r="D2638" t="s">
        <v>190</v>
      </c>
      <c r="E2638" s="73" t="n">
        <v>667932.942674188</v>
      </c>
      <c r="F2638" s="74" t="n">
        <v>428718.465217257</v>
      </c>
      <c r="G2638" s="75" t="n">
        <v>741261.427234993</v>
      </c>
      <c r="H2638" s="76" t="n">
        <v>455168.184528758</v>
      </c>
      <c r="I2638" s="77" t="str">
        <f>H2638-F2638</f>
      </c>
      <c r="J2638" s="78" t="str">
        <f>G2638-E2638</f>
      </c>
    </row>
    <row r="2639">
      <c r="A2639" t="s">
        <v>76</v>
      </c>
      <c r="B2639" t="s">
        <v>427</v>
      </c>
      <c r="C2639" s="72" t="n">
        <v>2037</v>
      </c>
      <c r="D2639" t="s">
        <v>193</v>
      </c>
      <c r="E2639" s="73" t="n">
        <v>517094.403168615</v>
      </c>
      <c r="F2639" s="74" t="n">
        <v>296044.492132373</v>
      </c>
      <c r="G2639" s="75" t="n">
        <v>553258.517761357</v>
      </c>
      <c r="H2639" s="76" t="n">
        <v>308666.043562302</v>
      </c>
      <c r="I2639" s="77" t="str">
        <f>H2639-F2639</f>
      </c>
      <c r="J2639" s="78" t="str">
        <f>G2639-E2639</f>
      </c>
    </row>
    <row r="2640">
      <c r="A2640" t="s">
        <v>76</v>
      </c>
      <c r="B2640" t="s">
        <v>427</v>
      </c>
      <c r="C2640" s="72" t="n">
        <v>2037</v>
      </c>
      <c r="D2640" t="s">
        <v>424</v>
      </c>
      <c r="E2640" s="73" t="n">
        <v>43899.8767388142</v>
      </c>
      <c r="F2640" s="74" t="n">
        <v>7486.03832854556</v>
      </c>
      <c r="G2640" s="75" t="n">
        <v>43886.4966397613</v>
      </c>
      <c r="H2640" s="76" t="n">
        <v>7485.63945861012</v>
      </c>
      <c r="I2640" s="77" t="str">
        <f>H2640-F2640</f>
      </c>
      <c r="J2640" s="78" t="str">
        <f>G2640-E2640</f>
      </c>
    </row>
    <row r="2641">
      <c r="A2641" t="s">
        <v>76</v>
      </c>
      <c r="B2641" t="s">
        <v>427</v>
      </c>
      <c r="C2641" s="72" t="n">
        <v>2038</v>
      </c>
      <c r="D2641" t="s">
        <v>176</v>
      </c>
      <c r="E2641" s="73" t="n">
        <v>18404.9710274349</v>
      </c>
      <c r="F2641" s="74" t="n">
        <v>13149.9638304132</v>
      </c>
      <c r="G2641" s="75" t="n">
        <v>18278.6195315823</v>
      </c>
      <c r="H2641" s="76" t="n">
        <v>13108.2586821674</v>
      </c>
      <c r="I2641" s="77" t="str">
        <f>H2641-F2641</f>
      </c>
      <c r="J2641" s="78" t="str">
        <f>G2641-E2641</f>
      </c>
    </row>
    <row r="2642">
      <c r="A2642" t="s">
        <v>76</v>
      </c>
      <c r="B2642" t="s">
        <v>427</v>
      </c>
      <c r="C2642" s="72" t="n">
        <v>2038</v>
      </c>
      <c r="D2642" t="s">
        <v>238</v>
      </c>
      <c r="E2642" s="73" t="n">
        <v>1145958.50282523</v>
      </c>
      <c r="F2642" s="74" t="n">
        <v>232854.104394966</v>
      </c>
      <c r="G2642" s="75" t="n">
        <v>1176286.23006217</v>
      </c>
      <c r="H2642" s="76" t="n">
        <v>234286.302403295</v>
      </c>
      <c r="I2642" s="77" t="str">
        <f>H2642-F2642</f>
      </c>
      <c r="J2642" s="78" t="str">
        <f>G2642-E2642</f>
      </c>
    </row>
    <row r="2643">
      <c r="A2643" t="s">
        <v>76</v>
      </c>
      <c r="B2643" t="s">
        <v>427</v>
      </c>
      <c r="C2643" s="72" t="n">
        <v>2038</v>
      </c>
      <c r="D2643" t="s">
        <v>184</v>
      </c>
      <c r="E2643" s="73" t="n">
        <v>127301.379980225</v>
      </c>
      <c r="F2643" s="74" t="n">
        <v>86002.9207818601</v>
      </c>
      <c r="G2643" s="75" t="n">
        <v>133004.77137127</v>
      </c>
      <c r="H2643" s="76" t="n">
        <v>89762.9085046272</v>
      </c>
      <c r="I2643" s="77" t="str">
        <f>H2643-F2643</f>
      </c>
      <c r="J2643" s="78" t="str">
        <f>G2643-E2643</f>
      </c>
    </row>
    <row r="2644">
      <c r="A2644" t="s">
        <v>76</v>
      </c>
      <c r="B2644" t="s">
        <v>427</v>
      </c>
      <c r="C2644" s="72" t="n">
        <v>2038</v>
      </c>
      <c r="D2644" t="s">
        <v>187</v>
      </c>
      <c r="E2644" s="73" t="n">
        <v>411694.37904226</v>
      </c>
      <c r="F2644" s="74" t="n">
        <v>383597.040767643</v>
      </c>
      <c r="G2644" s="75" t="n">
        <v>436878.359538317</v>
      </c>
      <c r="H2644" s="76" t="n">
        <v>405384.957772321</v>
      </c>
      <c r="I2644" s="77" t="str">
        <f>H2644-F2644</f>
      </c>
      <c r="J2644" s="78" t="str">
        <f>G2644-E2644</f>
      </c>
    </row>
    <row r="2645">
      <c r="A2645" t="s">
        <v>76</v>
      </c>
      <c r="B2645" t="s">
        <v>427</v>
      </c>
      <c r="C2645" s="72" t="n">
        <v>2038</v>
      </c>
      <c r="D2645" t="s">
        <v>190</v>
      </c>
      <c r="E2645" s="73" t="n">
        <v>678074.770970598</v>
      </c>
      <c r="F2645" s="74" t="n">
        <v>436258.815349647</v>
      </c>
      <c r="G2645" s="75" t="n">
        <v>753560.822146793</v>
      </c>
      <c r="H2645" s="76" t="n">
        <v>465342.91786371</v>
      </c>
      <c r="I2645" s="77" t="str">
        <f>H2645-F2645</f>
      </c>
      <c r="J2645" s="78" t="str">
        <f>G2645-E2645</f>
      </c>
    </row>
    <row r="2646">
      <c r="A2646" t="s">
        <v>76</v>
      </c>
      <c r="B2646" t="s">
        <v>427</v>
      </c>
      <c r="C2646" s="72" t="n">
        <v>2038</v>
      </c>
      <c r="D2646" t="s">
        <v>193</v>
      </c>
      <c r="E2646" s="73" t="n">
        <v>528177.817002237</v>
      </c>
      <c r="F2646" s="74" t="n">
        <v>304689.43756784</v>
      </c>
      <c r="G2646" s="75" t="n">
        <v>565403.758799385</v>
      </c>
      <c r="H2646" s="76" t="n">
        <v>318461.022248122</v>
      </c>
      <c r="I2646" s="77" t="str">
        <f>H2646-F2646</f>
      </c>
      <c r="J2646" s="78" t="str">
        <f>G2646-E2646</f>
      </c>
    </row>
    <row r="2647">
      <c r="A2647" t="s">
        <v>76</v>
      </c>
      <c r="B2647" t="s">
        <v>427</v>
      </c>
      <c r="C2647" s="72" t="n">
        <v>2038</v>
      </c>
      <c r="D2647" t="s">
        <v>424</v>
      </c>
      <c r="E2647" s="73" t="n">
        <v>43746.6762012099</v>
      </c>
      <c r="F2647" s="74" t="n">
        <v>7518.28781809989</v>
      </c>
      <c r="G2647" s="75" t="n">
        <v>43730.7448506382</v>
      </c>
      <c r="H2647" s="76" t="n">
        <v>7517.77035327065</v>
      </c>
      <c r="I2647" s="77" t="str">
        <f>H2647-F2647</f>
      </c>
      <c r="J2647" s="78" t="str">
        <f>G2647-E2647</f>
      </c>
    </row>
    <row r="2648">
      <c r="A2648" t="s">
        <v>76</v>
      </c>
      <c r="B2648" t="s">
        <v>427</v>
      </c>
      <c r="C2648" s="72" t="n">
        <v>2039</v>
      </c>
      <c r="D2648" t="s">
        <v>176</v>
      </c>
      <c r="E2648" s="73" t="n">
        <v>18902.8626743763</v>
      </c>
      <c r="F2648" s="74" t="n">
        <v>13457.338971752</v>
      </c>
      <c r="G2648" s="75" t="n">
        <v>18752.090499403</v>
      </c>
      <c r="H2648" s="76" t="n">
        <v>13404.6696202756</v>
      </c>
      <c r="I2648" s="77" t="str">
        <f>H2648-F2648</f>
      </c>
      <c r="J2648" s="78" t="str">
        <f>G2648-E2648</f>
      </c>
    </row>
    <row r="2649">
      <c r="A2649" t="s">
        <v>76</v>
      </c>
      <c r="B2649" t="s">
        <v>427</v>
      </c>
      <c r="C2649" s="72" t="n">
        <v>2039</v>
      </c>
      <c r="D2649" t="s">
        <v>238</v>
      </c>
      <c r="E2649" s="73" t="n">
        <v>1153144.88058687</v>
      </c>
      <c r="F2649" s="74" t="n">
        <v>240490.381834148</v>
      </c>
      <c r="G2649" s="75" t="n">
        <v>1184738.39184491</v>
      </c>
      <c r="H2649" s="76" t="n">
        <v>242132.191153164</v>
      </c>
      <c r="I2649" s="77" t="str">
        <f>H2649-F2649</f>
      </c>
      <c r="J2649" s="78" t="str">
        <f>G2649-E2649</f>
      </c>
    </row>
    <row r="2650">
      <c r="A2650" t="s">
        <v>76</v>
      </c>
      <c r="B2650" t="s">
        <v>427</v>
      </c>
      <c r="C2650" s="72" t="n">
        <v>2039</v>
      </c>
      <c r="D2650" t="s">
        <v>184</v>
      </c>
      <c r="E2650" s="73" t="n">
        <v>130165.056953311</v>
      </c>
      <c r="F2650" s="74" t="n">
        <v>87845.3905533845</v>
      </c>
      <c r="G2650" s="75" t="n">
        <v>135872.13136763</v>
      </c>
      <c r="H2650" s="76" t="n">
        <v>91716.3663536023</v>
      </c>
      <c r="I2650" s="77" t="str">
        <f>H2650-F2650</f>
      </c>
      <c r="J2650" s="78" t="str">
        <f>G2650-E2650</f>
      </c>
    </row>
    <row r="2651">
      <c r="A2651" t="s">
        <v>76</v>
      </c>
      <c r="B2651" t="s">
        <v>427</v>
      </c>
      <c r="C2651" s="72" t="n">
        <v>2039</v>
      </c>
      <c r="D2651" t="s">
        <v>187</v>
      </c>
      <c r="E2651" s="73" t="n">
        <v>418262.352591048</v>
      </c>
      <c r="F2651" s="74" t="n">
        <v>389684.649835086</v>
      </c>
      <c r="G2651" s="75" t="n">
        <v>443905.980748337</v>
      </c>
      <c r="H2651" s="76" t="n">
        <v>412120.21350488</v>
      </c>
      <c r="I2651" s="77" t="str">
        <f>H2651-F2651</f>
      </c>
      <c r="J2651" s="78" t="str">
        <f>G2651-E2651</f>
      </c>
    </row>
    <row r="2652">
      <c r="A2652" t="s">
        <v>76</v>
      </c>
      <c r="B2652" t="s">
        <v>427</v>
      </c>
      <c r="C2652" s="72" t="n">
        <v>2039</v>
      </c>
      <c r="D2652" t="s">
        <v>190</v>
      </c>
      <c r="E2652" s="73" t="n">
        <v>687993.063489031</v>
      </c>
      <c r="F2652" s="74" t="n">
        <v>443634.393581649</v>
      </c>
      <c r="G2652" s="75" t="n">
        <v>765528.467838857</v>
      </c>
      <c r="H2652" s="76" t="n">
        <v>475269.787528918</v>
      </c>
      <c r="I2652" s="77" t="str">
        <f>H2652-F2652</f>
      </c>
      <c r="J2652" s="78" t="str">
        <f>G2652-E2652</f>
      </c>
    </row>
    <row r="2653">
      <c r="A2653" t="s">
        <v>76</v>
      </c>
      <c r="B2653" t="s">
        <v>427</v>
      </c>
      <c r="C2653" s="72" t="n">
        <v>2039</v>
      </c>
      <c r="D2653" t="s">
        <v>193</v>
      </c>
      <c r="E2653" s="73" t="n">
        <v>539189.298333868</v>
      </c>
      <c r="F2653" s="74" t="n">
        <v>313358.984238335</v>
      </c>
      <c r="G2653" s="75" t="n">
        <v>577414.514396235</v>
      </c>
      <c r="H2653" s="76" t="n">
        <v>328246.401276368</v>
      </c>
      <c r="I2653" s="77" t="str">
        <f>H2653-F2653</f>
      </c>
      <c r="J2653" s="78" t="str">
        <f>G2653-E2653</f>
      </c>
    </row>
    <row r="2654">
      <c r="A2654" t="s">
        <v>76</v>
      </c>
      <c r="B2654" t="s">
        <v>427</v>
      </c>
      <c r="C2654" s="72" t="n">
        <v>2039</v>
      </c>
      <c r="D2654" t="s">
        <v>424</v>
      </c>
      <c r="E2654" s="73" t="n">
        <v>43607.4683301594</v>
      </c>
      <c r="F2654" s="74" t="n">
        <v>7548.21093112523</v>
      </c>
      <c r="G2654" s="75" t="n">
        <v>43588.845456637</v>
      </c>
      <c r="H2654" s="76" t="n">
        <v>7547.5598608641</v>
      </c>
      <c r="I2654" s="77" t="str">
        <f>H2654-F2654</f>
      </c>
      <c r="J2654" s="78" t="str">
        <f>G2654-E2654</f>
      </c>
    </row>
    <row r="2655">
      <c r="A2655" t="s">
        <v>76</v>
      </c>
      <c r="B2655" t="s">
        <v>427</v>
      </c>
      <c r="C2655" s="72" t="n">
        <v>2040</v>
      </c>
      <c r="D2655" t="s">
        <v>176</v>
      </c>
      <c r="E2655" s="73" t="n">
        <v>19412.8533015255</v>
      </c>
      <c r="F2655" s="74" t="n">
        <v>13763.7520024984</v>
      </c>
      <c r="G2655" s="75" t="n">
        <v>19235.7365429273</v>
      </c>
      <c r="H2655" s="76" t="n">
        <v>13698.9721681132</v>
      </c>
      <c r="I2655" s="77" t="str">
        <f>H2655-F2655</f>
      </c>
      <c r="J2655" s="78" t="str">
        <f>G2655-E2655</f>
      </c>
    </row>
    <row r="2656">
      <c r="A2656" t="s">
        <v>76</v>
      </c>
      <c r="B2656" t="s">
        <v>427</v>
      </c>
      <c r="C2656" s="72" t="n">
        <v>2040</v>
      </c>
      <c r="D2656" t="s">
        <v>238</v>
      </c>
      <c r="E2656" s="73" t="n">
        <v>1159898.4412212</v>
      </c>
      <c r="F2656" s="74" t="n">
        <v>248034.520105245</v>
      </c>
      <c r="G2656" s="75" t="n">
        <v>1192634.43006365</v>
      </c>
      <c r="H2656" s="76" t="n">
        <v>249894.478827588</v>
      </c>
      <c r="I2656" s="77" t="str">
        <f>H2656-F2656</f>
      </c>
      <c r="J2656" s="78" t="str">
        <f>G2656-E2656</f>
      </c>
    </row>
    <row r="2657">
      <c r="A2657" t="s">
        <v>76</v>
      </c>
      <c r="B2657" t="s">
        <v>427</v>
      </c>
      <c r="C2657" s="72" t="n">
        <v>2040</v>
      </c>
      <c r="D2657" t="s">
        <v>184</v>
      </c>
      <c r="E2657" s="73" t="n">
        <v>132989.012701752</v>
      </c>
      <c r="F2657" s="74" t="n">
        <v>89675.5059464968</v>
      </c>
      <c r="G2657" s="75" t="n">
        <v>138689.796610277</v>
      </c>
      <c r="H2657" s="76" t="n">
        <v>93636.8967600593</v>
      </c>
      <c r="I2657" s="77" t="str">
        <f>H2657-F2657</f>
      </c>
      <c r="J2657" s="78" t="str">
        <f>G2657-E2657</f>
      </c>
    </row>
    <row r="2658">
      <c r="A2658" t="s">
        <v>76</v>
      </c>
      <c r="B2658" t="s">
        <v>427</v>
      </c>
      <c r="C2658" s="72" t="n">
        <v>2040</v>
      </c>
      <c r="D2658" t="s">
        <v>187</v>
      </c>
      <c r="E2658" s="73" t="n">
        <v>424770.927799947</v>
      </c>
      <c r="F2658" s="74" t="n">
        <v>395599.655488219</v>
      </c>
      <c r="G2658" s="75" t="n">
        <v>450841.764596063</v>
      </c>
      <c r="H2658" s="76" t="n">
        <v>418620.908948174</v>
      </c>
      <c r="I2658" s="77" t="str">
        <f>H2658-F2658</f>
      </c>
      <c r="J2658" s="78" t="str">
        <f>G2658-E2658</f>
      </c>
    </row>
    <row r="2659">
      <c r="A2659" t="s">
        <v>76</v>
      </c>
      <c r="B2659" t="s">
        <v>427</v>
      </c>
      <c r="C2659" s="72" t="n">
        <v>2040</v>
      </c>
      <c r="D2659" t="s">
        <v>190</v>
      </c>
      <c r="E2659" s="73" t="n">
        <v>697616.717002879</v>
      </c>
      <c r="F2659" s="74" t="n">
        <v>450847.762958198</v>
      </c>
      <c r="G2659" s="75" t="n">
        <v>777088.496702091</v>
      </c>
      <c r="H2659" s="76" t="n">
        <v>484947.105425179</v>
      </c>
      <c r="I2659" s="77" t="str">
        <f>H2659-F2659</f>
      </c>
      <c r="J2659" s="78" t="str">
        <f>G2659-E2659</f>
      </c>
    </row>
    <row r="2660">
      <c r="A2660" t="s">
        <v>76</v>
      </c>
      <c r="B2660" t="s">
        <v>427</v>
      </c>
      <c r="C2660" s="72" t="n">
        <v>2040</v>
      </c>
      <c r="D2660" t="s">
        <v>193</v>
      </c>
      <c r="E2660" s="73" t="n">
        <v>550192.382010052</v>
      </c>
      <c r="F2660" s="74" t="n">
        <v>322069.720610608</v>
      </c>
      <c r="G2660" s="75" t="n">
        <v>589359.733832842</v>
      </c>
      <c r="H2660" s="76" t="n">
        <v>338039.010430446</v>
      </c>
      <c r="I2660" s="77" t="str">
        <f>H2660-F2660</f>
      </c>
      <c r="J2660" s="78" t="str">
        <f>G2660-E2660</f>
      </c>
    </row>
    <row r="2661">
      <c r="A2661" t="s">
        <v>76</v>
      </c>
      <c r="B2661" t="s">
        <v>427</v>
      </c>
      <c r="C2661" s="72" t="n">
        <v>2040</v>
      </c>
      <c r="D2661" t="s">
        <v>424</v>
      </c>
      <c r="E2661" s="73" t="n">
        <v>43486.3076015407</v>
      </c>
      <c r="F2661" s="74" t="n">
        <v>7574.52475732054</v>
      </c>
      <c r="G2661" s="75" t="n">
        <v>43464.8596818836</v>
      </c>
      <c r="H2661" s="76" t="n">
        <v>7573.72556082699</v>
      </c>
      <c r="I2661" s="77" t="str">
        <f>H2661-F2661</f>
      </c>
      <c r="J2661" s="78" t="str">
        <f>G2661-E2661</f>
      </c>
    </row>
    <row r="2662">
      <c r="A2662" t="s">
        <v>76</v>
      </c>
      <c r="B2662" t="s">
        <v>427</v>
      </c>
      <c r="C2662" s="72" t="n">
        <v>2041</v>
      </c>
      <c r="D2662" t="s">
        <v>176</v>
      </c>
      <c r="E2662" s="73" t="n">
        <v>19932.6844940405</v>
      </c>
      <c r="F2662" s="74" t="n">
        <v>14069.6507015906</v>
      </c>
      <c r="G2662" s="75" t="n">
        <v>19727.283486384</v>
      </c>
      <c r="H2662" s="76" t="n">
        <v>13991.6066902828</v>
      </c>
      <c r="I2662" s="77" t="str">
        <f>H2662-F2662</f>
      </c>
      <c r="J2662" s="78" t="str">
        <f>G2662-E2662</f>
      </c>
    </row>
    <row r="2663">
      <c r="A2663" t="s">
        <v>76</v>
      </c>
      <c r="B2663" t="s">
        <v>427</v>
      </c>
      <c r="C2663" s="72" t="n">
        <v>2041</v>
      </c>
      <c r="D2663" t="s">
        <v>238</v>
      </c>
      <c r="E2663" s="73" t="n">
        <v>1166224.98354422</v>
      </c>
      <c r="F2663" s="74" t="n">
        <v>255512.974796969</v>
      </c>
      <c r="G2663" s="75" t="n">
        <v>1199988.17586749</v>
      </c>
      <c r="H2663" s="76" t="n">
        <v>257599.044002988</v>
      </c>
      <c r="I2663" s="77" t="str">
        <f>H2663-F2663</f>
      </c>
      <c r="J2663" s="78" t="str">
        <f>G2663-E2663</f>
      </c>
    </row>
    <row r="2664">
      <c r="A2664" t="s">
        <v>76</v>
      </c>
      <c r="B2664" t="s">
        <v>427</v>
      </c>
      <c r="C2664" s="72" t="n">
        <v>2041</v>
      </c>
      <c r="D2664" t="s">
        <v>184</v>
      </c>
      <c r="E2664" s="73" t="n">
        <v>135790.101425074</v>
      </c>
      <c r="F2664" s="74" t="n">
        <v>91492.5680577363</v>
      </c>
      <c r="G2664" s="75" t="n">
        <v>141475.570851386</v>
      </c>
      <c r="H2664" s="76" t="n">
        <v>95527.0063786807</v>
      </c>
      <c r="I2664" s="77" t="str">
        <f>H2664-F2664</f>
      </c>
      <c r="J2664" s="78" t="str">
        <f>G2664-E2664</f>
      </c>
    </row>
    <row r="2665">
      <c r="A2665" t="s">
        <v>76</v>
      </c>
      <c r="B2665" t="s">
        <v>427</v>
      </c>
      <c r="C2665" s="72" t="n">
        <v>2041</v>
      </c>
      <c r="D2665" t="s">
        <v>187</v>
      </c>
      <c r="E2665" s="73" t="n">
        <v>431231.12282575</v>
      </c>
      <c r="F2665" s="74" t="n">
        <v>401447.526079703</v>
      </c>
      <c r="G2665" s="75" t="n">
        <v>457698.128134802</v>
      </c>
      <c r="H2665" s="76" t="n">
        <v>425005.77720965</v>
      </c>
      <c r="I2665" s="77" t="str">
        <f>H2665-F2665</f>
      </c>
      <c r="J2665" s="78" t="str">
        <f>G2665-E2665</f>
      </c>
    </row>
    <row r="2666">
      <c r="A2666" t="s">
        <v>76</v>
      </c>
      <c r="B2666" t="s">
        <v>427</v>
      </c>
      <c r="C2666" s="72" t="n">
        <v>2041</v>
      </c>
      <c r="D2666" t="s">
        <v>190</v>
      </c>
      <c r="E2666" s="73" t="n">
        <v>706991.529307656</v>
      </c>
      <c r="F2666" s="74" t="n">
        <v>457916.946359298</v>
      </c>
      <c r="G2666" s="75" t="n">
        <v>788293.242756689</v>
      </c>
      <c r="H2666" s="76" t="n">
        <v>494390.873248259</v>
      </c>
      <c r="I2666" s="77" t="str">
        <f>H2666-F2666</f>
      </c>
      <c r="J2666" s="78" t="str">
        <f>G2666-E2666</f>
      </c>
    </row>
    <row r="2667">
      <c r="A2667" t="s">
        <v>76</v>
      </c>
      <c r="B2667" t="s">
        <v>427</v>
      </c>
      <c r="C2667" s="72" t="n">
        <v>2041</v>
      </c>
      <c r="D2667" t="s">
        <v>193</v>
      </c>
      <c r="E2667" s="73" t="n">
        <v>561107.523770482</v>
      </c>
      <c r="F2667" s="74" t="n">
        <v>330902.866394831</v>
      </c>
      <c r="G2667" s="75" t="n">
        <v>601155.340946961</v>
      </c>
      <c r="H2667" s="76" t="n">
        <v>347924.766327078</v>
      </c>
      <c r="I2667" s="77" t="str">
        <f>H2667-F2667</f>
      </c>
      <c r="J2667" s="78" t="str">
        <f>G2667-E2667</f>
      </c>
    </row>
    <row r="2668">
      <c r="A2668" t="s">
        <v>76</v>
      </c>
      <c r="B2668" t="s">
        <v>427</v>
      </c>
      <c r="C2668" s="72" t="n">
        <v>2041</v>
      </c>
      <c r="D2668" t="s">
        <v>424</v>
      </c>
      <c r="E2668" s="73" t="n">
        <v>43385.3358490781</v>
      </c>
      <c r="F2668" s="74" t="n">
        <v>7596.95723852139</v>
      </c>
      <c r="G2668" s="75" t="n">
        <v>43360.9356755525</v>
      </c>
      <c r="H2668" s="76" t="n">
        <v>7595.99533386821</v>
      </c>
      <c r="I2668" s="77" t="str">
        <f>H2668-F2668</f>
      </c>
      <c r="J2668" s="78" t="str">
        <f>G2668-E2668</f>
      </c>
    </row>
    <row r="2669">
      <c r="A2669" t="s">
        <v>76</v>
      </c>
      <c r="B2669" t="s">
        <v>427</v>
      </c>
      <c r="C2669" s="72" t="n">
        <v>2042</v>
      </c>
      <c r="D2669" t="s">
        <v>176</v>
      </c>
      <c r="E2669" s="73" t="n">
        <v>20457.9083346019</v>
      </c>
      <c r="F2669" s="74" t="n">
        <v>14377.1213242011</v>
      </c>
      <c r="G2669" s="75" t="n">
        <v>20222.2683991647</v>
      </c>
      <c r="H2669" s="76" t="n">
        <v>14284.6169088399</v>
      </c>
      <c r="I2669" s="77" t="str">
        <f>H2669-F2669</f>
      </c>
      <c r="J2669" s="78" t="str">
        <f>G2669-E2669</f>
      </c>
    </row>
    <row r="2670">
      <c r="A2670" t="s">
        <v>76</v>
      </c>
      <c r="B2670" t="s">
        <v>427</v>
      </c>
      <c r="C2670" s="72" t="n">
        <v>2042</v>
      </c>
      <c r="D2670" t="s">
        <v>238</v>
      </c>
      <c r="E2670" s="73" t="n">
        <v>1172119.34951344</v>
      </c>
      <c r="F2670" s="74" t="n">
        <v>262969.75249189</v>
      </c>
      <c r="G2670" s="75" t="n">
        <v>1206799.58929471</v>
      </c>
      <c r="H2670" s="76" t="n">
        <v>265289.409116733</v>
      </c>
      <c r="I2670" s="77" t="str">
        <f>H2670-F2670</f>
      </c>
      <c r="J2670" s="78" t="str">
        <f>G2670-E2670</f>
      </c>
    </row>
    <row r="2671">
      <c r="A2671" t="s">
        <v>76</v>
      </c>
      <c r="B2671" t="s">
        <v>427</v>
      </c>
      <c r="C2671" s="72" t="n">
        <v>2042</v>
      </c>
      <c r="D2671" t="s">
        <v>184</v>
      </c>
      <c r="E2671" s="73" t="n">
        <v>138586.413838547</v>
      </c>
      <c r="F2671" s="74" t="n">
        <v>93312.9753457331</v>
      </c>
      <c r="G2671" s="75" t="n">
        <v>144248.066926011</v>
      </c>
      <c r="H2671" s="76" t="n">
        <v>97406.1569770963</v>
      </c>
      <c r="I2671" s="77" t="str">
        <f>H2671-F2671</f>
      </c>
      <c r="J2671" s="78" t="str">
        <f>G2671-E2671</f>
      </c>
    </row>
    <row r="2672">
      <c r="A2672" t="s">
        <v>76</v>
      </c>
      <c r="B2672" t="s">
        <v>427</v>
      </c>
      <c r="C2672" s="72" t="n">
        <v>2042</v>
      </c>
      <c r="D2672" t="s">
        <v>187</v>
      </c>
      <c r="E2672" s="73" t="n">
        <v>437653.733277699</v>
      </c>
      <c r="F2672" s="74" t="n">
        <v>407339.727621535</v>
      </c>
      <c r="G2672" s="75" t="n">
        <v>464487.038990191</v>
      </c>
      <c r="H2672" s="76" t="n">
        <v>431397.042999706</v>
      </c>
      <c r="I2672" s="77" t="str">
        <f>H2672-F2672</f>
      </c>
      <c r="J2672" s="78" t="str">
        <f>G2672-E2672</f>
      </c>
    </row>
    <row r="2673">
      <c r="A2673" t="s">
        <v>76</v>
      </c>
      <c r="B2673" t="s">
        <v>427</v>
      </c>
      <c r="C2673" s="72" t="n">
        <v>2042</v>
      </c>
      <c r="D2673" t="s">
        <v>190</v>
      </c>
      <c r="E2673" s="73" t="n">
        <v>716194.754996165</v>
      </c>
      <c r="F2673" s="74" t="n">
        <v>464844.50642179</v>
      </c>
      <c r="G2673" s="75" t="n">
        <v>799225.499121645</v>
      </c>
      <c r="H2673" s="76" t="n">
        <v>503603.803809569</v>
      </c>
      <c r="I2673" s="77" t="str">
        <f>H2673-F2673</f>
      </c>
      <c r="J2673" s="78" t="str">
        <f>G2673-E2673</f>
      </c>
    </row>
    <row r="2674">
      <c r="A2674" t="s">
        <v>76</v>
      </c>
      <c r="B2674" t="s">
        <v>427</v>
      </c>
      <c r="C2674" s="72" t="n">
        <v>2042</v>
      </c>
      <c r="D2674" t="s">
        <v>193</v>
      </c>
      <c r="E2674" s="73" t="n">
        <v>571806.118395678</v>
      </c>
      <c r="F2674" s="74" t="n">
        <v>339882.961186579</v>
      </c>
      <c r="G2674" s="75" t="n">
        <v>612664.177038008</v>
      </c>
      <c r="H2674" s="76" t="n">
        <v>357930.939504437</v>
      </c>
      <c r="I2674" s="77" t="str">
        <f>H2674-F2674</f>
      </c>
      <c r="J2674" s="78" t="str">
        <f>G2674-E2674</f>
      </c>
    </row>
    <row r="2675">
      <c r="A2675" t="s">
        <v>76</v>
      </c>
      <c r="B2675" t="s">
        <v>427</v>
      </c>
      <c r="C2675" s="72" t="n">
        <v>2042</v>
      </c>
      <c r="D2675" t="s">
        <v>424</v>
      </c>
      <c r="E2675" s="73" t="n">
        <v>43306.2030608956</v>
      </c>
      <c r="F2675" s="74" t="n">
        <v>7617.73241729555</v>
      </c>
      <c r="G2675" s="75" t="n">
        <v>43278.7284816073</v>
      </c>
      <c r="H2675" s="76" t="n">
        <v>7616.59280355029</v>
      </c>
      <c r="I2675" s="77" t="str">
        <f>H2675-F2675</f>
      </c>
      <c r="J2675" s="78" t="str">
        <f>G2675-E2675</f>
      </c>
    </row>
    <row r="2676">
      <c r="A2676" t="s">
        <v>76</v>
      </c>
      <c r="B2676" t="s">
        <v>427</v>
      </c>
      <c r="C2676" s="72" t="n">
        <v>2043</v>
      </c>
      <c r="D2676" t="s">
        <v>176</v>
      </c>
      <c r="E2676" s="73" t="n">
        <v>20988.4757786635</v>
      </c>
      <c r="F2676" s="74" t="n">
        <v>14681.0553829314</v>
      </c>
      <c r="G2676" s="75" t="n">
        <v>20720.5482054553</v>
      </c>
      <c r="H2676" s="76" t="n">
        <v>14572.8831532714</v>
      </c>
      <c r="I2676" s="77" t="str">
        <f>H2676-F2676</f>
      </c>
      <c r="J2676" s="78" t="str">
        <f>G2676-E2676</f>
      </c>
    </row>
    <row r="2677">
      <c r="A2677" t="s">
        <v>76</v>
      </c>
      <c r="B2677" t="s">
        <v>427</v>
      </c>
      <c r="C2677" s="72" t="n">
        <v>2043</v>
      </c>
      <c r="D2677" t="s">
        <v>238</v>
      </c>
      <c r="E2677" s="73" t="n">
        <v>1177558.30385702</v>
      </c>
      <c r="F2677" s="74" t="n">
        <v>270390.664832458</v>
      </c>
      <c r="G2677" s="75" t="n">
        <v>1213049.26096591</v>
      </c>
      <c r="H2677" s="76" t="n">
        <v>272950.435419178</v>
      </c>
      <c r="I2677" s="77" t="str">
        <f>H2677-F2677</f>
      </c>
      <c r="J2677" s="78" t="str">
        <f>G2677-E2677</f>
      </c>
    </row>
    <row r="2678">
      <c r="A2678" t="s">
        <v>76</v>
      </c>
      <c r="B2678" t="s">
        <v>427</v>
      </c>
      <c r="C2678" s="72" t="n">
        <v>2043</v>
      </c>
      <c r="D2678" t="s">
        <v>184</v>
      </c>
      <c r="E2678" s="73" t="n">
        <v>141365.259448668</v>
      </c>
      <c r="F2678" s="74" t="n">
        <v>95132.2759554527</v>
      </c>
      <c r="G2678" s="75" t="n">
        <v>146993.814208207</v>
      </c>
      <c r="H2678" s="76" t="n">
        <v>99271.3911680729</v>
      </c>
      <c r="I2678" s="77" t="str">
        <f>H2678-F2678</f>
      </c>
      <c r="J2678" s="78" t="str">
        <f>G2678-E2678</f>
      </c>
    </row>
    <row r="2679">
      <c r="A2679" t="s">
        <v>76</v>
      </c>
      <c r="B2679" t="s">
        <v>427</v>
      </c>
      <c r="C2679" s="72" t="n">
        <v>2043</v>
      </c>
      <c r="D2679" t="s">
        <v>187</v>
      </c>
      <c r="E2679" s="73" t="n">
        <v>443987.844883077</v>
      </c>
      <c r="F2679" s="74" t="n">
        <v>413164.90890941</v>
      </c>
      <c r="G2679" s="75" t="n">
        <v>471154.839580669</v>
      </c>
      <c r="H2679" s="76" t="n">
        <v>437679.988471842</v>
      </c>
      <c r="I2679" s="77" t="str">
        <f>H2679-F2679</f>
      </c>
      <c r="J2679" s="78" t="str">
        <f>G2679-E2679</f>
      </c>
    </row>
    <row r="2680">
      <c r="A2680" t="s">
        <v>76</v>
      </c>
      <c r="B2680" t="s">
        <v>427</v>
      </c>
      <c r="C2680" s="72" t="n">
        <v>2043</v>
      </c>
      <c r="D2680" t="s">
        <v>190</v>
      </c>
      <c r="E2680" s="73" t="n">
        <v>725342.465874511</v>
      </c>
      <c r="F2680" s="74" t="n">
        <v>471652.799135593</v>
      </c>
      <c r="G2680" s="75" t="n">
        <v>810014.772834319</v>
      </c>
      <c r="H2680" s="76" t="n">
        <v>512610.449179313</v>
      </c>
      <c r="I2680" s="77" t="str">
        <f>H2680-F2680</f>
      </c>
      <c r="J2680" s="78" t="str">
        <f>G2680-E2680</f>
      </c>
    </row>
    <row r="2681">
      <c r="A2681" t="s">
        <v>76</v>
      </c>
      <c r="B2681" t="s">
        <v>427</v>
      </c>
      <c r="C2681" s="72" t="n">
        <v>2043</v>
      </c>
      <c r="D2681" t="s">
        <v>193</v>
      </c>
      <c r="E2681" s="73" t="n">
        <v>582349.776184009</v>
      </c>
      <c r="F2681" s="74" t="n">
        <v>348916.836422557</v>
      </c>
      <c r="G2681" s="75" t="n">
        <v>623953.356494139</v>
      </c>
      <c r="H2681" s="76" t="n">
        <v>367959.059248153</v>
      </c>
      <c r="I2681" s="77" t="str">
        <f>H2681-F2681</f>
      </c>
      <c r="J2681" s="78" t="str">
        <f>G2681-E2681</f>
      </c>
    </row>
    <row r="2682">
      <c r="A2682" t="s">
        <v>76</v>
      </c>
      <c r="B2682" t="s">
        <v>427</v>
      </c>
      <c r="C2682" s="72" t="n">
        <v>2043</v>
      </c>
      <c r="D2682" t="s">
        <v>424</v>
      </c>
      <c r="E2682" s="73" t="n">
        <v>43262.807204073</v>
      </c>
      <c r="F2682" s="74" t="n">
        <v>7635.97078702786</v>
      </c>
      <c r="G2682" s="75" t="n">
        <v>43232.1385441846</v>
      </c>
      <c r="H2682" s="76" t="n">
        <v>7634.63809790975</v>
      </c>
      <c r="I2682" s="77" t="str">
        <f>H2682-F2682</f>
      </c>
      <c r="J2682" s="78" t="str">
        <f>G2682-E2682</f>
      </c>
    </row>
    <row r="2683">
      <c r="A2683" t="s">
        <v>76</v>
      </c>
      <c r="B2683" t="s">
        <v>427</v>
      </c>
      <c r="C2683" s="72" t="n">
        <v>2044</v>
      </c>
      <c r="D2683" t="s">
        <v>176</v>
      </c>
      <c r="E2683" s="73" t="n">
        <v>21522.5772277789</v>
      </c>
      <c r="F2683" s="74" t="n">
        <v>14986.472181004</v>
      </c>
      <c r="G2683" s="75" t="n">
        <v>21220.2473713984</v>
      </c>
      <c r="H2683" s="76" t="n">
        <v>14861.4315691186</v>
      </c>
      <c r="I2683" s="77" t="str">
        <f>H2683-F2683</f>
      </c>
      <c r="J2683" s="78" t="str">
        <f>G2683-E2683</f>
      </c>
    </row>
    <row r="2684">
      <c r="A2684" t="s">
        <v>76</v>
      </c>
      <c r="B2684" t="s">
        <v>427</v>
      </c>
      <c r="C2684" s="72" t="n">
        <v>2044</v>
      </c>
      <c r="D2684" t="s">
        <v>238</v>
      </c>
      <c r="E2684" s="73" t="n">
        <v>1182779.60033641</v>
      </c>
      <c r="F2684" s="74" t="n">
        <v>277700.998140083</v>
      </c>
      <c r="G2684" s="75" t="n">
        <v>1218988.4670045</v>
      </c>
      <c r="H2684" s="76" t="n">
        <v>280506.441535508</v>
      </c>
      <c r="I2684" s="77" t="str">
        <f>H2684-F2684</f>
      </c>
      <c r="J2684" s="78" t="str">
        <f>G2684-E2684</f>
      </c>
    </row>
    <row r="2685">
      <c r="A2685" t="s">
        <v>76</v>
      </c>
      <c r="B2685" t="s">
        <v>427</v>
      </c>
      <c r="C2685" s="72" t="n">
        <v>2044</v>
      </c>
      <c r="D2685" t="s">
        <v>184</v>
      </c>
      <c r="E2685" s="73" t="n">
        <v>144110.89663392</v>
      </c>
      <c r="F2685" s="74" t="n">
        <v>96939.1250611984</v>
      </c>
      <c r="G2685" s="75" t="n">
        <v>149696.213967301</v>
      </c>
      <c r="H2685" s="76" t="n">
        <v>101112.290089553</v>
      </c>
      <c r="I2685" s="77" t="str">
        <f>H2685-F2685</f>
      </c>
      <c r="J2685" s="78" t="str">
        <f>G2685-E2685</f>
      </c>
    </row>
    <row r="2686">
      <c r="A2686" t="s">
        <v>76</v>
      </c>
      <c r="B2686" t="s">
        <v>427</v>
      </c>
      <c r="C2686" s="72" t="n">
        <v>2044</v>
      </c>
      <c r="D2686" t="s">
        <v>187</v>
      </c>
      <c r="E2686" s="73" t="n">
        <v>450119.61591784</v>
      </c>
      <c r="F2686" s="74" t="n">
        <v>418869.86231892</v>
      </c>
      <c r="G2686" s="75" t="n">
        <v>477581.314836645</v>
      </c>
      <c r="H2686" s="76" t="n">
        <v>443800.637197395</v>
      </c>
      <c r="I2686" s="77" t="str">
        <f>H2686-F2686</f>
      </c>
      <c r="J2686" s="78" t="str">
        <f>G2686-E2686</f>
      </c>
    </row>
    <row r="2687">
      <c r="A2687" t="s">
        <v>76</v>
      </c>
      <c r="B2687" t="s">
        <v>427</v>
      </c>
      <c r="C2687" s="72" t="n">
        <v>2044</v>
      </c>
      <c r="D2687" t="s">
        <v>190</v>
      </c>
      <c r="E2687" s="73" t="n">
        <v>734507.163797535</v>
      </c>
      <c r="F2687" s="74" t="n">
        <v>478347.456032144</v>
      </c>
      <c r="G2687" s="75" t="n">
        <v>820742.370121934</v>
      </c>
      <c r="H2687" s="76" t="n">
        <v>521420.170330997</v>
      </c>
      <c r="I2687" s="77" t="str">
        <f>H2687-F2687</f>
      </c>
      <c r="J2687" s="78" t="str">
        <f>G2687-E2687</f>
      </c>
    </row>
    <row r="2688">
      <c r="A2688" t="s">
        <v>76</v>
      </c>
      <c r="B2688" t="s">
        <v>427</v>
      </c>
      <c r="C2688" s="72" t="n">
        <v>2044</v>
      </c>
      <c r="D2688" t="s">
        <v>193</v>
      </c>
      <c r="E2688" s="73" t="n">
        <v>592738.611797198</v>
      </c>
      <c r="F2688" s="74" t="n">
        <v>357918.622096387</v>
      </c>
      <c r="G2688" s="75" t="n">
        <v>635024.546467649</v>
      </c>
      <c r="H2688" s="76" t="n">
        <v>377918.589898958</v>
      </c>
      <c r="I2688" s="77" t="str">
        <f>H2688-F2688</f>
      </c>
      <c r="J2688" s="78" t="str">
        <f>G2688-E2688</f>
      </c>
    </row>
    <row r="2689">
      <c r="A2689" t="s">
        <v>76</v>
      </c>
      <c r="B2689" t="s">
        <v>427</v>
      </c>
      <c r="C2689" s="72" t="n">
        <v>2044</v>
      </c>
      <c r="D2689" t="s">
        <v>424</v>
      </c>
      <c r="E2689" s="73" t="n">
        <v>43236.6055083128</v>
      </c>
      <c r="F2689" s="74" t="n">
        <v>7654.26337206064</v>
      </c>
      <c r="G2689" s="75" t="n">
        <v>43202.6300388595</v>
      </c>
      <c r="H2689" s="76" t="n">
        <v>7652.72182573668</v>
      </c>
      <c r="I2689" s="77" t="str">
        <f>H2689-F2689</f>
      </c>
      <c r="J2689" s="78" t="str">
        <f>G2689-E2689</f>
      </c>
    </row>
    <row r="2690">
      <c r="A2690" t="s">
        <v>76</v>
      </c>
      <c r="B2690" t="s">
        <v>427</v>
      </c>
      <c r="C2690" s="72" t="n">
        <v>2045</v>
      </c>
      <c r="D2690" t="s">
        <v>176</v>
      </c>
      <c r="E2690" s="73" t="n">
        <v>22056.4279698749</v>
      </c>
      <c r="F2690" s="74" t="n">
        <v>15291.3979434269</v>
      </c>
      <c r="G2690" s="75" t="n">
        <v>21717.6165215297</v>
      </c>
      <c r="H2690" s="76" t="n">
        <v>15148.2979562423</v>
      </c>
      <c r="I2690" s="77" t="str">
        <f>H2690-F2690</f>
      </c>
      <c r="J2690" s="78" t="str">
        <f>G2690-E2690</f>
      </c>
    </row>
    <row r="2691">
      <c r="A2691" t="s">
        <v>76</v>
      </c>
      <c r="B2691" t="s">
        <v>427</v>
      </c>
      <c r="C2691" s="72" t="n">
        <v>2045</v>
      </c>
      <c r="D2691" t="s">
        <v>238</v>
      </c>
      <c r="E2691" s="73" t="n">
        <v>1187827.26514588</v>
      </c>
      <c r="F2691" s="74" t="n">
        <v>284869.51376397</v>
      </c>
      <c r="G2691" s="75" t="n">
        <v>1224668.96644768</v>
      </c>
      <c r="H2691" s="76" t="n">
        <v>287925.043222784</v>
      </c>
      <c r="I2691" s="77" t="str">
        <f>H2691-F2691</f>
      </c>
      <c r="J2691" s="78" t="str">
        <f>G2691-E2691</f>
      </c>
    </row>
    <row r="2692">
      <c r="A2692" t="s">
        <v>76</v>
      </c>
      <c r="B2692" t="s">
        <v>427</v>
      </c>
      <c r="C2692" s="72" t="n">
        <v>2045</v>
      </c>
      <c r="D2692" t="s">
        <v>184</v>
      </c>
      <c r="E2692" s="73" t="n">
        <v>146806.752835159</v>
      </c>
      <c r="F2692" s="74" t="n">
        <v>98738.591791396</v>
      </c>
      <c r="G2692" s="75" t="n">
        <v>152338.052815886</v>
      </c>
      <c r="H2692" s="76" t="n">
        <v>102935.314985138</v>
      </c>
      <c r="I2692" s="77" t="str">
        <f>H2692-F2692</f>
      </c>
      <c r="J2692" s="78" t="str">
        <f>G2692-E2692</f>
      </c>
    </row>
    <row r="2693">
      <c r="A2693" t="s">
        <v>76</v>
      </c>
      <c r="B2693" t="s">
        <v>427</v>
      </c>
      <c r="C2693" s="72" t="n">
        <v>2045</v>
      </c>
      <c r="D2693" t="s">
        <v>187</v>
      </c>
      <c r="E2693" s="73" t="n">
        <v>456007.39184442</v>
      </c>
      <c r="F2693" s="74" t="n">
        <v>424413.794452464</v>
      </c>
      <c r="G2693" s="75" t="n">
        <v>483723.516122198</v>
      </c>
      <c r="H2693" s="76" t="n">
        <v>449717.558047709</v>
      </c>
      <c r="I2693" s="77" t="str">
        <f>H2693-F2693</f>
      </c>
      <c r="J2693" s="78" t="str">
        <f>G2693-E2693</f>
      </c>
    </row>
    <row r="2694">
      <c r="A2694" t="s">
        <v>76</v>
      </c>
      <c r="B2694" t="s">
        <v>427</v>
      </c>
      <c r="C2694" s="72" t="n">
        <v>2045</v>
      </c>
      <c r="D2694" t="s">
        <v>190</v>
      </c>
      <c r="E2694" s="73" t="n">
        <v>743744.579879913</v>
      </c>
      <c r="F2694" s="74" t="n">
        <v>484893.216045157</v>
      </c>
      <c r="G2694" s="75" t="n">
        <v>831470.210098177</v>
      </c>
      <c r="H2694" s="76" t="n">
        <v>529994.226959208</v>
      </c>
      <c r="I2694" s="77" t="str">
        <f>H2694-F2694</f>
      </c>
      <c r="J2694" s="78" t="str">
        <f>G2694-E2694</f>
      </c>
    </row>
    <row r="2695">
      <c r="A2695" t="s">
        <v>76</v>
      </c>
      <c r="B2695" t="s">
        <v>427</v>
      </c>
      <c r="C2695" s="72" t="n">
        <v>2045</v>
      </c>
      <c r="D2695" t="s">
        <v>193</v>
      </c>
      <c r="E2695" s="73" t="n">
        <v>602834.067981797</v>
      </c>
      <c r="F2695" s="74" t="n">
        <v>366833.771312858</v>
      </c>
      <c r="G2695" s="75" t="n">
        <v>645730.44769896</v>
      </c>
      <c r="H2695" s="76" t="n">
        <v>387750.678781898</v>
      </c>
      <c r="I2695" s="77" t="str">
        <f>H2695-F2695</f>
      </c>
      <c r="J2695" s="78" t="str">
        <f>G2695-E2695</f>
      </c>
    </row>
    <row r="2696">
      <c r="A2696" t="s">
        <v>76</v>
      </c>
      <c r="B2696" t="s">
        <v>427</v>
      </c>
      <c r="C2696" s="72" t="n">
        <v>2045</v>
      </c>
      <c r="D2696" t="s">
        <v>424</v>
      </c>
      <c r="E2696" s="73" t="n">
        <v>43227.9925152706</v>
      </c>
      <c r="F2696" s="74" t="n">
        <v>7673.83471147269</v>
      </c>
      <c r="G2696" s="75" t="n">
        <v>43190.6037513161</v>
      </c>
      <c r="H2696" s="76" t="n">
        <v>7672.06822678464</v>
      </c>
      <c r="I2696" s="77" t="str">
        <f>H2696-F2696</f>
      </c>
      <c r="J2696" s="78" t="str">
        <f>G2696-E2696</f>
      </c>
    </row>
    <row r="2697">
      <c r="A2697" t="s">
        <v>76</v>
      </c>
      <c r="B2697" t="s">
        <v>427</v>
      </c>
      <c r="C2697" s="72" t="n">
        <v>2046</v>
      </c>
      <c r="D2697" t="s">
        <v>176</v>
      </c>
      <c r="E2697" s="73" t="n">
        <v>22588.3230331021</v>
      </c>
      <c r="F2697" s="74" t="n">
        <v>15599.3429753706</v>
      </c>
      <c r="G2697" s="75" t="n">
        <v>22210.9745219107</v>
      </c>
      <c r="H2697" s="76" t="n">
        <v>15436.8918612077</v>
      </c>
      <c r="I2697" s="77" t="str">
        <f>H2697-F2697</f>
      </c>
      <c r="J2697" s="78" t="str">
        <f>G2697-E2697</f>
      </c>
    </row>
    <row r="2698">
      <c r="A2698" t="s">
        <v>76</v>
      </c>
      <c r="B2698" t="s">
        <v>427</v>
      </c>
      <c r="C2698" s="72" t="n">
        <v>2046</v>
      </c>
      <c r="D2698" t="s">
        <v>238</v>
      </c>
      <c r="E2698" s="73" t="n">
        <v>1192728.5258887</v>
      </c>
      <c r="F2698" s="74" t="n">
        <v>291857.32353484</v>
      </c>
      <c r="G2698" s="75" t="n">
        <v>1230125.0687767</v>
      </c>
      <c r="H2698" s="76" t="n">
        <v>295165.877208802</v>
      </c>
      <c r="I2698" s="77" t="str">
        <f>H2698-F2698</f>
      </c>
      <c r="J2698" s="78" t="str">
        <f>G2698-E2698</f>
      </c>
    </row>
    <row r="2699">
      <c r="A2699" t="s">
        <v>76</v>
      </c>
      <c r="B2699" t="s">
        <v>427</v>
      </c>
      <c r="C2699" s="72" t="n">
        <v>2046</v>
      </c>
      <c r="D2699" t="s">
        <v>184</v>
      </c>
      <c r="E2699" s="73" t="n">
        <v>149452.708817463</v>
      </c>
      <c r="F2699" s="74" t="n">
        <v>100520.938871966</v>
      </c>
      <c r="G2699" s="75" t="n">
        <v>154919.185199882</v>
      </c>
      <c r="H2699" s="76" t="n">
        <v>104731.133984312</v>
      </c>
      <c r="I2699" s="77" t="str">
        <f>H2699-F2699</f>
      </c>
      <c r="J2699" s="78" t="str">
        <f>G2699-E2699</f>
      </c>
    </row>
    <row r="2700">
      <c r="A2700" t="s">
        <v>76</v>
      </c>
      <c r="B2700" t="s">
        <v>427</v>
      </c>
      <c r="C2700" s="72" t="n">
        <v>2046</v>
      </c>
      <c r="D2700" t="s">
        <v>187</v>
      </c>
      <c r="E2700" s="73" t="n">
        <v>461629.881832448</v>
      </c>
      <c r="F2700" s="74" t="n">
        <v>429681.004860421</v>
      </c>
      <c r="G2700" s="75" t="n">
        <v>489559.569488497</v>
      </c>
      <c r="H2700" s="76" t="n">
        <v>455310.080020589</v>
      </c>
      <c r="I2700" s="77" t="str">
        <f>H2700-F2700</f>
      </c>
      <c r="J2700" s="78" t="str">
        <f>G2700-E2700</f>
      </c>
    </row>
    <row r="2701">
      <c r="A2701" t="s">
        <v>76</v>
      </c>
      <c r="B2701" t="s">
        <v>427</v>
      </c>
      <c r="C2701" s="72" t="n">
        <v>2046</v>
      </c>
      <c r="D2701" t="s">
        <v>190</v>
      </c>
      <c r="E2701" s="73" t="n">
        <v>752895.55724118</v>
      </c>
      <c r="F2701" s="74" t="n">
        <v>491391.052363303</v>
      </c>
      <c r="G2701" s="75" t="n">
        <v>842022.211146035</v>
      </c>
      <c r="H2701" s="76" t="n">
        <v>538440.168228285</v>
      </c>
      <c r="I2701" s="77" t="str">
        <f>H2701-F2701</f>
      </c>
      <c r="J2701" s="78" t="str">
        <f>G2701-E2701</f>
      </c>
    </row>
    <row r="2702">
      <c r="A2702" t="s">
        <v>76</v>
      </c>
      <c r="B2702" t="s">
        <v>427</v>
      </c>
      <c r="C2702" s="72" t="n">
        <v>2046</v>
      </c>
      <c r="D2702" t="s">
        <v>193</v>
      </c>
      <c r="E2702" s="73" t="n">
        <v>612592.050830007</v>
      </c>
      <c r="F2702" s="74" t="n">
        <v>375641.729607915</v>
      </c>
      <c r="G2702" s="75" t="n">
        <v>656023.203848247</v>
      </c>
      <c r="H2702" s="76" t="n">
        <v>397431.950602612</v>
      </c>
      <c r="I2702" s="77" t="str">
        <f>H2702-F2702</f>
      </c>
      <c r="J2702" s="78" t="str">
        <f>G2702-E2702</f>
      </c>
    </row>
    <row r="2703">
      <c r="A2703" t="s">
        <v>76</v>
      </c>
      <c r="B2703" t="s">
        <v>427</v>
      </c>
      <c r="C2703" s="72" t="n">
        <v>2046</v>
      </c>
      <c r="D2703" t="s">
        <v>424</v>
      </c>
      <c r="E2703" s="73" t="n">
        <v>43237.2213319668</v>
      </c>
      <c r="F2703" s="74" t="n">
        <v>7695.56436518565</v>
      </c>
      <c r="G2703" s="75" t="n">
        <v>43196.3103231123</v>
      </c>
      <c r="H2703" s="76" t="n">
        <v>7693.55704865625</v>
      </c>
      <c r="I2703" s="77" t="str">
        <f>H2703-F2703</f>
      </c>
      <c r="J2703" s="78" t="str">
        <f>G2703-E2703</f>
      </c>
    </row>
    <row r="2704">
      <c r="A2704" t="s">
        <v>76</v>
      </c>
      <c r="B2704" t="s">
        <v>427</v>
      </c>
      <c r="C2704" s="72" t="n">
        <v>2047</v>
      </c>
      <c r="D2704" t="s">
        <v>176</v>
      </c>
      <c r="E2704" s="73" t="n">
        <v>23117.6066119012</v>
      </c>
      <c r="F2704" s="74" t="n">
        <v>15911.6662213583</v>
      </c>
      <c r="G2704" s="75" t="n">
        <v>22699.6629629007</v>
      </c>
      <c r="H2704" s="76" t="n">
        <v>15728.4854947303</v>
      </c>
      <c r="I2704" s="77" t="str">
        <f>H2704-F2704</f>
      </c>
      <c r="J2704" s="78" t="str">
        <f>G2704-E2704</f>
      </c>
    </row>
    <row r="2705">
      <c r="A2705" t="s">
        <v>76</v>
      </c>
      <c r="B2705" t="s">
        <v>427</v>
      </c>
      <c r="C2705" s="72" t="n">
        <v>2047</v>
      </c>
      <c r="D2705" t="s">
        <v>238</v>
      </c>
      <c r="E2705" s="73" t="n">
        <v>1197398.7010731</v>
      </c>
      <c r="F2705" s="74" t="n">
        <v>298617.518225677</v>
      </c>
      <c r="G2705" s="75" t="n">
        <v>1235274.66521773</v>
      </c>
      <c r="H2705" s="76" t="n">
        <v>302180.550312501</v>
      </c>
      <c r="I2705" s="77" t="str">
        <f>H2705-F2705</f>
      </c>
      <c r="J2705" s="78" t="str">
        <f>G2705-E2705</f>
      </c>
    </row>
    <row r="2706">
      <c r="A2706" t="s">
        <v>76</v>
      </c>
      <c r="B2706" t="s">
        <v>427</v>
      </c>
      <c r="C2706" s="72" t="n">
        <v>2047</v>
      </c>
      <c r="D2706" t="s">
        <v>184</v>
      </c>
      <c r="E2706" s="73" t="n">
        <v>152045.281606216</v>
      </c>
      <c r="F2706" s="74" t="n">
        <v>102273.84181129</v>
      </c>
      <c r="G2706" s="75" t="n">
        <v>157435.937342911</v>
      </c>
      <c r="H2706" s="76" t="n">
        <v>106487.677760342</v>
      </c>
      <c r="I2706" s="77" t="str">
        <f>H2706-F2706</f>
      </c>
      <c r="J2706" s="78" t="str">
        <f>G2706-E2706</f>
      </c>
    </row>
    <row r="2707">
      <c r="A2707" t="s">
        <v>76</v>
      </c>
      <c r="B2707" t="s">
        <v>427</v>
      </c>
      <c r="C2707" s="72" t="n">
        <v>2047</v>
      </c>
      <c r="D2707" t="s">
        <v>187</v>
      </c>
      <c r="E2707" s="73" t="n">
        <v>466947.102317543</v>
      </c>
      <c r="F2707" s="74" t="n">
        <v>434633.290479462</v>
      </c>
      <c r="G2707" s="75" t="n">
        <v>495047.331680699</v>
      </c>
      <c r="H2707" s="76" t="n">
        <v>460539.427749469</v>
      </c>
      <c r="I2707" s="77" t="str">
        <f>H2707-F2707</f>
      </c>
      <c r="J2707" s="78" t="str">
        <f>G2707-E2707</f>
      </c>
    </row>
    <row r="2708">
      <c r="A2708" t="s">
        <v>76</v>
      </c>
      <c r="B2708" t="s">
        <v>427</v>
      </c>
      <c r="C2708" s="72" t="n">
        <v>2047</v>
      </c>
      <c r="D2708" t="s">
        <v>190</v>
      </c>
      <c r="E2708" s="73" t="n">
        <v>761917.451717517</v>
      </c>
      <c r="F2708" s="74" t="n">
        <v>497966.183381095</v>
      </c>
      <c r="G2708" s="75" t="n">
        <v>852357.036896631</v>
      </c>
      <c r="H2708" s="76" t="n">
        <v>546892.884748123</v>
      </c>
      <c r="I2708" s="77" t="str">
        <f>H2708-F2708</f>
      </c>
      <c r="J2708" s="78" t="str">
        <f>G2708-E2708</f>
      </c>
    </row>
    <row r="2709">
      <c r="A2709" t="s">
        <v>76</v>
      </c>
      <c r="B2709" t="s">
        <v>427</v>
      </c>
      <c r="C2709" s="72" t="n">
        <v>2047</v>
      </c>
      <c r="D2709" t="s">
        <v>193</v>
      </c>
      <c r="E2709" s="73" t="n">
        <v>622066.705486366</v>
      </c>
      <c r="F2709" s="74" t="n">
        <v>384322.901859087</v>
      </c>
      <c r="G2709" s="75" t="n">
        <v>665960.530537607</v>
      </c>
      <c r="H2709" s="76" t="n">
        <v>406938.309858621</v>
      </c>
      <c r="I2709" s="77" t="str">
        <f>H2709-F2709</f>
      </c>
      <c r="J2709" s="78" t="str">
        <f>G2709-E2709</f>
      </c>
    </row>
    <row r="2710">
      <c r="A2710" t="s">
        <v>76</v>
      </c>
      <c r="B2710" t="s">
        <v>427</v>
      </c>
      <c r="C2710" s="72" t="n">
        <v>2047</v>
      </c>
      <c r="D2710" t="s">
        <v>424</v>
      </c>
      <c r="E2710" s="73" t="n">
        <v>43262.1813526022</v>
      </c>
      <c r="F2710" s="74" t="n">
        <v>7718.52848820119</v>
      </c>
      <c r="G2710" s="75" t="n">
        <v>43217.6341923504</v>
      </c>
      <c r="H2710" s="76" t="n">
        <v>7716.26452507886</v>
      </c>
      <c r="I2710" s="77" t="str">
        <f>H2710-F2710</f>
      </c>
      <c r="J2710" s="78" t="str">
        <f>G2710-E2710</f>
      </c>
    </row>
    <row r="2711">
      <c r="A2711" t="s">
        <v>76</v>
      </c>
      <c r="B2711" t="s">
        <v>427</v>
      </c>
      <c r="C2711" s="72" t="n">
        <v>2048</v>
      </c>
      <c r="D2711" t="s">
        <v>176</v>
      </c>
      <c r="E2711" s="73" t="n">
        <v>23640.2953662036</v>
      </c>
      <c r="F2711" s="74" t="n">
        <v>16230.409433556</v>
      </c>
      <c r="G2711" s="75" t="n">
        <v>23179.7775298232</v>
      </c>
      <c r="H2711" s="76" t="n">
        <v>16025.2187605858</v>
      </c>
      <c r="I2711" s="77" t="str">
        <f>H2711-F2711</f>
      </c>
      <c r="J2711" s="78" t="str">
        <f>G2711-E2711</f>
      </c>
    </row>
    <row r="2712">
      <c r="A2712" t="s">
        <v>76</v>
      </c>
      <c r="B2712" t="s">
        <v>427</v>
      </c>
      <c r="C2712" s="72" t="n">
        <v>2048</v>
      </c>
      <c r="D2712" t="s">
        <v>238</v>
      </c>
      <c r="E2712" s="73" t="n">
        <v>1201920.90536031</v>
      </c>
      <c r="F2712" s="74" t="n">
        <v>305145.998496706</v>
      </c>
      <c r="G2712" s="75" t="n">
        <v>1240209.10376068</v>
      </c>
      <c r="H2712" s="76" t="n">
        <v>308964.310377282</v>
      </c>
      <c r="I2712" s="77" t="str">
        <f>H2712-F2712</f>
      </c>
      <c r="J2712" s="78" t="str">
        <f>G2712-E2712</f>
      </c>
    </row>
    <row r="2713">
      <c r="A2713" t="s">
        <v>76</v>
      </c>
      <c r="B2713" t="s">
        <v>427</v>
      </c>
      <c r="C2713" s="72" t="n">
        <v>2048</v>
      </c>
      <c r="D2713" t="s">
        <v>184</v>
      </c>
      <c r="E2713" s="73" t="n">
        <v>154573.288918738</v>
      </c>
      <c r="F2713" s="74" t="n">
        <v>103996.825575981</v>
      </c>
      <c r="G2713" s="75" t="n">
        <v>159877.069557409</v>
      </c>
      <c r="H2713" s="76" t="n">
        <v>108205.309376064</v>
      </c>
      <c r="I2713" s="77" t="str">
        <f>H2713-F2713</f>
      </c>
      <c r="J2713" s="78" t="str">
        <f>G2713-E2713</f>
      </c>
    </row>
    <row r="2714">
      <c r="A2714" t="s">
        <v>76</v>
      </c>
      <c r="B2714" t="s">
        <v>427</v>
      </c>
      <c r="C2714" s="72" t="n">
        <v>2048</v>
      </c>
      <c r="D2714" t="s">
        <v>187</v>
      </c>
      <c r="E2714" s="73" t="n">
        <v>472018.81598126</v>
      </c>
      <c r="F2714" s="74" t="n">
        <v>439412.851016605</v>
      </c>
      <c r="G2714" s="75" t="n">
        <v>500251.963676638</v>
      </c>
      <c r="H2714" s="76" t="n">
        <v>465558.478994868</v>
      </c>
      <c r="I2714" s="77" t="str">
        <f>H2714-F2714</f>
      </c>
      <c r="J2714" s="78" t="str">
        <f>G2714-E2714</f>
      </c>
    </row>
    <row r="2715">
      <c r="A2715" t="s">
        <v>76</v>
      </c>
      <c r="B2715" t="s">
        <v>427</v>
      </c>
      <c r="C2715" s="72" t="n">
        <v>2048</v>
      </c>
      <c r="D2715" t="s">
        <v>190</v>
      </c>
      <c r="E2715" s="73" t="n">
        <v>770760.389881792</v>
      </c>
      <c r="F2715" s="74" t="n">
        <v>504496.365308935</v>
      </c>
      <c r="G2715" s="75" t="n">
        <v>862421.197666068</v>
      </c>
      <c r="H2715" s="76" t="n">
        <v>555219.254274076</v>
      </c>
      <c r="I2715" s="77" t="str">
        <f>H2715-F2715</f>
      </c>
      <c r="J2715" s="78" t="str">
        <f>G2715-E2715</f>
      </c>
    </row>
    <row r="2716">
      <c r="A2716" t="s">
        <v>76</v>
      </c>
      <c r="B2716" t="s">
        <v>427</v>
      </c>
      <c r="C2716" s="72" t="n">
        <v>2048</v>
      </c>
      <c r="D2716" t="s">
        <v>193</v>
      </c>
      <c r="E2716" s="73" t="n">
        <v>631251.32318725</v>
      </c>
      <c r="F2716" s="74" t="n">
        <v>392833.855638438</v>
      </c>
      <c r="G2716" s="75" t="n">
        <v>675538.067131439</v>
      </c>
      <c r="H2716" s="76" t="n">
        <v>416221.145643516</v>
      </c>
      <c r="I2716" s="77" t="str">
        <f>H2716-F2716</f>
      </c>
      <c r="J2716" s="78" t="str">
        <f>G2716-E2716</f>
      </c>
    </row>
    <row r="2717">
      <c r="A2717" t="s">
        <v>76</v>
      </c>
      <c r="B2717" t="s">
        <v>427</v>
      </c>
      <c r="C2717" s="72" t="n">
        <v>2048</v>
      </c>
      <c r="D2717" t="s">
        <v>424</v>
      </c>
      <c r="E2717" s="73" t="n">
        <v>43295.4041470092</v>
      </c>
      <c r="F2717" s="74" t="n">
        <v>7743.50521291949</v>
      </c>
      <c r="G2717" s="75" t="n">
        <v>43247.1165682685</v>
      </c>
      <c r="H2717" s="76" t="n">
        <v>7740.96823230914</v>
      </c>
      <c r="I2717" s="77" t="str">
        <f>H2717-F2717</f>
      </c>
      <c r="J2717" s="78" t="str">
        <f>G2717-E2717</f>
      </c>
    </row>
    <row r="2718">
      <c r="A2718" t="s">
        <v>76</v>
      </c>
      <c r="B2718" t="s">
        <v>427</v>
      </c>
      <c r="C2718" s="72" t="n">
        <v>2049</v>
      </c>
      <c r="D2718" t="s">
        <v>176</v>
      </c>
      <c r="E2718" s="73" t="n">
        <v>24155.2873084597</v>
      </c>
      <c r="F2718" s="74" t="n">
        <v>16551.0634075465</v>
      </c>
      <c r="G2718" s="75" t="n">
        <v>23650.3614840449</v>
      </c>
      <c r="H2718" s="76" t="n">
        <v>16322.61151708</v>
      </c>
      <c r="I2718" s="77" t="str">
        <f>H2718-F2718</f>
      </c>
      <c r="J2718" s="78" t="str">
        <f>G2718-E2718</f>
      </c>
    </row>
    <row r="2719">
      <c r="A2719" t="s">
        <v>76</v>
      </c>
      <c r="B2719" t="s">
        <v>427</v>
      </c>
      <c r="C2719" s="72" t="n">
        <v>2049</v>
      </c>
      <c r="D2719" t="s">
        <v>238</v>
      </c>
      <c r="E2719" s="73" t="n">
        <v>1206320.14464549</v>
      </c>
      <c r="F2719" s="74" t="n">
        <v>311455.036806672</v>
      </c>
      <c r="G2719" s="75" t="n">
        <v>1244958.37630862</v>
      </c>
      <c r="H2719" s="76" t="n">
        <v>315528.654574656</v>
      </c>
      <c r="I2719" s="77" t="str">
        <f>H2719-F2719</f>
      </c>
      <c r="J2719" s="78" t="str">
        <f>G2719-E2719</f>
      </c>
    </row>
    <row r="2720">
      <c r="A2720" t="s">
        <v>76</v>
      </c>
      <c r="B2720" t="s">
        <v>427</v>
      </c>
      <c r="C2720" s="72" t="n">
        <v>2049</v>
      </c>
      <c r="D2720" t="s">
        <v>184</v>
      </c>
      <c r="E2720" s="73" t="n">
        <v>157031.901376958</v>
      </c>
      <c r="F2720" s="74" t="n">
        <v>105687.536088708</v>
      </c>
      <c r="G2720" s="75" t="n">
        <v>162238.134685625</v>
      </c>
      <c r="H2720" s="76" t="n">
        <v>109882.371148655</v>
      </c>
      <c r="I2720" s="77" t="str">
        <f>H2720-F2720</f>
      </c>
      <c r="J2720" s="78" t="str">
        <f>G2720-E2720</f>
      </c>
    </row>
    <row r="2721">
      <c r="A2721" t="s">
        <v>76</v>
      </c>
      <c r="B2721" t="s">
        <v>427</v>
      </c>
      <c r="C2721" s="72" t="n">
        <v>2049</v>
      </c>
      <c r="D2721" t="s">
        <v>187</v>
      </c>
      <c r="E2721" s="73" t="n">
        <v>476883.429183972</v>
      </c>
      <c r="F2721" s="74" t="n">
        <v>444033.031006098</v>
      </c>
      <c r="G2721" s="75" t="n">
        <v>505215.900508139</v>
      </c>
      <c r="H2721" s="76" t="n">
        <v>470383.880162835</v>
      </c>
      <c r="I2721" s="77" t="str">
        <f>H2721-F2721</f>
      </c>
      <c r="J2721" s="78" t="str">
        <f>G2721-E2721</f>
      </c>
    </row>
    <row r="2722">
      <c r="A2722" t="s">
        <v>76</v>
      </c>
      <c r="B2722" t="s">
        <v>427</v>
      </c>
      <c r="C2722" s="72" t="n">
        <v>2049</v>
      </c>
      <c r="D2722" t="s">
        <v>190</v>
      </c>
      <c r="E2722" s="73" t="n">
        <v>779266.564231789</v>
      </c>
      <c r="F2722" s="74" t="n">
        <v>510909.095545805</v>
      </c>
      <c r="G2722" s="75" t="n">
        <v>872039.412561908</v>
      </c>
      <c r="H2722" s="76" t="n">
        <v>563337.765593671</v>
      </c>
      <c r="I2722" s="77" t="str">
        <f>H2722-F2722</f>
      </c>
      <c r="J2722" s="78" t="str">
        <f>G2722-E2722</f>
      </c>
    </row>
    <row r="2723">
      <c r="A2723" t="s">
        <v>76</v>
      </c>
      <c r="B2723" t="s">
        <v>427</v>
      </c>
      <c r="C2723" s="72" t="n">
        <v>2049</v>
      </c>
      <c r="D2723" t="s">
        <v>193</v>
      </c>
      <c r="E2723" s="73" t="n">
        <v>640183.475150644</v>
      </c>
      <c r="F2723" s="74" t="n">
        <v>401110.635526234</v>
      </c>
      <c r="G2723" s="75" t="n">
        <v>684799.519243418</v>
      </c>
      <c r="H2723" s="76" t="n">
        <v>425211.294806661</v>
      </c>
      <c r="I2723" s="77" t="str">
        <f>H2723-F2723</f>
      </c>
      <c r="J2723" s="78" t="str">
        <f>G2723-E2723</f>
      </c>
    </row>
    <row r="2724">
      <c r="A2724" t="s">
        <v>76</v>
      </c>
      <c r="B2724" t="s">
        <v>427</v>
      </c>
      <c r="C2724" s="72" t="n">
        <v>2049</v>
      </c>
      <c r="D2724" t="s">
        <v>424</v>
      </c>
      <c r="E2724" s="73" t="n">
        <v>43339.8117660328</v>
      </c>
      <c r="F2724" s="74" t="n">
        <v>7767.25174039374</v>
      </c>
      <c r="G2724" s="75" t="n">
        <v>43287.6941181752</v>
      </c>
      <c r="H2724" s="76" t="n">
        <v>7764.42505773382</v>
      </c>
      <c r="I2724" s="77" t="str">
        <f>H2724-F2724</f>
      </c>
      <c r="J2724" s="78" t="str">
        <f>G2724-E2724</f>
      </c>
    </row>
    <row r="2725">
      <c r="A2725" t="s">
        <v>76</v>
      </c>
      <c r="B2725" t="s">
        <v>427</v>
      </c>
      <c r="C2725" s="72" t="n">
        <v>2050</v>
      </c>
      <c r="D2725" t="s">
        <v>176</v>
      </c>
      <c r="E2725" s="73" t="n">
        <v>24661.4615152107</v>
      </c>
      <c r="F2725" s="74" t="n">
        <v>16871.8278550272</v>
      </c>
      <c r="G2725" s="75" t="n">
        <v>24110.4306261692</v>
      </c>
      <c r="H2725" s="76" t="n">
        <v>16618.9237091261</v>
      </c>
      <c r="I2725" s="77" t="str">
        <f>H2725-F2725</f>
      </c>
      <c r="J2725" s="78" t="str">
        <f>G2725-E2725</f>
      </c>
    </row>
    <row r="2726">
      <c r="A2726" t="s">
        <v>76</v>
      </c>
      <c r="B2726" t="s">
        <v>427</v>
      </c>
      <c r="C2726" s="72" t="n">
        <v>2050</v>
      </c>
      <c r="D2726" t="s">
        <v>238</v>
      </c>
      <c r="E2726" s="73" t="n">
        <v>1210642.91956977</v>
      </c>
      <c r="F2726" s="74" t="n">
        <v>317537.919863384</v>
      </c>
      <c r="G2726" s="75" t="n">
        <v>1249574.98129843</v>
      </c>
      <c r="H2726" s="76" t="n">
        <v>321866.145423905</v>
      </c>
      <c r="I2726" s="77" t="str">
        <f>H2726-F2726</f>
      </c>
      <c r="J2726" s="78" t="str">
        <f>G2726-E2726</f>
      </c>
    </row>
    <row r="2727">
      <c r="A2727" t="s">
        <v>76</v>
      </c>
      <c r="B2727" t="s">
        <v>427</v>
      </c>
      <c r="C2727" s="72" t="n">
        <v>2050</v>
      </c>
      <c r="D2727" t="s">
        <v>184</v>
      </c>
      <c r="E2727" s="73" t="n">
        <v>159428.105428801</v>
      </c>
      <c r="F2727" s="74" t="n">
        <v>107323.611084665</v>
      </c>
      <c r="G2727" s="75" t="n">
        <v>164526.94959842</v>
      </c>
      <c r="H2727" s="76" t="n">
        <v>111496.260054028</v>
      </c>
      <c r="I2727" s="77" t="str">
        <f>H2727-F2727</f>
      </c>
      <c r="J2727" s="78" t="str">
        <f>G2727-E2727</f>
      </c>
    </row>
    <row r="2728">
      <c r="A2728" t="s">
        <v>76</v>
      </c>
      <c r="B2728" t="s">
        <v>427</v>
      </c>
      <c r="C2728" s="72" t="n">
        <v>2050</v>
      </c>
      <c r="D2728" t="s">
        <v>187</v>
      </c>
      <c r="E2728" s="73" t="n">
        <v>481525.346201778</v>
      </c>
      <c r="F2728" s="74" t="n">
        <v>448376.947899158</v>
      </c>
      <c r="G2728" s="75" t="n">
        <v>509923.794653266</v>
      </c>
      <c r="H2728" s="76" t="n">
        <v>474893.254554943</v>
      </c>
      <c r="I2728" s="77" t="str">
        <f>H2728-F2728</f>
      </c>
      <c r="J2728" s="78" t="str">
        <f>G2728-E2728</f>
      </c>
    </row>
    <row r="2729">
      <c r="A2729" t="s">
        <v>76</v>
      </c>
      <c r="B2729" t="s">
        <v>427</v>
      </c>
      <c r="C2729" s="72" t="n">
        <v>2050</v>
      </c>
      <c r="D2729" t="s">
        <v>190</v>
      </c>
      <c r="E2729" s="73" t="n">
        <v>787439.327749354</v>
      </c>
      <c r="F2729" s="74" t="n">
        <v>517254.04934721</v>
      </c>
      <c r="G2729" s="75" t="n">
        <v>881220.210178615</v>
      </c>
      <c r="H2729" s="76" t="n">
        <v>571305.130665456</v>
      </c>
      <c r="I2729" s="77" t="str">
        <f>H2729-F2729</f>
      </c>
      <c r="J2729" s="78" t="str">
        <f>G2729-E2729</f>
      </c>
    </row>
    <row r="2730">
      <c r="A2730" t="s">
        <v>76</v>
      </c>
      <c r="B2730" t="s">
        <v>427</v>
      </c>
      <c r="C2730" s="72" t="n">
        <v>2050</v>
      </c>
      <c r="D2730" t="s">
        <v>193</v>
      </c>
      <c r="E2730" s="73" t="n">
        <v>648942.038864465</v>
      </c>
      <c r="F2730" s="74" t="n">
        <v>409171.993558925</v>
      </c>
      <c r="G2730" s="75" t="n">
        <v>693833.375810026</v>
      </c>
      <c r="H2730" s="76" t="n">
        <v>433928.116842437</v>
      </c>
      <c r="I2730" s="77" t="str">
        <f>H2730-F2730</f>
      </c>
      <c r="J2730" s="78" t="str">
        <f>G2730-E2730</f>
      </c>
    </row>
    <row r="2731">
      <c r="A2731" t="s">
        <v>76</v>
      </c>
      <c r="B2731" t="s">
        <v>427</v>
      </c>
      <c r="C2731" s="72" t="n">
        <v>2050</v>
      </c>
      <c r="D2731" t="s">
        <v>424</v>
      </c>
      <c r="E2731" s="73" t="n">
        <v>43393.35871387</v>
      </c>
      <c r="F2731" s="74" t="n">
        <v>7788.72541150034</v>
      </c>
      <c r="G2731" s="75" t="n">
        <v>43337.3340718481</v>
      </c>
      <c r="H2731" s="76" t="n">
        <v>7785.59251624651</v>
      </c>
      <c r="I2731" s="77" t="str">
        <f>H2731-F2731</f>
      </c>
      <c r="J2731" s="78" t="str">
        <f>G2731-E2731</f>
      </c>
    </row>
  </sheetData>
  <autoFilter ref="A1:J1"/>
  <pageMargins left="0.7" right="0.7" top="0.75" bottom="0.75" header="0.3" footer="0.3"/>
  <pageSetup paperSize="9"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7.71" hidden="0" customWidth="1"/>
    <col min="4" max="4" width="16.71" hidden="0" customWidth="1"/>
    <col min="5" max="5" width="20.71" hidden="0" customWidth="1"/>
    <col min="6" max="6" width="15.71" hidden="0" customWidth="1"/>
    <col min="7" max="7" width="12.71" hidden="0" customWidth="1"/>
    <col min="8" max="8" width="28.71" hidden="0" customWidth="1"/>
    <col min="9" max="9" width="29.71" hidden="0" customWidth="1"/>
    <col min="10" max="10" width="20.71" hidden="0" customWidth="1"/>
    <col min="11" max="11" width="15.71" hidden="0" customWidth="1"/>
    <col min="12" max="12" width="14.71" hidden="0" customWidth="1"/>
    <col min="13" max="13" width="14.71" hidden="0" customWidth="1"/>
    <col min="14" max="14" width="16.71" hidden="0" customWidth="1"/>
    <col min="15" max="15" width="14.71" hidden="0" customWidth="1"/>
    <col min="16" max="16" width="14.71" hidden="0" customWidth="1"/>
    <col min="17" max="17" width="22.71" hidden="0" customWidth="1"/>
    <col min="18" max="18" width="22.71" hidden="0" customWidth="1"/>
    <col min="19" max="19" width="25.71" hidden="0" customWidth="1"/>
    <col min="20" max="20" width="17.71" hidden="0" customWidth="1"/>
    <col min="21" max="21" width="20.71" hidden="0" customWidth="1"/>
    <col min="22" max="22" width="20.71" hidden="0" customWidth="1"/>
    <col min="23" max="23" width="23.71" hidden="0" customWidth="1"/>
    <col min="24" max="24" width="25.71" hidden="0" customWidth="1"/>
    <col min="25" max="25" width="12.71" hidden="0" customWidth="1"/>
    <col min="26" max="26" width="15.71" hidden="0" customWidth="1"/>
    <col min="27" max="27" width="24.71" hidden="0" customWidth="1"/>
  </cols>
  <sheetData>
    <row r="1" ht="28" customHeight="1">
      <c r="A1" s="1" t="s">
        <v>415</v>
      </c>
      <c r="B1" s="1" t="s">
        <v>28</v>
      </c>
      <c r="C1" s="1" t="s">
        <v>147</v>
      </c>
      <c r="D1" s="1" t="s">
        <v>364</v>
      </c>
      <c r="E1" s="1" t="s">
        <v>365</v>
      </c>
      <c r="F1" s="1" t="s">
        <v>164</v>
      </c>
      <c r="G1" s="1" t="s">
        <v>366</v>
      </c>
      <c r="H1" s="1" t="s">
        <v>369</v>
      </c>
      <c r="I1" s="1" t="s">
        <v>370</v>
      </c>
      <c r="J1" s="1" t="s">
        <v>371</v>
      </c>
      <c r="K1" s="1" t="s">
        <v>372</v>
      </c>
      <c r="L1" s="1" t="s">
        <v>428</v>
      </c>
      <c r="M1" s="1" t="s">
        <v>429</v>
      </c>
      <c r="N1" s="1" t="s">
        <v>430</v>
      </c>
      <c r="O1" s="1" t="s">
        <v>431</v>
      </c>
      <c r="P1" s="1" t="s">
        <v>432</v>
      </c>
      <c r="Q1" s="1" t="s">
        <v>433</v>
      </c>
      <c r="R1" s="1" t="s">
        <v>434</v>
      </c>
      <c r="S1" s="1" t="s">
        <v>435</v>
      </c>
      <c r="T1" s="1" t="s">
        <v>436</v>
      </c>
      <c r="U1" s="1" t="s">
        <v>437</v>
      </c>
      <c r="V1" s="1" t="s">
        <v>438</v>
      </c>
      <c r="W1" s="1" t="s">
        <v>439</v>
      </c>
      <c r="X1" s="1" t="s">
        <v>378</v>
      </c>
      <c r="Y1" s="1" t="s">
        <v>377</v>
      </c>
      <c r="Z1" s="1" t="s">
        <v>165</v>
      </c>
      <c r="AA1" s="1" t="s">
        <v>440</v>
      </c>
    </row>
    <row r="2">
      <c r="A2" t="s">
        <v>249</v>
      </c>
      <c r="B2" s="79" t="n">
        <v>2025</v>
      </c>
      <c r="C2" t="s">
        <v>249</v>
      </c>
      <c r="D2" s="80" t="s">
        <v>407</v>
      </c>
      <c r="E2" s="81" t="s">
        <v>408</v>
      </c>
      <c r="F2" s="82" t="s">
        <v>255</v>
      </c>
      <c r="G2" s="83" t="s">
        <v>384</v>
      </c>
      <c r="H2" s="84" t="s">
        <v>386</v>
      </c>
      <c r="I2" s="85" t="n">
        <v>1</v>
      </c>
      <c r="J2" s="86" t="n">
        <v>1</v>
      </c>
      <c r="K2" s="87" t="n">
        <v>0.004</v>
      </c>
      <c r="L2" s="88" t="n">
        <v>288000821.106462</v>
      </c>
      <c r="M2" s="89" t="n">
        <v>288000821.106462</v>
      </c>
      <c r="N2" s="90" t="str">
        <f>MIN(MAX((B2-'Calculation_Assumptions'!$B$5+1)/'Calculation_Assumptions'!$B$7,0),1)</f>
      </c>
      <c r="O2" s="91" t="str">
        <f>L2*I2</f>
      </c>
      <c r="P2" s="92" t="str">
        <f>M2*I2</f>
      </c>
      <c r="Q2" s="93" t="str">
        <f>P2*'Calculation_Assumptions'!$B$14*J2*K2</f>
      </c>
      <c r="R2" s="94" t="str">
        <f>O2*N2*J2*K2</f>
      </c>
      <c r="S2" s="95" t="str">
        <f>R2-Q2</f>
      </c>
      <c r="T2" s="96" t="str">
        <f>1/(1+'Calculation_Assumptions'!$B$8)^(B2-'Calculation_Assumptions'!$B$2)</f>
      </c>
      <c r="U2" s="97" t="str">
        <f>Q2*T2</f>
      </c>
      <c r="V2" s="98" t="str">
        <f>R2*T2</f>
      </c>
      <c r="W2" s="99" t="str">
        <f>S2*T2</f>
      </c>
      <c r="X2" t="n">
        <v>0</v>
      </c>
      <c r="Y2" s="100" t="n">
        <v>2017</v>
      </c>
      <c r="Z2" t="s">
        <v>389</v>
      </c>
      <c r="AA2" s="101" t="str">
        <f>IF(G2="shared-count-once",COUNTIFS($A$2:$A$807,A2,$B$2:$B$807,B2,$D$2:$D$807,D2),1)</f>
      </c>
    </row>
    <row r="3">
      <c r="A3" t="s">
        <v>249</v>
      </c>
      <c r="B3" s="79" t="n">
        <v>2026</v>
      </c>
      <c r="C3" t="s">
        <v>249</v>
      </c>
      <c r="D3" s="80" t="s">
        <v>407</v>
      </c>
      <c r="E3" s="81" t="s">
        <v>408</v>
      </c>
      <c r="F3" s="82" t="s">
        <v>255</v>
      </c>
      <c r="G3" s="83" t="s">
        <v>384</v>
      </c>
      <c r="H3" s="84" t="s">
        <v>386</v>
      </c>
      <c r="I3" s="85" t="n">
        <v>1</v>
      </c>
      <c r="J3" s="86" t="n">
        <v>1</v>
      </c>
      <c r="K3" s="87" t="n">
        <v>0.004</v>
      </c>
      <c r="L3" s="88" t="n">
        <v>290123496.103219</v>
      </c>
      <c r="M3" s="89" t="n">
        <v>290123496.103219</v>
      </c>
      <c r="N3" s="90" t="str">
        <f>MIN(MAX((B3-'Calculation_Assumptions'!$B$5+1)/'Calculation_Assumptions'!$B$7,0),1)</f>
      </c>
      <c r="O3" s="91" t="str">
        <f>L3*I3</f>
      </c>
      <c r="P3" s="92" t="str">
        <f>M3*I3</f>
      </c>
      <c r="Q3" s="93" t="str">
        <f>P3*'Calculation_Assumptions'!$B$14*J3*K3</f>
      </c>
      <c r="R3" s="94" t="str">
        <f>O3*N3*J3*K3</f>
      </c>
      <c r="S3" s="95" t="str">
        <f>R3-Q3</f>
      </c>
      <c r="T3" s="96" t="str">
        <f>1/(1+'Calculation_Assumptions'!$B$8)^(B3-'Calculation_Assumptions'!$B$2)</f>
      </c>
      <c r="U3" s="97" t="str">
        <f>Q3*T3</f>
      </c>
      <c r="V3" s="98" t="str">
        <f>R3*T3</f>
      </c>
      <c r="W3" s="99" t="str">
        <f>S3*T3</f>
      </c>
      <c r="X3" t="n">
        <v>0</v>
      </c>
      <c r="Y3" s="100" t="n">
        <v>2017</v>
      </c>
      <c r="Z3" t="s">
        <v>389</v>
      </c>
      <c r="AA3" s="101" t="str">
        <f>IF(G3="shared-count-once",COUNTIFS($A$2:$A$807,A3,$B$2:$B$807,B3,$D$2:$D$807,D3),1)</f>
      </c>
    </row>
    <row r="4">
      <c r="A4" t="s">
        <v>249</v>
      </c>
      <c r="B4" s="79" t="n">
        <v>2027</v>
      </c>
      <c r="C4" t="s">
        <v>249</v>
      </c>
      <c r="D4" s="80" t="s">
        <v>407</v>
      </c>
      <c r="E4" s="81" t="s">
        <v>408</v>
      </c>
      <c r="F4" s="82" t="s">
        <v>255</v>
      </c>
      <c r="G4" s="83" t="s">
        <v>384</v>
      </c>
      <c r="H4" s="84" t="s">
        <v>386</v>
      </c>
      <c r="I4" s="85" t="n">
        <v>1</v>
      </c>
      <c r="J4" s="86" t="n">
        <v>1</v>
      </c>
      <c r="K4" s="87" t="n">
        <v>0.004</v>
      </c>
      <c r="L4" s="88" t="n">
        <v>292252895.096956</v>
      </c>
      <c r="M4" s="89" t="n">
        <v>292252895.096956</v>
      </c>
      <c r="N4" s="90" t="str">
        <f>MIN(MAX((B4-'Calculation_Assumptions'!$B$5+1)/'Calculation_Assumptions'!$B$7,0),1)</f>
      </c>
      <c r="O4" s="91" t="str">
        <f>L4*I4</f>
      </c>
      <c r="P4" s="92" t="str">
        <f>M4*I4</f>
      </c>
      <c r="Q4" s="93" t="str">
        <f>P4*'Calculation_Assumptions'!$B$14*J4*K4</f>
      </c>
      <c r="R4" s="94" t="str">
        <f>O4*N4*J4*K4</f>
      </c>
      <c r="S4" s="95" t="str">
        <f>R4-Q4</f>
      </c>
      <c r="T4" s="96" t="str">
        <f>1/(1+'Calculation_Assumptions'!$B$8)^(B4-'Calculation_Assumptions'!$B$2)</f>
      </c>
      <c r="U4" s="97" t="str">
        <f>Q4*T4</f>
      </c>
      <c r="V4" s="98" t="str">
        <f>R4*T4</f>
      </c>
      <c r="W4" s="99" t="str">
        <f>S4*T4</f>
      </c>
      <c r="X4" t="n">
        <v>0</v>
      </c>
      <c r="Y4" s="100" t="n">
        <v>2017</v>
      </c>
      <c r="Z4" t="s">
        <v>389</v>
      </c>
      <c r="AA4" s="101" t="str">
        <f>IF(G4="shared-count-once",COUNTIFS($A$2:$A$807,A4,$B$2:$B$807,B4,$D$2:$D$807,D4),1)</f>
      </c>
    </row>
    <row r="5">
      <c r="A5" t="s">
        <v>249</v>
      </c>
      <c r="B5" s="79" t="n">
        <v>2028</v>
      </c>
      <c r="C5" t="s">
        <v>249</v>
      </c>
      <c r="D5" s="80" t="s">
        <v>407</v>
      </c>
      <c r="E5" s="81" t="s">
        <v>408</v>
      </c>
      <c r="F5" s="82" t="s">
        <v>255</v>
      </c>
      <c r="G5" s="83" t="s">
        <v>384</v>
      </c>
      <c r="H5" s="84" t="s">
        <v>386</v>
      </c>
      <c r="I5" s="85" t="n">
        <v>1</v>
      </c>
      <c r="J5" s="86" t="n">
        <v>1</v>
      </c>
      <c r="K5" s="87" t="n">
        <v>0.004</v>
      </c>
      <c r="L5" s="88" t="n">
        <v>294314895.305465</v>
      </c>
      <c r="M5" s="89" t="n">
        <v>294314895.305465</v>
      </c>
      <c r="N5" s="90" t="str">
        <f>MIN(MAX((B5-'Calculation_Assumptions'!$B$5+1)/'Calculation_Assumptions'!$B$7,0),1)</f>
      </c>
      <c r="O5" s="91" t="str">
        <f>L5*I5</f>
      </c>
      <c r="P5" s="92" t="str">
        <f>M5*I5</f>
      </c>
      <c r="Q5" s="93" t="str">
        <f>P5*'Calculation_Assumptions'!$B$14*J5*K5</f>
      </c>
      <c r="R5" s="94" t="str">
        <f>O5*N5*J5*K5</f>
      </c>
      <c r="S5" s="95" t="str">
        <f>R5-Q5</f>
      </c>
      <c r="T5" s="96" t="str">
        <f>1/(1+'Calculation_Assumptions'!$B$8)^(B5-'Calculation_Assumptions'!$B$2)</f>
      </c>
      <c r="U5" s="97" t="str">
        <f>Q5*T5</f>
      </c>
      <c r="V5" s="98" t="str">
        <f>R5*T5</f>
      </c>
      <c r="W5" s="99" t="str">
        <f>S5*T5</f>
      </c>
      <c r="X5" t="n">
        <v>0</v>
      </c>
      <c r="Y5" s="100" t="n">
        <v>2017</v>
      </c>
      <c r="Z5" t="s">
        <v>389</v>
      </c>
      <c r="AA5" s="101" t="str">
        <f>IF(G5="shared-count-once",COUNTIFS($A$2:$A$807,A5,$B$2:$B$807,B5,$D$2:$D$807,D5),1)</f>
      </c>
    </row>
    <row r="6">
      <c r="A6" t="s">
        <v>249</v>
      </c>
      <c r="B6" s="79" t="n">
        <v>2029</v>
      </c>
      <c r="C6" t="s">
        <v>249</v>
      </c>
      <c r="D6" s="80" t="s">
        <v>407</v>
      </c>
      <c r="E6" s="81" t="s">
        <v>408</v>
      </c>
      <c r="F6" s="82" t="s">
        <v>255</v>
      </c>
      <c r="G6" s="83" t="s">
        <v>384</v>
      </c>
      <c r="H6" s="84" t="s">
        <v>386</v>
      </c>
      <c r="I6" s="85" t="n">
        <v>1</v>
      </c>
      <c r="J6" s="86" t="n">
        <v>1</v>
      </c>
      <c r="K6" s="87" t="n">
        <v>0.004</v>
      </c>
      <c r="L6" s="88" t="n">
        <v>296341457.625544</v>
      </c>
      <c r="M6" s="89" t="n">
        <v>296341062.542853</v>
      </c>
      <c r="N6" s="90" t="str">
        <f>MIN(MAX((B6-'Calculation_Assumptions'!$B$5+1)/'Calculation_Assumptions'!$B$7,0),1)</f>
      </c>
      <c r="O6" s="91" t="str">
        <f>L6*I6</f>
      </c>
      <c r="P6" s="92" t="str">
        <f>M6*I6</f>
      </c>
      <c r="Q6" s="93" t="str">
        <f>P6*'Calculation_Assumptions'!$B$14*J6*K6</f>
      </c>
      <c r="R6" s="94" t="str">
        <f>O6*N6*J6*K6</f>
      </c>
      <c r="S6" s="95" t="str">
        <f>R6-Q6</f>
      </c>
      <c r="T6" s="96" t="str">
        <f>1/(1+'Calculation_Assumptions'!$B$8)^(B6-'Calculation_Assumptions'!$B$2)</f>
      </c>
      <c r="U6" s="97" t="str">
        <f>Q6*T6</f>
      </c>
      <c r="V6" s="98" t="str">
        <f>R6*T6</f>
      </c>
      <c r="W6" s="99" t="str">
        <f>S6*T6</f>
      </c>
      <c r="X6" t="n">
        <v>0</v>
      </c>
      <c r="Y6" s="100" t="n">
        <v>2017</v>
      </c>
      <c r="Z6" t="s">
        <v>389</v>
      </c>
      <c r="AA6" s="101" t="str">
        <f>IF(G6="shared-count-once",COUNTIFS($A$2:$A$807,A6,$B$2:$B$807,B6,$D$2:$D$807,D6),1)</f>
      </c>
    </row>
    <row r="7">
      <c r="A7" t="s">
        <v>249</v>
      </c>
      <c r="B7" s="79" t="n">
        <v>2030</v>
      </c>
      <c r="C7" t="s">
        <v>249</v>
      </c>
      <c r="D7" s="80" t="s">
        <v>407</v>
      </c>
      <c r="E7" s="81" t="s">
        <v>408</v>
      </c>
      <c r="F7" s="82" t="s">
        <v>255</v>
      </c>
      <c r="G7" s="83" t="s">
        <v>384</v>
      </c>
      <c r="H7" s="84" t="s">
        <v>386</v>
      </c>
      <c r="I7" s="85" t="n">
        <v>1</v>
      </c>
      <c r="J7" s="86" t="n">
        <v>1</v>
      </c>
      <c r="K7" s="87" t="n">
        <v>0.004</v>
      </c>
      <c r="L7" s="88" t="n">
        <v>298224200.9207</v>
      </c>
      <c r="M7" s="89" t="n">
        <v>298280286.057263</v>
      </c>
      <c r="N7" s="90" t="str">
        <f>MIN(MAX((B7-'Calculation_Assumptions'!$B$5+1)/'Calculation_Assumptions'!$B$7,0),1)</f>
      </c>
      <c r="O7" s="91" t="str">
        <f>L7*I7</f>
      </c>
      <c r="P7" s="92" t="str">
        <f>M7*I7</f>
      </c>
      <c r="Q7" s="93" t="str">
        <f>P7*'Calculation_Assumptions'!$B$14*J7*K7</f>
      </c>
      <c r="R7" s="94" t="str">
        <f>O7*N7*J7*K7</f>
      </c>
      <c r="S7" s="95" t="str">
        <f>R7-Q7</f>
      </c>
      <c r="T7" s="96" t="str">
        <f>1/(1+'Calculation_Assumptions'!$B$8)^(B7-'Calculation_Assumptions'!$B$2)</f>
      </c>
      <c r="U7" s="97" t="str">
        <f>Q7*T7</f>
      </c>
      <c r="V7" s="98" t="str">
        <f>R7*T7</f>
      </c>
      <c r="W7" s="99" t="str">
        <f>S7*T7</f>
      </c>
      <c r="X7" t="n">
        <v>0</v>
      </c>
      <c r="Y7" s="100" t="n">
        <v>2017</v>
      </c>
      <c r="Z7" t="s">
        <v>389</v>
      </c>
      <c r="AA7" s="101" t="str">
        <f>IF(G7="shared-count-once",COUNTIFS($A$2:$A$807,A7,$B$2:$B$807,B7,$D$2:$D$807,D7),1)</f>
      </c>
    </row>
    <row r="8">
      <c r="A8" t="s">
        <v>249</v>
      </c>
      <c r="B8" s="79" t="n">
        <v>2031</v>
      </c>
      <c r="C8" t="s">
        <v>249</v>
      </c>
      <c r="D8" s="80" t="s">
        <v>407</v>
      </c>
      <c r="E8" s="81" t="s">
        <v>408</v>
      </c>
      <c r="F8" s="82" t="s">
        <v>255</v>
      </c>
      <c r="G8" s="83" t="s">
        <v>384</v>
      </c>
      <c r="H8" s="84" t="s">
        <v>386</v>
      </c>
      <c r="I8" s="85" t="n">
        <v>1</v>
      </c>
      <c r="J8" s="86" t="n">
        <v>1</v>
      </c>
      <c r="K8" s="87" t="n">
        <v>0.004</v>
      </c>
      <c r="L8" s="88" t="n">
        <v>300090773.688233</v>
      </c>
      <c r="M8" s="89" t="n">
        <v>300152603.254782</v>
      </c>
      <c r="N8" s="90" t="str">
        <f>MIN(MAX((B8-'Calculation_Assumptions'!$B$5+1)/'Calculation_Assumptions'!$B$7,0),1)</f>
      </c>
      <c r="O8" s="91" t="str">
        <f>L8*I8</f>
      </c>
      <c r="P8" s="92" t="str">
        <f>M8*I8</f>
      </c>
      <c r="Q8" s="93" t="str">
        <f>P8*'Calculation_Assumptions'!$B$14*J8*K8</f>
      </c>
      <c r="R8" s="94" t="str">
        <f>O8*N8*J8*K8</f>
      </c>
      <c r="S8" s="95" t="str">
        <f>R8-Q8</f>
      </c>
      <c r="T8" s="96" t="str">
        <f>1/(1+'Calculation_Assumptions'!$B$8)^(B8-'Calculation_Assumptions'!$B$2)</f>
      </c>
      <c r="U8" s="97" t="str">
        <f>Q8*T8</f>
      </c>
      <c r="V8" s="98" t="str">
        <f>R8*T8</f>
      </c>
      <c r="W8" s="99" t="str">
        <f>S8*T8</f>
      </c>
      <c r="X8" t="n">
        <v>0</v>
      </c>
      <c r="Y8" s="100" t="n">
        <v>2017</v>
      </c>
      <c r="Z8" t="s">
        <v>389</v>
      </c>
      <c r="AA8" s="101" t="str">
        <f>IF(G8="shared-count-once",COUNTIFS($A$2:$A$807,A8,$B$2:$B$807,B8,$D$2:$D$807,D8),1)</f>
      </c>
    </row>
    <row r="9">
      <c r="A9" t="s">
        <v>249</v>
      </c>
      <c r="B9" s="79" t="n">
        <v>2032</v>
      </c>
      <c r="C9" t="s">
        <v>249</v>
      </c>
      <c r="D9" s="80" t="s">
        <v>407</v>
      </c>
      <c r="E9" s="81" t="s">
        <v>408</v>
      </c>
      <c r="F9" s="82" t="s">
        <v>255</v>
      </c>
      <c r="G9" s="83" t="s">
        <v>384</v>
      </c>
      <c r="H9" s="84" t="s">
        <v>386</v>
      </c>
      <c r="I9" s="85" t="n">
        <v>1</v>
      </c>
      <c r="J9" s="86" t="n">
        <v>1</v>
      </c>
      <c r="K9" s="87" t="n">
        <v>0.004</v>
      </c>
      <c r="L9" s="88" t="n">
        <v>301892374.078408</v>
      </c>
      <c r="M9" s="89" t="n">
        <v>301959399.633888</v>
      </c>
      <c r="N9" s="90" t="str">
        <f>MIN(MAX((B9-'Calculation_Assumptions'!$B$5+1)/'Calculation_Assumptions'!$B$7,0),1)</f>
      </c>
      <c r="O9" s="91" t="str">
        <f>L9*I9</f>
      </c>
      <c r="P9" s="92" t="str">
        <f>M9*I9</f>
      </c>
      <c r="Q9" s="93" t="str">
        <f>P9*'Calculation_Assumptions'!$B$14*J9*K9</f>
      </c>
      <c r="R9" s="94" t="str">
        <f>O9*N9*J9*K9</f>
      </c>
      <c r="S9" s="95" t="str">
        <f>R9-Q9</f>
      </c>
      <c r="T9" s="96" t="str">
        <f>1/(1+'Calculation_Assumptions'!$B$8)^(B9-'Calculation_Assumptions'!$B$2)</f>
      </c>
      <c r="U9" s="97" t="str">
        <f>Q9*T9</f>
      </c>
      <c r="V9" s="98" t="str">
        <f>R9*T9</f>
      </c>
      <c r="W9" s="99" t="str">
        <f>S9*T9</f>
      </c>
      <c r="X9" t="n">
        <v>0</v>
      </c>
      <c r="Y9" s="100" t="n">
        <v>2017</v>
      </c>
      <c r="Z9" t="s">
        <v>389</v>
      </c>
      <c r="AA9" s="101" t="str">
        <f>IF(G9="shared-count-once",COUNTIFS($A$2:$A$807,A9,$B$2:$B$807,B9,$D$2:$D$807,D9),1)</f>
      </c>
    </row>
    <row r="10">
      <c r="A10" t="s">
        <v>249</v>
      </c>
      <c r="B10" s="79" t="n">
        <v>2033</v>
      </c>
      <c r="C10" t="s">
        <v>249</v>
      </c>
      <c r="D10" s="80" t="s">
        <v>407</v>
      </c>
      <c r="E10" s="81" t="s">
        <v>408</v>
      </c>
      <c r="F10" s="82" t="s">
        <v>255</v>
      </c>
      <c r="G10" s="83" t="s">
        <v>384</v>
      </c>
      <c r="H10" s="84" t="s">
        <v>386</v>
      </c>
      <c r="I10" s="85" t="n">
        <v>1</v>
      </c>
      <c r="J10" s="86" t="n">
        <v>1</v>
      </c>
      <c r="K10" s="87" t="n">
        <v>0.004</v>
      </c>
      <c r="L10" s="88" t="n">
        <v>303629558.764231</v>
      </c>
      <c r="M10" s="89" t="n">
        <v>303701035.202051</v>
      </c>
      <c r="N10" s="90" t="str">
        <f>MIN(MAX((B10-'Calculation_Assumptions'!$B$5+1)/'Calculation_Assumptions'!$B$7,0),1)</f>
      </c>
      <c r="O10" s="91" t="str">
        <f>L10*I10</f>
      </c>
      <c r="P10" s="92" t="str">
        <f>M10*I10</f>
      </c>
      <c r="Q10" s="93" t="str">
        <f>P10*'Calculation_Assumptions'!$B$14*J10*K10</f>
      </c>
      <c r="R10" s="94" t="str">
        <f>O10*N10*J10*K10</f>
      </c>
      <c r="S10" s="95" t="str">
        <f>R10-Q10</f>
      </c>
      <c r="T10" s="96" t="str">
        <f>1/(1+'Calculation_Assumptions'!$B$8)^(B10-'Calculation_Assumptions'!$B$2)</f>
      </c>
      <c r="U10" s="97" t="str">
        <f>Q10*T10</f>
      </c>
      <c r="V10" s="98" t="str">
        <f>R10*T10</f>
      </c>
      <c r="W10" s="99" t="str">
        <f>S10*T10</f>
      </c>
      <c r="X10" t="n">
        <v>0</v>
      </c>
      <c r="Y10" s="100" t="n">
        <v>2017</v>
      </c>
      <c r="Z10" t="s">
        <v>389</v>
      </c>
      <c r="AA10" s="101" t="str">
        <f>IF(G10="shared-count-once",COUNTIFS($A$2:$A$807,A10,$B$2:$B$807,B10,$D$2:$D$807,D10),1)</f>
      </c>
    </row>
    <row r="11">
      <c r="A11" t="s">
        <v>249</v>
      </c>
      <c r="B11" s="79" t="n">
        <v>2034</v>
      </c>
      <c r="C11" t="s">
        <v>249</v>
      </c>
      <c r="D11" s="80" t="s">
        <v>407</v>
      </c>
      <c r="E11" s="81" t="s">
        <v>408</v>
      </c>
      <c r="F11" s="82" t="s">
        <v>255</v>
      </c>
      <c r="G11" s="83" t="s">
        <v>384</v>
      </c>
      <c r="H11" s="84" t="s">
        <v>386</v>
      </c>
      <c r="I11" s="85" t="n">
        <v>1</v>
      </c>
      <c r="J11" s="86" t="n">
        <v>1</v>
      </c>
      <c r="K11" s="87" t="n">
        <v>0.004</v>
      </c>
      <c r="L11" s="88" t="n">
        <v>305303138.071582</v>
      </c>
      <c r="M11" s="89" t="n">
        <v>305377998.093319</v>
      </c>
      <c r="N11" s="90" t="str">
        <f>MIN(MAX((B11-'Calculation_Assumptions'!$B$5+1)/'Calculation_Assumptions'!$B$7,0),1)</f>
      </c>
      <c r="O11" s="91" t="str">
        <f>L11*I11</f>
      </c>
      <c r="P11" s="92" t="str">
        <f>M11*I11</f>
      </c>
      <c r="Q11" s="93" t="str">
        <f>P11*'Calculation_Assumptions'!$B$14*J11*K11</f>
      </c>
      <c r="R11" s="94" t="str">
        <f>O11*N11*J11*K11</f>
      </c>
      <c r="S11" s="95" t="str">
        <f>R11-Q11</f>
      </c>
      <c r="T11" s="96" t="str">
        <f>1/(1+'Calculation_Assumptions'!$B$8)^(B11-'Calculation_Assumptions'!$B$2)</f>
      </c>
      <c r="U11" s="97" t="str">
        <f>Q11*T11</f>
      </c>
      <c r="V11" s="98" t="str">
        <f>R11*T11</f>
      </c>
      <c r="W11" s="99" t="str">
        <f>S11*T11</f>
      </c>
      <c r="X11" t="n">
        <v>0</v>
      </c>
      <c r="Y11" s="100" t="n">
        <v>2017</v>
      </c>
      <c r="Z11" t="s">
        <v>389</v>
      </c>
      <c r="AA11" s="101" t="str">
        <f>IF(G11="shared-count-once",COUNTIFS($A$2:$A$807,A11,$B$2:$B$807,B11,$D$2:$D$807,D11),1)</f>
      </c>
    </row>
    <row r="12">
      <c r="A12" t="s">
        <v>249</v>
      </c>
      <c r="B12" s="79" t="n">
        <v>2035</v>
      </c>
      <c r="C12" t="s">
        <v>249</v>
      </c>
      <c r="D12" s="80" t="s">
        <v>407</v>
      </c>
      <c r="E12" s="81" t="s">
        <v>408</v>
      </c>
      <c r="F12" s="82" t="s">
        <v>255</v>
      </c>
      <c r="G12" s="83" t="s">
        <v>384</v>
      </c>
      <c r="H12" s="84" t="s">
        <v>386</v>
      </c>
      <c r="I12" s="85" t="n">
        <v>1</v>
      </c>
      <c r="J12" s="86" t="n">
        <v>1</v>
      </c>
      <c r="K12" s="87" t="n">
        <v>0.004</v>
      </c>
      <c r="L12" s="88" t="n">
        <v>306912334.724575</v>
      </c>
      <c r="M12" s="89" t="n">
        <v>306989258.29407</v>
      </c>
      <c r="N12" s="90" t="str">
        <f>MIN(MAX((B12-'Calculation_Assumptions'!$B$5+1)/'Calculation_Assumptions'!$B$7,0),1)</f>
      </c>
      <c r="O12" s="91" t="str">
        <f>L12*I12</f>
      </c>
      <c r="P12" s="92" t="str">
        <f>M12*I12</f>
      </c>
      <c r="Q12" s="93" t="str">
        <f>P12*'Calculation_Assumptions'!$B$14*J12*K12</f>
      </c>
      <c r="R12" s="94" t="str">
        <f>O12*N12*J12*K12</f>
      </c>
      <c r="S12" s="95" t="str">
        <f>R12-Q12</f>
      </c>
      <c r="T12" s="96" t="str">
        <f>1/(1+'Calculation_Assumptions'!$B$8)^(B12-'Calculation_Assumptions'!$B$2)</f>
      </c>
      <c r="U12" s="97" t="str">
        <f>Q12*T12</f>
      </c>
      <c r="V12" s="98" t="str">
        <f>R12*T12</f>
      </c>
      <c r="W12" s="99" t="str">
        <f>S12*T12</f>
      </c>
      <c r="X12" t="n">
        <v>0</v>
      </c>
      <c r="Y12" s="100" t="n">
        <v>2017</v>
      </c>
      <c r="Z12" t="s">
        <v>389</v>
      </c>
      <c r="AA12" s="101" t="str">
        <f>IF(G12="shared-count-once",COUNTIFS($A$2:$A$807,A12,$B$2:$B$807,B12,$D$2:$D$807,D12),1)</f>
      </c>
    </row>
    <row r="13">
      <c r="A13" t="s">
        <v>249</v>
      </c>
      <c r="B13" s="79" t="n">
        <v>2036</v>
      </c>
      <c r="C13" t="s">
        <v>249</v>
      </c>
      <c r="D13" s="80" t="s">
        <v>407</v>
      </c>
      <c r="E13" s="81" t="s">
        <v>408</v>
      </c>
      <c r="F13" s="82" t="s">
        <v>255</v>
      </c>
      <c r="G13" s="83" t="s">
        <v>384</v>
      </c>
      <c r="H13" s="84" t="s">
        <v>386</v>
      </c>
      <c r="I13" s="85" t="n">
        <v>1</v>
      </c>
      <c r="J13" s="86" t="n">
        <v>1</v>
      </c>
      <c r="K13" s="87" t="n">
        <v>0.004</v>
      </c>
      <c r="L13" s="88" t="n">
        <v>308460027.314391</v>
      </c>
      <c r="M13" s="89" t="n">
        <v>308537399.672094</v>
      </c>
      <c r="N13" s="90" t="str">
        <f>MIN(MAX((B13-'Calculation_Assumptions'!$B$5+1)/'Calculation_Assumptions'!$B$7,0),1)</f>
      </c>
      <c r="O13" s="91" t="str">
        <f>L13*I13</f>
      </c>
      <c r="P13" s="92" t="str">
        <f>M13*I13</f>
      </c>
      <c r="Q13" s="93" t="str">
        <f>P13*'Calculation_Assumptions'!$B$14*J13*K13</f>
      </c>
      <c r="R13" s="94" t="str">
        <f>O13*N13*J13*K13</f>
      </c>
      <c r="S13" s="95" t="str">
        <f>R13-Q13</f>
      </c>
      <c r="T13" s="96" t="str">
        <f>1/(1+'Calculation_Assumptions'!$B$8)^(B13-'Calculation_Assumptions'!$B$2)</f>
      </c>
      <c r="U13" s="97" t="str">
        <f>Q13*T13</f>
      </c>
      <c r="V13" s="98" t="str">
        <f>R13*T13</f>
      </c>
      <c r="W13" s="99" t="str">
        <f>S13*T13</f>
      </c>
      <c r="X13" t="n">
        <v>0</v>
      </c>
      <c r="Y13" s="100" t="n">
        <v>2017</v>
      </c>
      <c r="Z13" t="s">
        <v>389</v>
      </c>
      <c r="AA13" s="101" t="str">
        <f>IF(G13="shared-count-once",COUNTIFS($A$2:$A$807,A13,$B$2:$B$807,B13,$D$2:$D$807,D13),1)</f>
      </c>
    </row>
    <row r="14">
      <c r="A14" t="s">
        <v>249</v>
      </c>
      <c r="B14" s="79" t="n">
        <v>2037</v>
      </c>
      <c r="C14" t="s">
        <v>249</v>
      </c>
      <c r="D14" s="80" t="s">
        <v>407</v>
      </c>
      <c r="E14" s="81" t="s">
        <v>408</v>
      </c>
      <c r="F14" s="82" t="s">
        <v>255</v>
      </c>
      <c r="G14" s="83" t="s">
        <v>384</v>
      </c>
      <c r="H14" s="84" t="s">
        <v>386</v>
      </c>
      <c r="I14" s="85" t="n">
        <v>1</v>
      </c>
      <c r="J14" s="86" t="n">
        <v>1</v>
      </c>
      <c r="K14" s="87" t="n">
        <v>0.004</v>
      </c>
      <c r="L14" s="88" t="n">
        <v>309947026.653756</v>
      </c>
      <c r="M14" s="89" t="n">
        <v>310023120.393472</v>
      </c>
      <c r="N14" s="90" t="str">
        <f>MIN(MAX((B14-'Calculation_Assumptions'!$B$5+1)/'Calculation_Assumptions'!$B$7,0),1)</f>
      </c>
      <c r="O14" s="91" t="str">
        <f>L14*I14</f>
      </c>
      <c r="P14" s="92" t="str">
        <f>M14*I14</f>
      </c>
      <c r="Q14" s="93" t="str">
        <f>P14*'Calculation_Assumptions'!$B$14*J14*K14</f>
      </c>
      <c r="R14" s="94" t="str">
        <f>O14*N14*J14*K14</f>
      </c>
      <c r="S14" s="95" t="str">
        <f>R14-Q14</f>
      </c>
      <c r="T14" s="96" t="str">
        <f>1/(1+'Calculation_Assumptions'!$B$8)^(B14-'Calculation_Assumptions'!$B$2)</f>
      </c>
      <c r="U14" s="97" t="str">
        <f>Q14*T14</f>
      </c>
      <c r="V14" s="98" t="str">
        <f>R14*T14</f>
      </c>
      <c r="W14" s="99" t="str">
        <f>S14*T14</f>
      </c>
      <c r="X14" t="n">
        <v>0</v>
      </c>
      <c r="Y14" s="100" t="n">
        <v>2017</v>
      </c>
      <c r="Z14" t="s">
        <v>389</v>
      </c>
      <c r="AA14" s="101" t="str">
        <f>IF(G14="shared-count-once",COUNTIFS($A$2:$A$807,A14,$B$2:$B$807,B14,$D$2:$D$807,D14),1)</f>
      </c>
    </row>
    <row r="15">
      <c r="A15" t="s">
        <v>249</v>
      </c>
      <c r="B15" s="79" t="n">
        <v>2038</v>
      </c>
      <c r="C15" t="s">
        <v>249</v>
      </c>
      <c r="D15" s="80" t="s">
        <v>407</v>
      </c>
      <c r="E15" s="81" t="s">
        <v>408</v>
      </c>
      <c r="F15" s="82" t="s">
        <v>255</v>
      </c>
      <c r="G15" s="83" t="s">
        <v>384</v>
      </c>
      <c r="H15" s="84" t="s">
        <v>386</v>
      </c>
      <c r="I15" s="85" t="n">
        <v>1</v>
      </c>
      <c r="J15" s="86" t="n">
        <v>1</v>
      </c>
      <c r="K15" s="87" t="n">
        <v>0.004</v>
      </c>
      <c r="L15" s="88" t="n">
        <v>311373424.829442</v>
      </c>
      <c r="M15" s="89" t="n">
        <v>311445837.134625</v>
      </c>
      <c r="N15" s="90" t="str">
        <f>MIN(MAX((B15-'Calculation_Assumptions'!$B$5+1)/'Calculation_Assumptions'!$B$7,0),1)</f>
      </c>
      <c r="O15" s="91" t="str">
        <f>L15*I15</f>
      </c>
      <c r="P15" s="92" t="str">
        <f>M15*I15</f>
      </c>
      <c r="Q15" s="93" t="str">
        <f>P15*'Calculation_Assumptions'!$B$14*J15*K15</f>
      </c>
      <c r="R15" s="94" t="str">
        <f>O15*N15*J15*K15</f>
      </c>
      <c r="S15" s="95" t="str">
        <f>R15-Q15</f>
      </c>
      <c r="T15" s="96" t="str">
        <f>1/(1+'Calculation_Assumptions'!$B$8)^(B15-'Calculation_Assumptions'!$B$2)</f>
      </c>
      <c r="U15" s="97" t="str">
        <f>Q15*T15</f>
      </c>
      <c r="V15" s="98" t="str">
        <f>R15*T15</f>
      </c>
      <c r="W15" s="99" t="str">
        <f>S15*T15</f>
      </c>
      <c r="X15" t="n">
        <v>0</v>
      </c>
      <c r="Y15" s="100" t="n">
        <v>2017</v>
      </c>
      <c r="Z15" t="s">
        <v>389</v>
      </c>
      <c r="AA15" s="101" t="str">
        <f>IF(G15="shared-count-once",COUNTIFS($A$2:$A$807,A15,$B$2:$B$807,B15,$D$2:$D$807,D15),1)</f>
      </c>
    </row>
    <row r="16">
      <c r="A16" t="s">
        <v>249</v>
      </c>
      <c r="B16" s="79" t="n">
        <v>2039</v>
      </c>
      <c r="C16" t="s">
        <v>249</v>
      </c>
      <c r="D16" s="80" t="s">
        <v>407</v>
      </c>
      <c r="E16" s="81" t="s">
        <v>408</v>
      </c>
      <c r="F16" s="82" t="s">
        <v>255</v>
      </c>
      <c r="G16" s="83" t="s">
        <v>384</v>
      </c>
      <c r="H16" s="84" t="s">
        <v>386</v>
      </c>
      <c r="I16" s="85" t="n">
        <v>1</v>
      </c>
      <c r="J16" s="86" t="n">
        <v>1</v>
      </c>
      <c r="K16" s="87" t="n">
        <v>0.004</v>
      </c>
      <c r="L16" s="88" t="n">
        <v>312740495.169472</v>
      </c>
      <c r="M16" s="89" t="n">
        <v>312806989.715685</v>
      </c>
      <c r="N16" s="90" t="str">
        <f>MIN(MAX((B16-'Calculation_Assumptions'!$B$5+1)/'Calculation_Assumptions'!$B$7,0),1)</f>
      </c>
      <c r="O16" s="91" t="str">
        <f>L16*I16</f>
      </c>
      <c r="P16" s="92" t="str">
        <f>M16*I16</f>
      </c>
      <c r="Q16" s="93" t="str">
        <f>P16*'Calculation_Assumptions'!$B$14*J16*K16</f>
      </c>
      <c r="R16" s="94" t="str">
        <f>O16*N16*J16*K16</f>
      </c>
      <c r="S16" s="95" t="str">
        <f>R16-Q16</f>
      </c>
      <c r="T16" s="96" t="str">
        <f>1/(1+'Calculation_Assumptions'!$B$8)^(B16-'Calculation_Assumptions'!$B$2)</f>
      </c>
      <c r="U16" s="97" t="str">
        <f>Q16*T16</f>
      </c>
      <c r="V16" s="98" t="str">
        <f>R16*T16</f>
      </c>
      <c r="W16" s="99" t="str">
        <f>S16*T16</f>
      </c>
      <c r="X16" t="n">
        <v>0</v>
      </c>
      <c r="Y16" s="100" t="n">
        <v>2017</v>
      </c>
      <c r="Z16" t="s">
        <v>389</v>
      </c>
      <c r="AA16" s="101" t="str">
        <f>IF(G16="shared-count-once",COUNTIFS($A$2:$A$807,A16,$B$2:$B$807,B16,$D$2:$D$807,D16),1)</f>
      </c>
    </row>
    <row r="17">
      <c r="A17" t="s">
        <v>249</v>
      </c>
      <c r="B17" s="79" t="n">
        <v>2040</v>
      </c>
      <c r="C17" t="s">
        <v>249</v>
      </c>
      <c r="D17" s="80" t="s">
        <v>407</v>
      </c>
      <c r="E17" s="81" t="s">
        <v>408</v>
      </c>
      <c r="F17" s="82" t="s">
        <v>255</v>
      </c>
      <c r="G17" s="83" t="s">
        <v>384</v>
      </c>
      <c r="H17" s="84" t="s">
        <v>386</v>
      </c>
      <c r="I17" s="85" t="n">
        <v>1</v>
      </c>
      <c r="J17" s="86" t="n">
        <v>1</v>
      </c>
      <c r="K17" s="87" t="n">
        <v>0.004</v>
      </c>
      <c r="L17" s="88" t="n">
        <v>314050611.3196</v>
      </c>
      <c r="M17" s="89" t="n">
        <v>314109251.582649</v>
      </c>
      <c r="N17" s="90" t="str">
        <f>MIN(MAX((B17-'Calculation_Assumptions'!$B$5+1)/'Calculation_Assumptions'!$B$7,0),1)</f>
      </c>
      <c r="O17" s="91" t="str">
        <f>L17*I17</f>
      </c>
      <c r="P17" s="92" t="str">
        <f>M17*I17</f>
      </c>
      <c r="Q17" s="93" t="str">
        <f>P17*'Calculation_Assumptions'!$B$14*J17*K17</f>
      </c>
      <c r="R17" s="94" t="str">
        <f>O17*N17*J17*K17</f>
      </c>
      <c r="S17" s="95" t="str">
        <f>R17-Q17</f>
      </c>
      <c r="T17" s="96" t="str">
        <f>1/(1+'Calculation_Assumptions'!$B$8)^(B17-'Calculation_Assumptions'!$B$2)</f>
      </c>
      <c r="U17" s="97" t="str">
        <f>Q17*T17</f>
      </c>
      <c r="V17" s="98" t="str">
        <f>R17*T17</f>
      </c>
      <c r="W17" s="99" t="str">
        <f>S17*T17</f>
      </c>
      <c r="X17" t="n">
        <v>0</v>
      </c>
      <c r="Y17" s="100" t="n">
        <v>2017</v>
      </c>
      <c r="Z17" t="s">
        <v>389</v>
      </c>
      <c r="AA17" s="101" t="str">
        <f>IF(G17="shared-count-once",COUNTIFS($A$2:$A$807,A17,$B$2:$B$807,B17,$D$2:$D$807,D17),1)</f>
      </c>
    </row>
    <row r="18">
      <c r="A18" t="s">
        <v>249</v>
      </c>
      <c r="B18" s="79" t="n">
        <v>2041</v>
      </c>
      <c r="C18" t="s">
        <v>249</v>
      </c>
      <c r="D18" s="80" t="s">
        <v>407</v>
      </c>
      <c r="E18" s="81" t="s">
        <v>408</v>
      </c>
      <c r="F18" s="82" t="s">
        <v>255</v>
      </c>
      <c r="G18" s="83" t="s">
        <v>384</v>
      </c>
      <c r="H18" s="84" t="s">
        <v>386</v>
      </c>
      <c r="I18" s="85" t="n">
        <v>1</v>
      </c>
      <c r="J18" s="86" t="n">
        <v>1</v>
      </c>
      <c r="K18" s="87" t="n">
        <v>0.004</v>
      </c>
      <c r="L18" s="88" t="n">
        <v>315302730.825889</v>
      </c>
      <c r="M18" s="89" t="n">
        <v>315352079.812423</v>
      </c>
      <c r="N18" s="90" t="str">
        <f>MIN(MAX((B18-'Calculation_Assumptions'!$B$5+1)/'Calculation_Assumptions'!$B$7,0),1)</f>
      </c>
      <c r="O18" s="91" t="str">
        <f>L18*I18</f>
      </c>
      <c r="P18" s="92" t="str">
        <f>M18*I18</f>
      </c>
      <c r="Q18" s="93" t="str">
        <f>P18*'Calculation_Assumptions'!$B$14*J18*K18</f>
      </c>
      <c r="R18" s="94" t="str">
        <f>O18*N18*J18*K18</f>
      </c>
      <c r="S18" s="95" t="str">
        <f>R18-Q18</f>
      </c>
      <c r="T18" s="96" t="str">
        <f>1/(1+'Calculation_Assumptions'!$B$8)^(B18-'Calculation_Assumptions'!$B$2)</f>
      </c>
      <c r="U18" s="97" t="str">
        <f>Q18*T18</f>
      </c>
      <c r="V18" s="98" t="str">
        <f>R18*T18</f>
      </c>
      <c r="W18" s="99" t="str">
        <f>S18*T18</f>
      </c>
      <c r="X18" t="n">
        <v>0</v>
      </c>
      <c r="Y18" s="100" t="n">
        <v>2017</v>
      </c>
      <c r="Z18" t="s">
        <v>389</v>
      </c>
      <c r="AA18" s="101" t="str">
        <f>IF(G18="shared-count-once",COUNTIFS($A$2:$A$807,A18,$B$2:$B$807,B18,$D$2:$D$807,D18),1)</f>
      </c>
    </row>
    <row r="19">
      <c r="A19" t="s">
        <v>249</v>
      </c>
      <c r="B19" s="79" t="n">
        <v>2042</v>
      </c>
      <c r="C19" t="s">
        <v>249</v>
      </c>
      <c r="D19" s="80" t="s">
        <v>407</v>
      </c>
      <c r="E19" s="81" t="s">
        <v>408</v>
      </c>
      <c r="F19" s="82" t="s">
        <v>255</v>
      </c>
      <c r="G19" s="83" t="s">
        <v>384</v>
      </c>
      <c r="H19" s="84" t="s">
        <v>386</v>
      </c>
      <c r="I19" s="85" t="n">
        <v>1</v>
      </c>
      <c r="J19" s="86" t="n">
        <v>1</v>
      </c>
      <c r="K19" s="87" t="n">
        <v>0.004</v>
      </c>
      <c r="L19" s="88" t="n">
        <v>316497660.738653</v>
      </c>
      <c r="M19" s="89" t="n">
        <v>316395286.312016</v>
      </c>
      <c r="N19" s="90" t="str">
        <f>MIN(MAX((B19-'Calculation_Assumptions'!$B$5+1)/'Calculation_Assumptions'!$B$7,0),1)</f>
      </c>
      <c r="O19" s="91" t="str">
        <f>L19*I19</f>
      </c>
      <c r="P19" s="92" t="str">
        <f>M19*I19</f>
      </c>
      <c r="Q19" s="93" t="str">
        <f>P19*'Calculation_Assumptions'!$B$14*J19*K19</f>
      </c>
      <c r="R19" s="94" t="str">
        <f>O19*N19*J19*K19</f>
      </c>
      <c r="S19" s="95" t="str">
        <f>R19-Q19</f>
      </c>
      <c r="T19" s="96" t="str">
        <f>1/(1+'Calculation_Assumptions'!$B$8)^(B19-'Calculation_Assumptions'!$B$2)</f>
      </c>
      <c r="U19" s="97" t="str">
        <f>Q19*T19</f>
      </c>
      <c r="V19" s="98" t="str">
        <f>R19*T19</f>
      </c>
      <c r="W19" s="99" t="str">
        <f>S19*T19</f>
      </c>
      <c r="X19" t="n">
        <v>0</v>
      </c>
      <c r="Y19" s="100" t="n">
        <v>2017</v>
      </c>
      <c r="Z19" t="s">
        <v>389</v>
      </c>
      <c r="AA19" s="101" t="str">
        <f>IF(G19="shared-count-once",COUNTIFS($A$2:$A$807,A19,$B$2:$B$807,B19,$D$2:$D$807,D19),1)</f>
      </c>
    </row>
    <row r="20">
      <c r="A20" t="s">
        <v>249</v>
      </c>
      <c r="B20" s="79" t="n">
        <v>2043</v>
      </c>
      <c r="C20" t="s">
        <v>249</v>
      </c>
      <c r="D20" s="80" t="s">
        <v>407</v>
      </c>
      <c r="E20" s="81" t="s">
        <v>408</v>
      </c>
      <c r="F20" s="82" t="s">
        <v>255</v>
      </c>
      <c r="G20" s="83" t="s">
        <v>384</v>
      </c>
      <c r="H20" s="84" t="s">
        <v>386</v>
      </c>
      <c r="I20" s="85" t="n">
        <v>1</v>
      </c>
      <c r="J20" s="86" t="n">
        <v>1</v>
      </c>
      <c r="K20" s="87" t="n">
        <v>0.004</v>
      </c>
      <c r="L20" s="88" t="n">
        <v>317740603.6285</v>
      </c>
      <c r="M20" s="89" t="n">
        <v>317619735.688289</v>
      </c>
      <c r="N20" s="90" t="str">
        <f>MIN(MAX((B20-'Calculation_Assumptions'!$B$5+1)/'Calculation_Assumptions'!$B$7,0),1)</f>
      </c>
      <c r="O20" s="91" t="str">
        <f>L20*I20</f>
      </c>
      <c r="P20" s="92" t="str">
        <f>M20*I20</f>
      </c>
      <c r="Q20" s="93" t="str">
        <f>P20*'Calculation_Assumptions'!$B$14*J20*K20</f>
      </c>
      <c r="R20" s="94" t="str">
        <f>O20*N20*J20*K20</f>
      </c>
      <c r="S20" s="95" t="str">
        <f>R20-Q20</f>
      </c>
      <c r="T20" s="96" t="str">
        <f>1/(1+'Calculation_Assumptions'!$B$8)^(B20-'Calculation_Assumptions'!$B$2)</f>
      </c>
      <c r="U20" s="97" t="str">
        <f>Q20*T20</f>
      </c>
      <c r="V20" s="98" t="str">
        <f>R20*T20</f>
      </c>
      <c r="W20" s="99" t="str">
        <f>S20*T20</f>
      </c>
      <c r="X20" t="n">
        <v>0</v>
      </c>
      <c r="Y20" s="100" t="n">
        <v>2017</v>
      </c>
      <c r="Z20" t="s">
        <v>389</v>
      </c>
      <c r="AA20" s="101" t="str">
        <f>IF(G20="shared-count-once",COUNTIFS($A$2:$A$807,A20,$B$2:$B$807,B20,$D$2:$D$807,D20),1)</f>
      </c>
    </row>
    <row r="21">
      <c r="A21" t="s">
        <v>249</v>
      </c>
      <c r="B21" s="79" t="n">
        <v>2044</v>
      </c>
      <c r="C21" t="s">
        <v>249</v>
      </c>
      <c r="D21" s="80" t="s">
        <v>407</v>
      </c>
      <c r="E21" s="81" t="s">
        <v>408</v>
      </c>
      <c r="F21" s="82" t="s">
        <v>255</v>
      </c>
      <c r="G21" s="83" t="s">
        <v>384</v>
      </c>
      <c r="H21" s="84" t="s">
        <v>386</v>
      </c>
      <c r="I21" s="85" t="n">
        <v>1</v>
      </c>
      <c r="J21" s="86" t="n">
        <v>1</v>
      </c>
      <c r="K21" s="87" t="n">
        <v>0.004</v>
      </c>
      <c r="L21" s="88" t="n">
        <v>318836121.018587</v>
      </c>
      <c r="M21" s="89" t="n">
        <v>318697135.863652</v>
      </c>
      <c r="N21" s="90" t="str">
        <f>MIN(MAX((B21-'Calculation_Assumptions'!$B$5+1)/'Calculation_Assumptions'!$B$7,0),1)</f>
      </c>
      <c r="O21" s="91" t="str">
        <f>L21*I21</f>
      </c>
      <c r="P21" s="92" t="str">
        <f>M21*I21</f>
      </c>
      <c r="Q21" s="93" t="str">
        <f>P21*'Calculation_Assumptions'!$B$14*J21*K21</f>
      </c>
      <c r="R21" s="94" t="str">
        <f>O21*N21*J21*K21</f>
      </c>
      <c r="S21" s="95" t="str">
        <f>R21-Q21</f>
      </c>
      <c r="T21" s="96" t="str">
        <f>1/(1+'Calculation_Assumptions'!$B$8)^(B21-'Calculation_Assumptions'!$B$2)</f>
      </c>
      <c r="U21" s="97" t="str">
        <f>Q21*T21</f>
      </c>
      <c r="V21" s="98" t="str">
        <f>R21*T21</f>
      </c>
      <c r="W21" s="99" t="str">
        <f>S21*T21</f>
      </c>
      <c r="X21" t="n">
        <v>0</v>
      </c>
      <c r="Y21" s="100" t="n">
        <v>2017</v>
      </c>
      <c r="Z21" t="s">
        <v>389</v>
      </c>
      <c r="AA21" s="101" t="str">
        <f>IF(G21="shared-count-once",COUNTIFS($A$2:$A$807,A21,$B$2:$B$807,B21,$D$2:$D$807,D21),1)</f>
      </c>
    </row>
    <row r="22">
      <c r="A22" t="s">
        <v>249</v>
      </c>
      <c r="B22" s="79" t="n">
        <v>2045</v>
      </c>
      <c r="C22" t="s">
        <v>249</v>
      </c>
      <c r="D22" s="80" t="s">
        <v>407</v>
      </c>
      <c r="E22" s="81" t="s">
        <v>408</v>
      </c>
      <c r="F22" s="82" t="s">
        <v>255</v>
      </c>
      <c r="G22" s="83" t="s">
        <v>384</v>
      </c>
      <c r="H22" s="84" t="s">
        <v>386</v>
      </c>
      <c r="I22" s="85" t="n">
        <v>1</v>
      </c>
      <c r="J22" s="86" t="n">
        <v>1</v>
      </c>
      <c r="K22" s="87" t="n">
        <v>0.004</v>
      </c>
      <c r="L22" s="88" t="n">
        <v>319876090.511906</v>
      </c>
      <c r="M22" s="89" t="n">
        <v>319717840.85179</v>
      </c>
      <c r="N22" s="90" t="str">
        <f>MIN(MAX((B22-'Calculation_Assumptions'!$B$5+1)/'Calculation_Assumptions'!$B$7,0),1)</f>
      </c>
      <c r="O22" s="91" t="str">
        <f>L22*I22</f>
      </c>
      <c r="P22" s="92" t="str">
        <f>M22*I22</f>
      </c>
      <c r="Q22" s="93" t="str">
        <f>P22*'Calculation_Assumptions'!$B$14*J22*K22</f>
      </c>
      <c r="R22" s="94" t="str">
        <f>O22*N22*J22*K22</f>
      </c>
      <c r="S22" s="95" t="str">
        <f>R22-Q22</f>
      </c>
      <c r="T22" s="96" t="str">
        <f>1/(1+'Calculation_Assumptions'!$B$8)^(B22-'Calculation_Assumptions'!$B$2)</f>
      </c>
      <c r="U22" s="97" t="str">
        <f>Q22*T22</f>
      </c>
      <c r="V22" s="98" t="str">
        <f>R22*T22</f>
      </c>
      <c r="W22" s="99" t="str">
        <f>S22*T22</f>
      </c>
      <c r="X22" t="n">
        <v>0</v>
      </c>
      <c r="Y22" s="100" t="n">
        <v>2017</v>
      </c>
      <c r="Z22" t="s">
        <v>389</v>
      </c>
      <c r="AA22" s="101" t="str">
        <f>IF(G22="shared-count-once",COUNTIFS($A$2:$A$807,A22,$B$2:$B$807,B22,$D$2:$D$807,D22),1)</f>
      </c>
    </row>
    <row r="23">
      <c r="A23" t="s">
        <v>249</v>
      </c>
      <c r="B23" s="79" t="n">
        <v>2046</v>
      </c>
      <c r="C23" t="s">
        <v>249</v>
      </c>
      <c r="D23" s="80" t="s">
        <v>407</v>
      </c>
      <c r="E23" s="81" t="s">
        <v>408</v>
      </c>
      <c r="F23" s="82" t="s">
        <v>255</v>
      </c>
      <c r="G23" s="83" t="s">
        <v>384</v>
      </c>
      <c r="H23" s="84" t="s">
        <v>386</v>
      </c>
      <c r="I23" s="85" t="n">
        <v>1</v>
      </c>
      <c r="J23" s="86" t="n">
        <v>1</v>
      </c>
      <c r="K23" s="87" t="n">
        <v>0.004</v>
      </c>
      <c r="L23" s="88" t="n">
        <v>320698033.208101</v>
      </c>
      <c r="M23" s="89" t="n">
        <v>320683879.806276</v>
      </c>
      <c r="N23" s="90" t="str">
        <f>MIN(MAX((B23-'Calculation_Assumptions'!$B$5+1)/'Calculation_Assumptions'!$B$7,0),1)</f>
      </c>
      <c r="O23" s="91" t="str">
        <f>L23*I23</f>
      </c>
      <c r="P23" s="92" t="str">
        <f>M23*I23</f>
      </c>
      <c r="Q23" s="93" t="str">
        <f>P23*'Calculation_Assumptions'!$B$14*J23*K23</f>
      </c>
      <c r="R23" s="94" t="str">
        <f>O23*N23*J23*K23</f>
      </c>
      <c r="S23" s="95" t="str">
        <f>R23-Q23</f>
      </c>
      <c r="T23" s="96" t="str">
        <f>1/(1+'Calculation_Assumptions'!$B$8)^(B23-'Calculation_Assumptions'!$B$2)</f>
      </c>
      <c r="U23" s="97" t="str">
        <f>Q23*T23</f>
      </c>
      <c r="V23" s="98" t="str">
        <f>R23*T23</f>
      </c>
      <c r="W23" s="99" t="str">
        <f>S23*T23</f>
      </c>
      <c r="X23" t="n">
        <v>0</v>
      </c>
      <c r="Y23" s="100" t="n">
        <v>2017</v>
      </c>
      <c r="Z23" t="s">
        <v>389</v>
      </c>
      <c r="AA23" s="101" t="str">
        <f>IF(G23="shared-count-once",COUNTIFS($A$2:$A$807,A23,$B$2:$B$807,B23,$D$2:$D$807,D23),1)</f>
      </c>
    </row>
    <row r="24">
      <c r="A24" t="s">
        <v>249</v>
      </c>
      <c r="B24" s="79" t="n">
        <v>2047</v>
      </c>
      <c r="C24" t="s">
        <v>249</v>
      </c>
      <c r="D24" s="80" t="s">
        <v>407</v>
      </c>
      <c r="E24" s="81" t="s">
        <v>408</v>
      </c>
      <c r="F24" s="82" t="s">
        <v>255</v>
      </c>
      <c r="G24" s="83" t="s">
        <v>384</v>
      </c>
      <c r="H24" s="84" t="s">
        <v>386</v>
      </c>
      <c r="I24" s="85" t="n">
        <v>1</v>
      </c>
      <c r="J24" s="86" t="n">
        <v>1</v>
      </c>
      <c r="K24" s="87" t="n">
        <v>0.004</v>
      </c>
      <c r="L24" s="88" t="n">
        <v>321622517.792925</v>
      </c>
      <c r="M24" s="89" t="n">
        <v>321595541.389526</v>
      </c>
      <c r="N24" s="90" t="str">
        <f>MIN(MAX((B24-'Calculation_Assumptions'!$B$5+1)/'Calculation_Assumptions'!$B$7,0),1)</f>
      </c>
      <c r="O24" s="91" t="str">
        <f>L24*I24</f>
      </c>
      <c r="P24" s="92" t="str">
        <f>M24*I24</f>
      </c>
      <c r="Q24" s="93" t="str">
        <f>P24*'Calculation_Assumptions'!$B$14*J24*K24</f>
      </c>
      <c r="R24" s="94" t="str">
        <f>O24*N24*J24*K24</f>
      </c>
      <c r="S24" s="95" t="str">
        <f>R24-Q24</f>
      </c>
      <c r="T24" s="96" t="str">
        <f>1/(1+'Calculation_Assumptions'!$B$8)^(B24-'Calculation_Assumptions'!$B$2)</f>
      </c>
      <c r="U24" s="97" t="str">
        <f>Q24*T24</f>
      </c>
      <c r="V24" s="98" t="str">
        <f>R24*T24</f>
      </c>
      <c r="W24" s="99" t="str">
        <f>S24*T24</f>
      </c>
      <c r="X24" t="n">
        <v>0</v>
      </c>
      <c r="Y24" s="100" t="n">
        <v>2017</v>
      </c>
      <c r="Z24" t="s">
        <v>389</v>
      </c>
      <c r="AA24" s="101" t="str">
        <f>IF(G24="shared-count-once",COUNTIFS($A$2:$A$807,A24,$B$2:$B$807,B24,$D$2:$D$807,D24),1)</f>
      </c>
    </row>
    <row r="25">
      <c r="A25" t="s">
        <v>249</v>
      </c>
      <c r="B25" s="79" t="n">
        <v>2048</v>
      </c>
      <c r="C25" t="s">
        <v>249</v>
      </c>
      <c r="D25" s="80" t="s">
        <v>407</v>
      </c>
      <c r="E25" s="81" t="s">
        <v>408</v>
      </c>
      <c r="F25" s="82" t="s">
        <v>255</v>
      </c>
      <c r="G25" s="83" t="s">
        <v>384</v>
      </c>
      <c r="H25" s="84" t="s">
        <v>386</v>
      </c>
      <c r="I25" s="85" t="n">
        <v>1</v>
      </c>
      <c r="J25" s="86" t="n">
        <v>1</v>
      </c>
      <c r="K25" s="87" t="n">
        <v>0.004</v>
      </c>
      <c r="L25" s="88" t="n">
        <v>322493357.39835</v>
      </c>
      <c r="M25" s="89" t="n">
        <v>322453622.669464</v>
      </c>
      <c r="N25" s="90" t="str">
        <f>MIN(MAX((B25-'Calculation_Assumptions'!$B$5+1)/'Calculation_Assumptions'!$B$7,0),1)</f>
      </c>
      <c r="O25" s="91" t="str">
        <f>L25*I25</f>
      </c>
      <c r="P25" s="92" t="str">
        <f>M25*I25</f>
      </c>
      <c r="Q25" s="93" t="str">
        <f>P25*'Calculation_Assumptions'!$B$14*J25*K25</f>
      </c>
      <c r="R25" s="94" t="str">
        <f>O25*N25*J25*K25</f>
      </c>
      <c r="S25" s="95" t="str">
        <f>R25-Q25</f>
      </c>
      <c r="T25" s="96" t="str">
        <f>1/(1+'Calculation_Assumptions'!$B$8)^(B25-'Calculation_Assumptions'!$B$2)</f>
      </c>
      <c r="U25" s="97" t="str">
        <f>Q25*T25</f>
      </c>
      <c r="V25" s="98" t="str">
        <f>R25*T25</f>
      </c>
      <c r="W25" s="99" t="str">
        <f>S25*T25</f>
      </c>
      <c r="X25" t="n">
        <v>0</v>
      </c>
      <c r="Y25" s="100" t="n">
        <v>2017</v>
      </c>
      <c r="Z25" t="s">
        <v>389</v>
      </c>
      <c r="AA25" s="101" t="str">
        <f>IF(G25="shared-count-once",COUNTIFS($A$2:$A$807,A25,$B$2:$B$807,B25,$D$2:$D$807,D25),1)</f>
      </c>
    </row>
    <row r="26">
      <c r="A26" t="s">
        <v>249</v>
      </c>
      <c r="B26" s="79" t="n">
        <v>2049</v>
      </c>
      <c r="C26" t="s">
        <v>249</v>
      </c>
      <c r="D26" s="80" t="s">
        <v>407</v>
      </c>
      <c r="E26" s="81" t="s">
        <v>408</v>
      </c>
      <c r="F26" s="82" t="s">
        <v>255</v>
      </c>
      <c r="G26" s="83" t="s">
        <v>384</v>
      </c>
      <c r="H26" s="84" t="s">
        <v>386</v>
      </c>
      <c r="I26" s="85" t="n">
        <v>1</v>
      </c>
      <c r="J26" s="86" t="n">
        <v>1</v>
      </c>
      <c r="K26" s="87" t="n">
        <v>0.004</v>
      </c>
      <c r="L26" s="88" t="n">
        <v>323311712.581596</v>
      </c>
      <c r="M26" s="89" t="n">
        <v>323259246.716719</v>
      </c>
      <c r="N26" s="90" t="str">
        <f>MIN(MAX((B26-'Calculation_Assumptions'!$B$5+1)/'Calculation_Assumptions'!$B$7,0),1)</f>
      </c>
      <c r="O26" s="91" t="str">
        <f>L26*I26</f>
      </c>
      <c r="P26" s="92" t="str">
        <f>M26*I26</f>
      </c>
      <c r="Q26" s="93" t="str">
        <f>P26*'Calculation_Assumptions'!$B$14*J26*K26</f>
      </c>
      <c r="R26" s="94" t="str">
        <f>O26*N26*J26*K26</f>
      </c>
      <c r="S26" s="95" t="str">
        <f>R26-Q26</f>
      </c>
      <c r="T26" s="96" t="str">
        <f>1/(1+'Calculation_Assumptions'!$B$8)^(B26-'Calculation_Assumptions'!$B$2)</f>
      </c>
      <c r="U26" s="97" t="str">
        <f>Q26*T26</f>
      </c>
      <c r="V26" s="98" t="str">
        <f>R26*T26</f>
      </c>
      <c r="W26" s="99" t="str">
        <f>S26*T26</f>
      </c>
      <c r="X26" t="n">
        <v>0</v>
      </c>
      <c r="Y26" s="100" t="n">
        <v>2017</v>
      </c>
      <c r="Z26" t="s">
        <v>389</v>
      </c>
      <c r="AA26" s="101" t="str">
        <f>IF(G26="shared-count-once",COUNTIFS($A$2:$A$807,A26,$B$2:$B$807,B26,$D$2:$D$807,D26),1)</f>
      </c>
    </row>
    <row r="27">
      <c r="A27" t="s">
        <v>249</v>
      </c>
      <c r="B27" s="79" t="n">
        <v>2050</v>
      </c>
      <c r="C27" t="s">
        <v>249</v>
      </c>
      <c r="D27" s="80" t="s">
        <v>407</v>
      </c>
      <c r="E27" s="81" t="s">
        <v>408</v>
      </c>
      <c r="F27" s="82" t="s">
        <v>255</v>
      </c>
      <c r="G27" s="83" t="s">
        <v>384</v>
      </c>
      <c r="H27" s="84" t="s">
        <v>386</v>
      </c>
      <c r="I27" s="85" t="n">
        <v>1</v>
      </c>
      <c r="J27" s="86" t="n">
        <v>1</v>
      </c>
      <c r="K27" s="87" t="n">
        <v>0.004</v>
      </c>
      <c r="L27" s="88" t="n">
        <v>324078942.514467</v>
      </c>
      <c r="M27" s="89" t="n">
        <v>324013738.182479</v>
      </c>
      <c r="N27" s="90" t="str">
        <f>MIN(MAX((B27-'Calculation_Assumptions'!$B$5+1)/'Calculation_Assumptions'!$B$7,0),1)</f>
      </c>
      <c r="O27" s="91" t="str">
        <f>L27*I27</f>
      </c>
      <c r="P27" s="92" t="str">
        <f>M27*I27</f>
      </c>
      <c r="Q27" s="93" t="str">
        <f>P27*'Calculation_Assumptions'!$B$14*J27*K27</f>
      </c>
      <c r="R27" s="94" t="str">
        <f>O27*N27*J27*K27</f>
      </c>
      <c r="S27" s="95" t="str">
        <f>R27-Q27</f>
      </c>
      <c r="T27" s="96" t="str">
        <f>1/(1+'Calculation_Assumptions'!$B$8)^(B27-'Calculation_Assumptions'!$B$2)</f>
      </c>
      <c r="U27" s="97" t="str">
        <f>Q27*T27</f>
      </c>
      <c r="V27" s="98" t="str">
        <f>R27*T27</f>
      </c>
      <c r="W27" s="99" t="str">
        <f>S27*T27</f>
      </c>
      <c r="X27" t="n">
        <v>0</v>
      </c>
      <c r="Y27" s="100" t="n">
        <v>2017</v>
      </c>
      <c r="Z27" t="s">
        <v>389</v>
      </c>
      <c r="AA27" s="101" t="str">
        <f>IF(G27="shared-count-once",COUNTIFS($A$2:$A$807,A27,$B$2:$B$807,B27,$D$2:$D$807,D27),1)</f>
      </c>
    </row>
    <row r="28">
      <c r="A28" t="s">
        <v>194</v>
      </c>
      <c r="B28" s="79" t="n">
        <v>2025</v>
      </c>
      <c r="C28" t="s">
        <v>194</v>
      </c>
      <c r="D28" s="80" t="s">
        <v>391</v>
      </c>
      <c r="E28" s="81" t="s">
        <v>392</v>
      </c>
      <c r="F28" s="82" t="s">
        <v>197</v>
      </c>
      <c r="G28" s="83" t="s">
        <v>384</v>
      </c>
      <c r="H28" s="84" t="s">
        <v>386</v>
      </c>
      <c r="I28" s="85" t="n">
        <v>1</v>
      </c>
      <c r="J28" s="86" t="n">
        <v>1</v>
      </c>
      <c r="K28" s="87" t="n">
        <v>0.004</v>
      </c>
      <c r="L28" s="88" t="n">
        <v>288000821.106462</v>
      </c>
      <c r="M28" s="89" t="n">
        <v>288000821.106462</v>
      </c>
      <c r="N28" s="90" t="str">
        <f>MIN(MAX((B28-'Calculation_Assumptions'!$B$5+1)/'Calculation_Assumptions'!$B$7,0),1)</f>
      </c>
      <c r="O28" s="91" t="str">
        <f>L28*I28</f>
      </c>
      <c r="P28" s="92" t="str">
        <f>M28*I28</f>
      </c>
      <c r="Q28" s="93" t="str">
        <f>P28*'Calculation_Assumptions'!$B$14*J28*K28</f>
      </c>
      <c r="R28" s="94" t="str">
        <f>O28*N28*J28*K28</f>
      </c>
      <c r="S28" s="95" t="str">
        <f>R28-Q28</f>
      </c>
      <c r="T28" s="96" t="str">
        <f>1/(1+'Calculation_Assumptions'!$B$8)^(B28-'Calculation_Assumptions'!$B$2)</f>
      </c>
      <c r="U28" s="97" t="str">
        <f>Q28*T28</f>
      </c>
      <c r="V28" s="98" t="str">
        <f>R28*T28</f>
      </c>
      <c r="W28" s="99" t="str">
        <f>S28*T28</f>
      </c>
      <c r="X28" t="n">
        <v>0</v>
      </c>
      <c r="Y28" s="100" t="n">
        <v>2017</v>
      </c>
      <c r="Z28" t="s">
        <v>389</v>
      </c>
      <c r="AA28" s="101" t="str">
        <f>IF(G28="shared-count-once",COUNTIFS($A$2:$A$807,A28,$B$2:$B$807,B28,$D$2:$D$807,D28),1)</f>
      </c>
    </row>
    <row r="29">
      <c r="A29" t="s">
        <v>194</v>
      </c>
      <c r="B29" s="79" t="n">
        <v>2026</v>
      </c>
      <c r="C29" t="s">
        <v>194</v>
      </c>
      <c r="D29" s="80" t="s">
        <v>391</v>
      </c>
      <c r="E29" s="81" t="s">
        <v>392</v>
      </c>
      <c r="F29" s="82" t="s">
        <v>197</v>
      </c>
      <c r="G29" s="83" t="s">
        <v>384</v>
      </c>
      <c r="H29" s="84" t="s">
        <v>386</v>
      </c>
      <c r="I29" s="85" t="n">
        <v>1</v>
      </c>
      <c r="J29" s="86" t="n">
        <v>1</v>
      </c>
      <c r="K29" s="87" t="n">
        <v>0.004</v>
      </c>
      <c r="L29" s="88" t="n">
        <v>290123496.103219</v>
      </c>
      <c r="M29" s="89" t="n">
        <v>290123496.103219</v>
      </c>
      <c r="N29" s="90" t="str">
        <f>MIN(MAX((B29-'Calculation_Assumptions'!$B$5+1)/'Calculation_Assumptions'!$B$7,0),1)</f>
      </c>
      <c r="O29" s="91" t="str">
        <f>L29*I29</f>
      </c>
      <c r="P29" s="92" t="str">
        <f>M29*I29</f>
      </c>
      <c r="Q29" s="93" t="str">
        <f>P29*'Calculation_Assumptions'!$B$14*J29*K29</f>
      </c>
      <c r="R29" s="94" t="str">
        <f>O29*N29*J29*K29</f>
      </c>
      <c r="S29" s="95" t="str">
        <f>R29-Q29</f>
      </c>
      <c r="T29" s="96" t="str">
        <f>1/(1+'Calculation_Assumptions'!$B$8)^(B29-'Calculation_Assumptions'!$B$2)</f>
      </c>
      <c r="U29" s="97" t="str">
        <f>Q29*T29</f>
      </c>
      <c r="V29" s="98" t="str">
        <f>R29*T29</f>
      </c>
      <c r="W29" s="99" t="str">
        <f>S29*T29</f>
      </c>
      <c r="X29" t="n">
        <v>0</v>
      </c>
      <c r="Y29" s="100" t="n">
        <v>2017</v>
      </c>
      <c r="Z29" t="s">
        <v>389</v>
      </c>
      <c r="AA29" s="101" t="str">
        <f>IF(G29="shared-count-once",COUNTIFS($A$2:$A$807,A29,$B$2:$B$807,B29,$D$2:$D$807,D29),1)</f>
      </c>
    </row>
    <row r="30">
      <c r="A30" t="s">
        <v>194</v>
      </c>
      <c r="B30" s="79" t="n">
        <v>2027</v>
      </c>
      <c r="C30" t="s">
        <v>194</v>
      </c>
      <c r="D30" s="80" t="s">
        <v>391</v>
      </c>
      <c r="E30" s="81" t="s">
        <v>392</v>
      </c>
      <c r="F30" s="82" t="s">
        <v>197</v>
      </c>
      <c r="G30" s="83" t="s">
        <v>384</v>
      </c>
      <c r="H30" s="84" t="s">
        <v>386</v>
      </c>
      <c r="I30" s="85" t="n">
        <v>1</v>
      </c>
      <c r="J30" s="86" t="n">
        <v>1</v>
      </c>
      <c r="K30" s="87" t="n">
        <v>0.004</v>
      </c>
      <c r="L30" s="88" t="n">
        <v>292252895.096956</v>
      </c>
      <c r="M30" s="89" t="n">
        <v>292252895.096956</v>
      </c>
      <c r="N30" s="90" t="str">
        <f>MIN(MAX((B30-'Calculation_Assumptions'!$B$5+1)/'Calculation_Assumptions'!$B$7,0),1)</f>
      </c>
      <c r="O30" s="91" t="str">
        <f>L30*I30</f>
      </c>
      <c r="P30" s="92" t="str">
        <f>M30*I30</f>
      </c>
      <c r="Q30" s="93" t="str">
        <f>P30*'Calculation_Assumptions'!$B$14*J30*K30</f>
      </c>
      <c r="R30" s="94" t="str">
        <f>O30*N30*J30*K30</f>
      </c>
      <c r="S30" s="95" t="str">
        <f>R30-Q30</f>
      </c>
      <c r="T30" s="96" t="str">
        <f>1/(1+'Calculation_Assumptions'!$B$8)^(B30-'Calculation_Assumptions'!$B$2)</f>
      </c>
      <c r="U30" s="97" t="str">
        <f>Q30*T30</f>
      </c>
      <c r="V30" s="98" t="str">
        <f>R30*T30</f>
      </c>
      <c r="W30" s="99" t="str">
        <f>S30*T30</f>
      </c>
      <c r="X30" t="n">
        <v>0</v>
      </c>
      <c r="Y30" s="100" t="n">
        <v>2017</v>
      </c>
      <c r="Z30" t="s">
        <v>389</v>
      </c>
      <c r="AA30" s="101" t="str">
        <f>IF(G30="shared-count-once",COUNTIFS($A$2:$A$807,A30,$B$2:$B$807,B30,$D$2:$D$807,D30),1)</f>
      </c>
    </row>
    <row r="31">
      <c r="A31" t="s">
        <v>194</v>
      </c>
      <c r="B31" s="79" t="n">
        <v>2028</v>
      </c>
      <c r="C31" t="s">
        <v>194</v>
      </c>
      <c r="D31" s="80" t="s">
        <v>391</v>
      </c>
      <c r="E31" s="81" t="s">
        <v>392</v>
      </c>
      <c r="F31" s="82" t="s">
        <v>197</v>
      </c>
      <c r="G31" s="83" t="s">
        <v>384</v>
      </c>
      <c r="H31" s="84" t="s">
        <v>386</v>
      </c>
      <c r="I31" s="85" t="n">
        <v>1</v>
      </c>
      <c r="J31" s="86" t="n">
        <v>1</v>
      </c>
      <c r="K31" s="87" t="n">
        <v>0.004</v>
      </c>
      <c r="L31" s="88" t="n">
        <v>294314906.190568</v>
      </c>
      <c r="M31" s="89" t="n">
        <v>294314895.305465</v>
      </c>
      <c r="N31" s="90" t="str">
        <f>MIN(MAX((B31-'Calculation_Assumptions'!$B$5+1)/'Calculation_Assumptions'!$B$7,0),1)</f>
      </c>
      <c r="O31" s="91" t="str">
        <f>L31*I31</f>
      </c>
      <c r="P31" s="92" t="str">
        <f>M31*I31</f>
      </c>
      <c r="Q31" s="93" t="str">
        <f>P31*'Calculation_Assumptions'!$B$14*J31*K31</f>
      </c>
      <c r="R31" s="94" t="str">
        <f>O31*N31*J31*K31</f>
      </c>
      <c r="S31" s="95" t="str">
        <f>R31-Q31</f>
      </c>
      <c r="T31" s="96" t="str">
        <f>1/(1+'Calculation_Assumptions'!$B$8)^(B31-'Calculation_Assumptions'!$B$2)</f>
      </c>
      <c r="U31" s="97" t="str">
        <f>Q31*T31</f>
      </c>
      <c r="V31" s="98" t="str">
        <f>R31*T31</f>
      </c>
      <c r="W31" s="99" t="str">
        <f>S31*T31</f>
      </c>
      <c r="X31" t="n">
        <v>0</v>
      </c>
      <c r="Y31" s="100" t="n">
        <v>2017</v>
      </c>
      <c r="Z31" t="s">
        <v>389</v>
      </c>
      <c r="AA31" s="101" t="str">
        <f>IF(G31="shared-count-once",COUNTIFS($A$2:$A$807,A31,$B$2:$B$807,B31,$D$2:$D$807,D31),1)</f>
      </c>
    </row>
    <row r="32">
      <c r="A32" t="s">
        <v>194</v>
      </c>
      <c r="B32" s="79" t="n">
        <v>2029</v>
      </c>
      <c r="C32" t="s">
        <v>194</v>
      </c>
      <c r="D32" s="80" t="s">
        <v>391</v>
      </c>
      <c r="E32" s="81" t="s">
        <v>392</v>
      </c>
      <c r="F32" s="82" t="s">
        <v>197</v>
      </c>
      <c r="G32" s="83" t="s">
        <v>384</v>
      </c>
      <c r="H32" s="84" t="s">
        <v>386</v>
      </c>
      <c r="I32" s="85" t="n">
        <v>1</v>
      </c>
      <c r="J32" s="86" t="n">
        <v>1</v>
      </c>
      <c r="K32" s="87" t="n">
        <v>0.004</v>
      </c>
      <c r="L32" s="88" t="n">
        <v>296341101.76159</v>
      </c>
      <c r="M32" s="89" t="n">
        <v>296341062.542853</v>
      </c>
      <c r="N32" s="90" t="str">
        <f>MIN(MAX((B32-'Calculation_Assumptions'!$B$5+1)/'Calculation_Assumptions'!$B$7,0),1)</f>
      </c>
      <c r="O32" s="91" t="str">
        <f>L32*I32</f>
      </c>
      <c r="P32" s="92" t="str">
        <f>M32*I32</f>
      </c>
      <c r="Q32" s="93" t="str">
        <f>P32*'Calculation_Assumptions'!$B$14*J32*K32</f>
      </c>
      <c r="R32" s="94" t="str">
        <f>O32*N32*J32*K32</f>
      </c>
      <c r="S32" s="95" t="str">
        <f>R32-Q32</f>
      </c>
      <c r="T32" s="96" t="str">
        <f>1/(1+'Calculation_Assumptions'!$B$8)^(B32-'Calculation_Assumptions'!$B$2)</f>
      </c>
      <c r="U32" s="97" t="str">
        <f>Q32*T32</f>
      </c>
      <c r="V32" s="98" t="str">
        <f>R32*T32</f>
      </c>
      <c r="W32" s="99" t="str">
        <f>S32*T32</f>
      </c>
      <c r="X32" t="n">
        <v>0</v>
      </c>
      <c r="Y32" s="100" t="n">
        <v>2017</v>
      </c>
      <c r="Z32" t="s">
        <v>389</v>
      </c>
      <c r="AA32" s="101" t="str">
        <f>IF(G32="shared-count-once",COUNTIFS($A$2:$A$807,A32,$B$2:$B$807,B32,$D$2:$D$807,D32),1)</f>
      </c>
    </row>
    <row r="33">
      <c r="A33" t="s">
        <v>194</v>
      </c>
      <c r="B33" s="79" t="n">
        <v>2030</v>
      </c>
      <c r="C33" t="s">
        <v>194</v>
      </c>
      <c r="D33" s="80" t="s">
        <v>391</v>
      </c>
      <c r="E33" s="81" t="s">
        <v>392</v>
      </c>
      <c r="F33" s="82" t="s">
        <v>197</v>
      </c>
      <c r="G33" s="83" t="s">
        <v>384</v>
      </c>
      <c r="H33" s="84" t="s">
        <v>386</v>
      </c>
      <c r="I33" s="85" t="n">
        <v>1</v>
      </c>
      <c r="J33" s="86" t="n">
        <v>1</v>
      </c>
      <c r="K33" s="87" t="n">
        <v>0.004</v>
      </c>
      <c r="L33" s="88" t="n">
        <v>298280375.781168</v>
      </c>
      <c r="M33" s="89" t="n">
        <v>298280286.057263</v>
      </c>
      <c r="N33" s="90" t="str">
        <f>MIN(MAX((B33-'Calculation_Assumptions'!$B$5+1)/'Calculation_Assumptions'!$B$7,0),1)</f>
      </c>
      <c r="O33" s="91" t="str">
        <f>L33*I33</f>
      </c>
      <c r="P33" s="92" t="str">
        <f>M33*I33</f>
      </c>
      <c r="Q33" s="93" t="str">
        <f>P33*'Calculation_Assumptions'!$B$14*J33*K33</f>
      </c>
      <c r="R33" s="94" t="str">
        <f>O33*N33*J33*K33</f>
      </c>
      <c r="S33" s="95" t="str">
        <f>R33-Q33</f>
      </c>
      <c r="T33" s="96" t="str">
        <f>1/(1+'Calculation_Assumptions'!$B$8)^(B33-'Calculation_Assumptions'!$B$2)</f>
      </c>
      <c r="U33" s="97" t="str">
        <f>Q33*T33</f>
      </c>
      <c r="V33" s="98" t="str">
        <f>R33*T33</f>
      </c>
      <c r="W33" s="99" t="str">
        <f>S33*T33</f>
      </c>
      <c r="X33" t="n">
        <v>0</v>
      </c>
      <c r="Y33" s="100" t="n">
        <v>2017</v>
      </c>
      <c r="Z33" t="s">
        <v>389</v>
      </c>
      <c r="AA33" s="101" t="str">
        <f>IF(G33="shared-count-once",COUNTIFS($A$2:$A$807,A33,$B$2:$B$807,B33,$D$2:$D$807,D33),1)</f>
      </c>
    </row>
    <row r="34">
      <c r="A34" t="s">
        <v>194</v>
      </c>
      <c r="B34" s="79" t="n">
        <v>2031</v>
      </c>
      <c r="C34" t="s">
        <v>194</v>
      </c>
      <c r="D34" s="80" t="s">
        <v>391</v>
      </c>
      <c r="E34" s="81" t="s">
        <v>392</v>
      </c>
      <c r="F34" s="82" t="s">
        <v>197</v>
      </c>
      <c r="G34" s="83" t="s">
        <v>384</v>
      </c>
      <c r="H34" s="84" t="s">
        <v>386</v>
      </c>
      <c r="I34" s="85" t="n">
        <v>1</v>
      </c>
      <c r="J34" s="86" t="n">
        <v>1</v>
      </c>
      <c r="K34" s="87" t="n">
        <v>0.004</v>
      </c>
      <c r="L34" s="88" t="n">
        <v>300152769.688411</v>
      </c>
      <c r="M34" s="89" t="n">
        <v>300152603.254782</v>
      </c>
      <c r="N34" s="90" t="str">
        <f>MIN(MAX((B34-'Calculation_Assumptions'!$B$5+1)/'Calculation_Assumptions'!$B$7,0),1)</f>
      </c>
      <c r="O34" s="91" t="str">
        <f>L34*I34</f>
      </c>
      <c r="P34" s="92" t="str">
        <f>M34*I34</f>
      </c>
      <c r="Q34" s="93" t="str">
        <f>P34*'Calculation_Assumptions'!$B$14*J34*K34</f>
      </c>
      <c r="R34" s="94" t="str">
        <f>O34*N34*J34*K34</f>
      </c>
      <c r="S34" s="95" t="str">
        <f>R34-Q34</f>
      </c>
      <c r="T34" s="96" t="str">
        <f>1/(1+'Calculation_Assumptions'!$B$8)^(B34-'Calculation_Assumptions'!$B$2)</f>
      </c>
      <c r="U34" s="97" t="str">
        <f>Q34*T34</f>
      </c>
      <c r="V34" s="98" t="str">
        <f>R34*T34</f>
      </c>
      <c r="W34" s="99" t="str">
        <f>S34*T34</f>
      </c>
      <c r="X34" t="n">
        <v>0</v>
      </c>
      <c r="Y34" s="100" t="n">
        <v>2017</v>
      </c>
      <c r="Z34" t="s">
        <v>389</v>
      </c>
      <c r="AA34" s="101" t="str">
        <f>IF(G34="shared-count-once",COUNTIFS($A$2:$A$807,A34,$B$2:$B$807,B34,$D$2:$D$807,D34),1)</f>
      </c>
    </row>
    <row r="35">
      <c r="A35" t="s">
        <v>194</v>
      </c>
      <c r="B35" s="79" t="n">
        <v>2032</v>
      </c>
      <c r="C35" t="s">
        <v>194</v>
      </c>
      <c r="D35" s="80" t="s">
        <v>391</v>
      </c>
      <c r="E35" s="81" t="s">
        <v>392</v>
      </c>
      <c r="F35" s="82" t="s">
        <v>197</v>
      </c>
      <c r="G35" s="83" t="s">
        <v>384</v>
      </c>
      <c r="H35" s="84" t="s">
        <v>386</v>
      </c>
      <c r="I35" s="85" t="n">
        <v>1</v>
      </c>
      <c r="J35" s="86" t="n">
        <v>1</v>
      </c>
      <c r="K35" s="87" t="n">
        <v>0.004</v>
      </c>
      <c r="L35" s="88" t="n">
        <v>301959672.138286</v>
      </c>
      <c r="M35" s="89" t="n">
        <v>301959399.633888</v>
      </c>
      <c r="N35" s="90" t="str">
        <f>MIN(MAX((B35-'Calculation_Assumptions'!$B$5+1)/'Calculation_Assumptions'!$B$7,0),1)</f>
      </c>
      <c r="O35" s="91" t="str">
        <f>L35*I35</f>
      </c>
      <c r="P35" s="92" t="str">
        <f>M35*I35</f>
      </c>
      <c r="Q35" s="93" t="str">
        <f>P35*'Calculation_Assumptions'!$B$14*J35*K35</f>
      </c>
      <c r="R35" s="94" t="str">
        <f>O35*N35*J35*K35</f>
      </c>
      <c r="S35" s="95" t="str">
        <f>R35-Q35</f>
      </c>
      <c r="T35" s="96" t="str">
        <f>1/(1+'Calculation_Assumptions'!$B$8)^(B35-'Calculation_Assumptions'!$B$2)</f>
      </c>
      <c r="U35" s="97" t="str">
        <f>Q35*T35</f>
      </c>
      <c r="V35" s="98" t="str">
        <f>R35*T35</f>
      </c>
      <c r="W35" s="99" t="str">
        <f>S35*T35</f>
      </c>
      <c r="X35" t="n">
        <v>0</v>
      </c>
      <c r="Y35" s="100" t="n">
        <v>2017</v>
      </c>
      <c r="Z35" t="s">
        <v>389</v>
      </c>
      <c r="AA35" s="101" t="str">
        <f>IF(G35="shared-count-once",COUNTIFS($A$2:$A$807,A35,$B$2:$B$807,B35,$D$2:$D$807,D35),1)</f>
      </c>
    </row>
    <row r="36">
      <c r="A36" t="s">
        <v>194</v>
      </c>
      <c r="B36" s="79" t="n">
        <v>2033</v>
      </c>
      <c r="C36" t="s">
        <v>194</v>
      </c>
      <c r="D36" s="80" t="s">
        <v>391</v>
      </c>
      <c r="E36" s="81" t="s">
        <v>392</v>
      </c>
      <c r="F36" s="82" t="s">
        <v>197</v>
      </c>
      <c r="G36" s="83" t="s">
        <v>384</v>
      </c>
      <c r="H36" s="84" t="s">
        <v>386</v>
      </c>
      <c r="I36" s="85" t="n">
        <v>1</v>
      </c>
      <c r="J36" s="86" t="n">
        <v>1</v>
      </c>
      <c r="K36" s="87" t="n">
        <v>0.004</v>
      </c>
      <c r="L36" s="88" t="n">
        <v>303619929.557106</v>
      </c>
      <c r="M36" s="89" t="n">
        <v>303701035.202051</v>
      </c>
      <c r="N36" s="90" t="str">
        <f>MIN(MAX((B36-'Calculation_Assumptions'!$B$5+1)/'Calculation_Assumptions'!$B$7,0),1)</f>
      </c>
      <c r="O36" s="91" t="str">
        <f>L36*I36</f>
      </c>
      <c r="P36" s="92" t="str">
        <f>M36*I36</f>
      </c>
      <c r="Q36" s="93" t="str">
        <f>P36*'Calculation_Assumptions'!$B$14*J36*K36</f>
      </c>
      <c r="R36" s="94" t="str">
        <f>O36*N36*J36*K36</f>
      </c>
      <c r="S36" s="95" t="str">
        <f>R36-Q36</f>
      </c>
      <c r="T36" s="96" t="str">
        <f>1/(1+'Calculation_Assumptions'!$B$8)^(B36-'Calculation_Assumptions'!$B$2)</f>
      </c>
      <c r="U36" s="97" t="str">
        <f>Q36*T36</f>
      </c>
      <c r="V36" s="98" t="str">
        <f>R36*T36</f>
      </c>
      <c r="W36" s="99" t="str">
        <f>S36*T36</f>
      </c>
      <c r="X36" t="n">
        <v>0</v>
      </c>
      <c r="Y36" s="100" t="n">
        <v>2017</v>
      </c>
      <c r="Z36" t="s">
        <v>389</v>
      </c>
      <c r="AA36" s="101" t="str">
        <f>IF(G36="shared-count-once",COUNTIFS($A$2:$A$807,A36,$B$2:$B$807,B36,$D$2:$D$807,D36),1)</f>
      </c>
    </row>
    <row r="37">
      <c r="A37" t="s">
        <v>194</v>
      </c>
      <c r="B37" s="79" t="n">
        <v>2034</v>
      </c>
      <c r="C37" t="s">
        <v>194</v>
      </c>
      <c r="D37" s="80" t="s">
        <v>391</v>
      </c>
      <c r="E37" s="81" t="s">
        <v>392</v>
      </c>
      <c r="F37" s="82" t="s">
        <v>197</v>
      </c>
      <c r="G37" s="83" t="s">
        <v>384</v>
      </c>
      <c r="H37" s="84" t="s">
        <v>386</v>
      </c>
      <c r="I37" s="85" t="n">
        <v>1</v>
      </c>
      <c r="J37" s="86" t="n">
        <v>1</v>
      </c>
      <c r="K37" s="87" t="n">
        <v>0.004</v>
      </c>
      <c r="L37" s="88" t="n">
        <v>305288556.978438</v>
      </c>
      <c r="M37" s="89" t="n">
        <v>305377998.093319</v>
      </c>
      <c r="N37" s="90" t="str">
        <f>MIN(MAX((B37-'Calculation_Assumptions'!$B$5+1)/'Calculation_Assumptions'!$B$7,0),1)</f>
      </c>
      <c r="O37" s="91" t="str">
        <f>L37*I37</f>
      </c>
      <c r="P37" s="92" t="str">
        <f>M37*I37</f>
      </c>
      <c r="Q37" s="93" t="str">
        <f>P37*'Calculation_Assumptions'!$B$14*J37*K37</f>
      </c>
      <c r="R37" s="94" t="str">
        <f>O37*N37*J37*K37</f>
      </c>
      <c r="S37" s="95" t="str">
        <f>R37-Q37</f>
      </c>
      <c r="T37" s="96" t="str">
        <f>1/(1+'Calculation_Assumptions'!$B$8)^(B37-'Calculation_Assumptions'!$B$2)</f>
      </c>
      <c r="U37" s="97" t="str">
        <f>Q37*T37</f>
      </c>
      <c r="V37" s="98" t="str">
        <f>R37*T37</f>
      </c>
      <c r="W37" s="99" t="str">
        <f>S37*T37</f>
      </c>
      <c r="X37" t="n">
        <v>0</v>
      </c>
      <c r="Y37" s="100" t="n">
        <v>2017</v>
      </c>
      <c r="Z37" t="s">
        <v>389</v>
      </c>
      <c r="AA37" s="101" t="str">
        <f>IF(G37="shared-count-once",COUNTIFS($A$2:$A$807,A37,$B$2:$B$807,B37,$D$2:$D$807,D37),1)</f>
      </c>
    </row>
    <row r="38">
      <c r="A38" t="s">
        <v>194</v>
      </c>
      <c r="B38" s="79" t="n">
        <v>2035</v>
      </c>
      <c r="C38" t="s">
        <v>194</v>
      </c>
      <c r="D38" s="80" t="s">
        <v>391</v>
      </c>
      <c r="E38" s="81" t="s">
        <v>392</v>
      </c>
      <c r="F38" s="82" t="s">
        <v>197</v>
      </c>
      <c r="G38" s="83" t="s">
        <v>384</v>
      </c>
      <c r="H38" s="84" t="s">
        <v>386</v>
      </c>
      <c r="I38" s="85" t="n">
        <v>1</v>
      </c>
      <c r="J38" s="86" t="n">
        <v>1</v>
      </c>
      <c r="K38" s="87" t="n">
        <v>0.004</v>
      </c>
      <c r="L38" s="88" t="n">
        <v>306891568.481244</v>
      </c>
      <c r="M38" s="89" t="n">
        <v>306989258.29407</v>
      </c>
      <c r="N38" s="90" t="str">
        <f>MIN(MAX((B38-'Calculation_Assumptions'!$B$5+1)/'Calculation_Assumptions'!$B$7,0),1)</f>
      </c>
      <c r="O38" s="91" t="str">
        <f>L38*I38</f>
      </c>
      <c r="P38" s="92" t="str">
        <f>M38*I38</f>
      </c>
      <c r="Q38" s="93" t="str">
        <f>P38*'Calculation_Assumptions'!$B$14*J38*K38</f>
      </c>
      <c r="R38" s="94" t="str">
        <f>O38*N38*J38*K38</f>
      </c>
      <c r="S38" s="95" t="str">
        <f>R38-Q38</f>
      </c>
      <c r="T38" s="96" t="str">
        <f>1/(1+'Calculation_Assumptions'!$B$8)^(B38-'Calculation_Assumptions'!$B$2)</f>
      </c>
      <c r="U38" s="97" t="str">
        <f>Q38*T38</f>
      </c>
      <c r="V38" s="98" t="str">
        <f>R38*T38</f>
      </c>
      <c r="W38" s="99" t="str">
        <f>S38*T38</f>
      </c>
      <c r="X38" t="n">
        <v>0</v>
      </c>
      <c r="Y38" s="100" t="n">
        <v>2017</v>
      </c>
      <c r="Z38" t="s">
        <v>389</v>
      </c>
      <c r="AA38" s="101" t="str">
        <f>IF(G38="shared-count-once",COUNTIFS($A$2:$A$807,A38,$B$2:$B$807,B38,$D$2:$D$807,D38),1)</f>
      </c>
    </row>
    <row r="39">
      <c r="A39" t="s">
        <v>194</v>
      </c>
      <c r="B39" s="79" t="n">
        <v>2036</v>
      </c>
      <c r="C39" t="s">
        <v>194</v>
      </c>
      <c r="D39" s="80" t="s">
        <v>391</v>
      </c>
      <c r="E39" s="81" t="s">
        <v>392</v>
      </c>
      <c r="F39" s="82" t="s">
        <v>197</v>
      </c>
      <c r="G39" s="83" t="s">
        <v>384</v>
      </c>
      <c r="H39" s="84" t="s">
        <v>386</v>
      </c>
      <c r="I39" s="85" t="n">
        <v>1</v>
      </c>
      <c r="J39" s="86" t="n">
        <v>1</v>
      </c>
      <c r="K39" s="87" t="n">
        <v>0.004</v>
      </c>
      <c r="L39" s="88" t="n">
        <v>308431796.538557</v>
      </c>
      <c r="M39" s="89" t="n">
        <v>308537399.672094</v>
      </c>
      <c r="N39" s="90" t="str">
        <f>MIN(MAX((B39-'Calculation_Assumptions'!$B$5+1)/'Calculation_Assumptions'!$B$7,0),1)</f>
      </c>
      <c r="O39" s="91" t="str">
        <f>L39*I39</f>
      </c>
      <c r="P39" s="92" t="str">
        <f>M39*I39</f>
      </c>
      <c r="Q39" s="93" t="str">
        <f>P39*'Calculation_Assumptions'!$B$14*J39*K39</f>
      </c>
      <c r="R39" s="94" t="str">
        <f>O39*N39*J39*K39</f>
      </c>
      <c r="S39" s="95" t="str">
        <f>R39-Q39</f>
      </c>
      <c r="T39" s="96" t="str">
        <f>1/(1+'Calculation_Assumptions'!$B$8)^(B39-'Calculation_Assumptions'!$B$2)</f>
      </c>
      <c r="U39" s="97" t="str">
        <f>Q39*T39</f>
      </c>
      <c r="V39" s="98" t="str">
        <f>R39*T39</f>
      </c>
      <c r="W39" s="99" t="str">
        <f>S39*T39</f>
      </c>
      <c r="X39" t="n">
        <v>0</v>
      </c>
      <c r="Y39" s="100" t="n">
        <v>2017</v>
      </c>
      <c r="Z39" t="s">
        <v>389</v>
      </c>
      <c r="AA39" s="101" t="str">
        <f>IF(G39="shared-count-once",COUNTIFS($A$2:$A$807,A39,$B$2:$B$807,B39,$D$2:$D$807,D39),1)</f>
      </c>
    </row>
    <row r="40">
      <c r="A40" t="s">
        <v>194</v>
      </c>
      <c r="B40" s="79" t="n">
        <v>2037</v>
      </c>
      <c r="C40" t="s">
        <v>194</v>
      </c>
      <c r="D40" s="80" t="s">
        <v>391</v>
      </c>
      <c r="E40" s="81" t="s">
        <v>392</v>
      </c>
      <c r="F40" s="82" t="s">
        <v>197</v>
      </c>
      <c r="G40" s="83" t="s">
        <v>384</v>
      </c>
      <c r="H40" s="84" t="s">
        <v>386</v>
      </c>
      <c r="I40" s="85" t="n">
        <v>1</v>
      </c>
      <c r="J40" s="86" t="n">
        <v>1</v>
      </c>
      <c r="K40" s="87" t="n">
        <v>0.004</v>
      </c>
      <c r="L40" s="88" t="n">
        <v>309910022.797467</v>
      </c>
      <c r="M40" s="89" t="n">
        <v>310023120.393472</v>
      </c>
      <c r="N40" s="90" t="str">
        <f>MIN(MAX((B40-'Calculation_Assumptions'!$B$5+1)/'Calculation_Assumptions'!$B$7,0),1)</f>
      </c>
      <c r="O40" s="91" t="str">
        <f>L40*I40</f>
      </c>
      <c r="P40" s="92" t="str">
        <f>M40*I40</f>
      </c>
      <c r="Q40" s="93" t="str">
        <f>P40*'Calculation_Assumptions'!$B$14*J40*K40</f>
      </c>
      <c r="R40" s="94" t="str">
        <f>O40*N40*J40*K40</f>
      </c>
      <c r="S40" s="95" t="str">
        <f>R40-Q40</f>
      </c>
      <c r="T40" s="96" t="str">
        <f>1/(1+'Calculation_Assumptions'!$B$8)^(B40-'Calculation_Assumptions'!$B$2)</f>
      </c>
      <c r="U40" s="97" t="str">
        <f>Q40*T40</f>
      </c>
      <c r="V40" s="98" t="str">
        <f>R40*T40</f>
      </c>
      <c r="W40" s="99" t="str">
        <f>S40*T40</f>
      </c>
      <c r="X40" t="n">
        <v>0</v>
      </c>
      <c r="Y40" s="100" t="n">
        <v>2017</v>
      </c>
      <c r="Z40" t="s">
        <v>389</v>
      </c>
      <c r="AA40" s="101" t="str">
        <f>IF(G40="shared-count-once",COUNTIFS($A$2:$A$807,A40,$B$2:$B$807,B40,$D$2:$D$807,D40),1)</f>
      </c>
    </row>
    <row r="41">
      <c r="A41" t="s">
        <v>194</v>
      </c>
      <c r="B41" s="79" t="n">
        <v>2038</v>
      </c>
      <c r="C41" t="s">
        <v>194</v>
      </c>
      <c r="D41" s="80" t="s">
        <v>391</v>
      </c>
      <c r="E41" s="81" t="s">
        <v>392</v>
      </c>
      <c r="F41" s="82" t="s">
        <v>197</v>
      </c>
      <c r="G41" s="83" t="s">
        <v>384</v>
      </c>
      <c r="H41" s="84" t="s">
        <v>386</v>
      </c>
      <c r="I41" s="85" t="n">
        <v>1</v>
      </c>
      <c r="J41" s="86" t="n">
        <v>1</v>
      </c>
      <c r="K41" s="87" t="n">
        <v>0.004</v>
      </c>
      <c r="L41" s="88" t="n">
        <v>311326322.835468</v>
      </c>
      <c r="M41" s="89" t="n">
        <v>311445837.134625</v>
      </c>
      <c r="N41" s="90" t="str">
        <f>MIN(MAX((B41-'Calculation_Assumptions'!$B$5+1)/'Calculation_Assumptions'!$B$7,0),1)</f>
      </c>
      <c r="O41" s="91" t="str">
        <f>L41*I41</f>
      </c>
      <c r="P41" s="92" t="str">
        <f>M41*I41</f>
      </c>
      <c r="Q41" s="93" t="str">
        <f>P41*'Calculation_Assumptions'!$B$14*J41*K41</f>
      </c>
      <c r="R41" s="94" t="str">
        <f>O41*N41*J41*K41</f>
      </c>
      <c r="S41" s="95" t="str">
        <f>R41-Q41</f>
      </c>
      <c r="T41" s="96" t="str">
        <f>1/(1+'Calculation_Assumptions'!$B$8)^(B41-'Calculation_Assumptions'!$B$2)</f>
      </c>
      <c r="U41" s="97" t="str">
        <f>Q41*T41</f>
      </c>
      <c r="V41" s="98" t="str">
        <f>R41*T41</f>
      </c>
      <c r="W41" s="99" t="str">
        <f>S41*T41</f>
      </c>
      <c r="X41" t="n">
        <v>0</v>
      </c>
      <c r="Y41" s="100" t="n">
        <v>2017</v>
      </c>
      <c r="Z41" t="s">
        <v>389</v>
      </c>
      <c r="AA41" s="101" t="str">
        <f>IF(G41="shared-count-once",COUNTIFS($A$2:$A$807,A41,$B$2:$B$807,B41,$D$2:$D$807,D41),1)</f>
      </c>
    </row>
    <row r="42">
      <c r="A42" t="s">
        <v>194</v>
      </c>
      <c r="B42" s="79" t="n">
        <v>2039</v>
      </c>
      <c r="C42" t="s">
        <v>194</v>
      </c>
      <c r="D42" s="80" t="s">
        <v>391</v>
      </c>
      <c r="E42" s="81" t="s">
        <v>392</v>
      </c>
      <c r="F42" s="82" t="s">
        <v>197</v>
      </c>
      <c r="G42" s="83" t="s">
        <v>384</v>
      </c>
      <c r="H42" s="84" t="s">
        <v>386</v>
      </c>
      <c r="I42" s="85" t="n">
        <v>1</v>
      </c>
      <c r="J42" s="86" t="n">
        <v>1</v>
      </c>
      <c r="K42" s="87" t="n">
        <v>0.004</v>
      </c>
      <c r="L42" s="88" t="n">
        <v>312681971.053662</v>
      </c>
      <c r="M42" s="89" t="n">
        <v>312806989.715685</v>
      </c>
      <c r="N42" s="90" t="str">
        <f>MIN(MAX((B42-'Calculation_Assumptions'!$B$5+1)/'Calculation_Assumptions'!$B$7,0),1)</f>
      </c>
      <c r="O42" s="91" t="str">
        <f>L42*I42</f>
      </c>
      <c r="P42" s="92" t="str">
        <f>M42*I42</f>
      </c>
      <c r="Q42" s="93" t="str">
        <f>P42*'Calculation_Assumptions'!$B$14*J42*K42</f>
      </c>
      <c r="R42" s="94" t="str">
        <f>O42*N42*J42*K42</f>
      </c>
      <c r="S42" s="95" t="str">
        <f>R42-Q42</f>
      </c>
      <c r="T42" s="96" t="str">
        <f>1/(1+'Calculation_Assumptions'!$B$8)^(B42-'Calculation_Assumptions'!$B$2)</f>
      </c>
      <c r="U42" s="97" t="str">
        <f>Q42*T42</f>
      </c>
      <c r="V42" s="98" t="str">
        <f>R42*T42</f>
      </c>
      <c r="W42" s="99" t="str">
        <f>S42*T42</f>
      </c>
      <c r="X42" t="n">
        <v>0</v>
      </c>
      <c r="Y42" s="100" t="n">
        <v>2017</v>
      </c>
      <c r="Z42" t="s">
        <v>389</v>
      </c>
      <c r="AA42" s="101" t="str">
        <f>IF(G42="shared-count-once",COUNTIFS($A$2:$A$807,A42,$B$2:$B$807,B42,$D$2:$D$807,D42),1)</f>
      </c>
    </row>
    <row r="43">
      <c r="A43" t="s">
        <v>194</v>
      </c>
      <c r="B43" s="79" t="n">
        <v>2040</v>
      </c>
      <c r="C43" t="s">
        <v>194</v>
      </c>
      <c r="D43" s="80" t="s">
        <v>391</v>
      </c>
      <c r="E43" s="81" t="s">
        <v>392</v>
      </c>
      <c r="F43" s="82" t="s">
        <v>197</v>
      </c>
      <c r="G43" s="83" t="s">
        <v>384</v>
      </c>
      <c r="H43" s="84" t="s">
        <v>386</v>
      </c>
      <c r="I43" s="85" t="n">
        <v>1</v>
      </c>
      <c r="J43" s="86" t="n">
        <v>1</v>
      </c>
      <c r="K43" s="87" t="n">
        <v>0.004</v>
      </c>
      <c r="L43" s="88" t="n">
        <v>313979368.951018</v>
      </c>
      <c r="M43" s="89" t="n">
        <v>314109251.582649</v>
      </c>
      <c r="N43" s="90" t="str">
        <f>MIN(MAX((B43-'Calculation_Assumptions'!$B$5+1)/'Calculation_Assumptions'!$B$7,0),1)</f>
      </c>
      <c r="O43" s="91" t="str">
        <f>L43*I43</f>
      </c>
      <c r="P43" s="92" t="str">
        <f>M43*I43</f>
      </c>
      <c r="Q43" s="93" t="str">
        <f>P43*'Calculation_Assumptions'!$B$14*J43*K43</f>
      </c>
      <c r="R43" s="94" t="str">
        <f>O43*N43*J43*K43</f>
      </c>
      <c r="S43" s="95" t="str">
        <f>R43-Q43</f>
      </c>
      <c r="T43" s="96" t="str">
        <f>1/(1+'Calculation_Assumptions'!$B$8)^(B43-'Calculation_Assumptions'!$B$2)</f>
      </c>
      <c r="U43" s="97" t="str">
        <f>Q43*T43</f>
      </c>
      <c r="V43" s="98" t="str">
        <f>R43*T43</f>
      </c>
      <c r="W43" s="99" t="str">
        <f>S43*T43</f>
      </c>
      <c r="X43" t="n">
        <v>0</v>
      </c>
      <c r="Y43" s="100" t="n">
        <v>2017</v>
      </c>
      <c r="Z43" t="s">
        <v>389</v>
      </c>
      <c r="AA43" s="101" t="str">
        <f>IF(G43="shared-count-once",COUNTIFS($A$2:$A$807,A43,$B$2:$B$807,B43,$D$2:$D$807,D43),1)</f>
      </c>
    </row>
    <row r="44">
      <c r="A44" t="s">
        <v>194</v>
      </c>
      <c r="B44" s="79" t="n">
        <v>2041</v>
      </c>
      <c r="C44" t="s">
        <v>194</v>
      </c>
      <c r="D44" s="80" t="s">
        <v>391</v>
      </c>
      <c r="E44" s="81" t="s">
        <v>392</v>
      </c>
      <c r="F44" s="82" t="s">
        <v>197</v>
      </c>
      <c r="G44" s="83" t="s">
        <v>384</v>
      </c>
      <c r="H44" s="84" t="s">
        <v>386</v>
      </c>
      <c r="I44" s="85" t="n">
        <v>1</v>
      </c>
      <c r="J44" s="86" t="n">
        <v>1</v>
      </c>
      <c r="K44" s="87" t="n">
        <v>0.004</v>
      </c>
      <c r="L44" s="88" t="n">
        <v>315217478.821541</v>
      </c>
      <c r="M44" s="89" t="n">
        <v>315352079.812423</v>
      </c>
      <c r="N44" s="90" t="str">
        <f>MIN(MAX((B44-'Calculation_Assumptions'!$B$5+1)/'Calculation_Assumptions'!$B$7,0),1)</f>
      </c>
      <c r="O44" s="91" t="str">
        <f>L44*I44</f>
      </c>
      <c r="P44" s="92" t="str">
        <f>M44*I44</f>
      </c>
      <c r="Q44" s="93" t="str">
        <f>P44*'Calculation_Assumptions'!$B$14*J44*K44</f>
      </c>
      <c r="R44" s="94" t="str">
        <f>O44*N44*J44*K44</f>
      </c>
      <c r="S44" s="95" t="str">
        <f>R44-Q44</f>
      </c>
      <c r="T44" s="96" t="str">
        <f>1/(1+'Calculation_Assumptions'!$B$8)^(B44-'Calculation_Assumptions'!$B$2)</f>
      </c>
      <c r="U44" s="97" t="str">
        <f>Q44*T44</f>
      </c>
      <c r="V44" s="98" t="str">
        <f>R44*T44</f>
      </c>
      <c r="W44" s="99" t="str">
        <f>S44*T44</f>
      </c>
      <c r="X44" t="n">
        <v>0</v>
      </c>
      <c r="Y44" s="100" t="n">
        <v>2017</v>
      </c>
      <c r="Z44" t="s">
        <v>389</v>
      </c>
      <c r="AA44" s="101" t="str">
        <f>IF(G44="shared-count-once",COUNTIFS($A$2:$A$807,A44,$B$2:$B$807,B44,$D$2:$D$807,D44),1)</f>
      </c>
    </row>
    <row r="45">
      <c r="A45" t="s">
        <v>194</v>
      </c>
      <c r="B45" s="79" t="n">
        <v>2042</v>
      </c>
      <c r="C45" t="s">
        <v>194</v>
      </c>
      <c r="D45" s="80" t="s">
        <v>391</v>
      </c>
      <c r="E45" s="81" t="s">
        <v>392</v>
      </c>
      <c r="F45" s="82" t="s">
        <v>197</v>
      </c>
      <c r="G45" s="83" t="s">
        <v>384</v>
      </c>
      <c r="H45" s="84" t="s">
        <v>386</v>
      </c>
      <c r="I45" s="85" t="n">
        <v>1</v>
      </c>
      <c r="J45" s="86" t="n">
        <v>1</v>
      </c>
      <c r="K45" s="87" t="n">
        <v>0.004</v>
      </c>
      <c r="L45" s="88" t="n">
        <v>316397142.035809</v>
      </c>
      <c r="M45" s="89" t="n">
        <v>316395286.312016</v>
      </c>
      <c r="N45" s="90" t="str">
        <f>MIN(MAX((B45-'Calculation_Assumptions'!$B$5+1)/'Calculation_Assumptions'!$B$7,0),1)</f>
      </c>
      <c r="O45" s="91" t="str">
        <f>L45*I45</f>
      </c>
      <c r="P45" s="92" t="str">
        <f>M45*I45</f>
      </c>
      <c r="Q45" s="93" t="str">
        <f>P45*'Calculation_Assumptions'!$B$14*J45*K45</f>
      </c>
      <c r="R45" s="94" t="str">
        <f>O45*N45*J45*K45</f>
      </c>
      <c r="S45" s="95" t="str">
        <f>R45-Q45</f>
      </c>
      <c r="T45" s="96" t="str">
        <f>1/(1+'Calculation_Assumptions'!$B$8)^(B45-'Calculation_Assumptions'!$B$2)</f>
      </c>
      <c r="U45" s="97" t="str">
        <f>Q45*T45</f>
      </c>
      <c r="V45" s="98" t="str">
        <f>R45*T45</f>
      </c>
      <c r="W45" s="99" t="str">
        <f>S45*T45</f>
      </c>
      <c r="X45" t="n">
        <v>0</v>
      </c>
      <c r="Y45" s="100" t="n">
        <v>2017</v>
      </c>
      <c r="Z45" t="s">
        <v>389</v>
      </c>
      <c r="AA45" s="101" t="str">
        <f>IF(G45="shared-count-once",COUNTIFS($A$2:$A$807,A45,$B$2:$B$807,B45,$D$2:$D$807,D45),1)</f>
      </c>
    </row>
    <row r="46">
      <c r="A46" t="s">
        <v>194</v>
      </c>
      <c r="B46" s="79" t="n">
        <v>2043</v>
      </c>
      <c r="C46" t="s">
        <v>194</v>
      </c>
      <c r="D46" s="80" t="s">
        <v>391</v>
      </c>
      <c r="E46" s="81" t="s">
        <v>392</v>
      </c>
      <c r="F46" s="82" t="s">
        <v>197</v>
      </c>
      <c r="G46" s="83" t="s">
        <v>384</v>
      </c>
      <c r="H46" s="84" t="s">
        <v>386</v>
      </c>
      <c r="I46" s="85" t="n">
        <v>1</v>
      </c>
      <c r="J46" s="86" t="n">
        <v>1</v>
      </c>
      <c r="K46" s="87" t="n">
        <v>0.004</v>
      </c>
      <c r="L46" s="88" t="n">
        <v>317476405.838319</v>
      </c>
      <c r="M46" s="89" t="n">
        <v>317619735.688289</v>
      </c>
      <c r="N46" s="90" t="str">
        <f>MIN(MAX((B46-'Calculation_Assumptions'!$B$5+1)/'Calculation_Assumptions'!$B$7,0),1)</f>
      </c>
      <c r="O46" s="91" t="str">
        <f>L46*I46</f>
      </c>
      <c r="P46" s="92" t="str">
        <f>M46*I46</f>
      </c>
      <c r="Q46" s="93" t="str">
        <f>P46*'Calculation_Assumptions'!$B$14*J46*K46</f>
      </c>
      <c r="R46" s="94" t="str">
        <f>O46*N46*J46*K46</f>
      </c>
      <c r="S46" s="95" t="str">
        <f>R46-Q46</f>
      </c>
      <c r="T46" s="96" t="str">
        <f>1/(1+'Calculation_Assumptions'!$B$8)^(B46-'Calculation_Assumptions'!$B$2)</f>
      </c>
      <c r="U46" s="97" t="str">
        <f>Q46*T46</f>
      </c>
      <c r="V46" s="98" t="str">
        <f>R46*T46</f>
      </c>
      <c r="W46" s="99" t="str">
        <f>S46*T46</f>
      </c>
      <c r="X46" t="n">
        <v>0</v>
      </c>
      <c r="Y46" s="100" t="n">
        <v>2017</v>
      </c>
      <c r="Z46" t="s">
        <v>389</v>
      </c>
      <c r="AA46" s="101" t="str">
        <f>IF(G46="shared-count-once",COUNTIFS($A$2:$A$807,A46,$B$2:$B$807,B46,$D$2:$D$807,D46),1)</f>
      </c>
    </row>
    <row r="47">
      <c r="A47" t="s">
        <v>194</v>
      </c>
      <c r="B47" s="79" t="n">
        <v>2044</v>
      </c>
      <c r="C47" t="s">
        <v>194</v>
      </c>
      <c r="D47" s="80" t="s">
        <v>391</v>
      </c>
      <c r="E47" s="81" t="s">
        <v>392</v>
      </c>
      <c r="F47" s="82" t="s">
        <v>197</v>
      </c>
      <c r="G47" s="83" t="s">
        <v>384</v>
      </c>
      <c r="H47" s="84" t="s">
        <v>386</v>
      </c>
      <c r="I47" s="85" t="n">
        <v>1</v>
      </c>
      <c r="J47" s="86" t="n">
        <v>1</v>
      </c>
      <c r="K47" s="87" t="n">
        <v>0.004</v>
      </c>
      <c r="L47" s="88" t="n">
        <v>318549959.065858</v>
      </c>
      <c r="M47" s="89" t="n">
        <v>318697135.863652</v>
      </c>
      <c r="N47" s="90" t="str">
        <f>MIN(MAX((B47-'Calculation_Assumptions'!$B$5+1)/'Calculation_Assumptions'!$B$7,0),1)</f>
      </c>
      <c r="O47" s="91" t="str">
        <f>L47*I47</f>
      </c>
      <c r="P47" s="92" t="str">
        <f>M47*I47</f>
      </c>
      <c r="Q47" s="93" t="str">
        <f>P47*'Calculation_Assumptions'!$B$14*J47*K47</f>
      </c>
      <c r="R47" s="94" t="str">
        <f>O47*N47*J47*K47</f>
      </c>
      <c r="S47" s="95" t="str">
        <f>R47-Q47</f>
      </c>
      <c r="T47" s="96" t="str">
        <f>1/(1+'Calculation_Assumptions'!$B$8)^(B47-'Calculation_Assumptions'!$B$2)</f>
      </c>
      <c r="U47" s="97" t="str">
        <f>Q47*T47</f>
      </c>
      <c r="V47" s="98" t="str">
        <f>R47*T47</f>
      </c>
      <c r="W47" s="99" t="str">
        <f>S47*T47</f>
      </c>
      <c r="X47" t="n">
        <v>0</v>
      </c>
      <c r="Y47" s="100" t="n">
        <v>2017</v>
      </c>
      <c r="Z47" t="s">
        <v>389</v>
      </c>
      <c r="AA47" s="101" t="str">
        <f>IF(G47="shared-count-once",COUNTIFS($A$2:$A$807,A47,$B$2:$B$807,B47,$D$2:$D$807,D47),1)</f>
      </c>
    </row>
    <row r="48">
      <c r="A48" t="s">
        <v>194</v>
      </c>
      <c r="B48" s="79" t="n">
        <v>2045</v>
      </c>
      <c r="C48" t="s">
        <v>194</v>
      </c>
      <c r="D48" s="80" t="s">
        <v>391</v>
      </c>
      <c r="E48" s="81" t="s">
        <v>392</v>
      </c>
      <c r="F48" s="82" t="s">
        <v>197</v>
      </c>
      <c r="G48" s="83" t="s">
        <v>384</v>
      </c>
      <c r="H48" s="84" t="s">
        <v>386</v>
      </c>
      <c r="I48" s="85" t="n">
        <v>1</v>
      </c>
      <c r="J48" s="86" t="n">
        <v>1</v>
      </c>
      <c r="K48" s="87" t="n">
        <v>0.004</v>
      </c>
      <c r="L48" s="88" t="n">
        <v>319565922.502711</v>
      </c>
      <c r="M48" s="89" t="n">
        <v>319717840.85179</v>
      </c>
      <c r="N48" s="90" t="str">
        <f>MIN(MAX((B48-'Calculation_Assumptions'!$B$5+1)/'Calculation_Assumptions'!$B$7,0),1)</f>
      </c>
      <c r="O48" s="91" t="str">
        <f>L48*I48</f>
      </c>
      <c r="P48" s="92" t="str">
        <f>M48*I48</f>
      </c>
      <c r="Q48" s="93" t="str">
        <f>P48*'Calculation_Assumptions'!$B$14*J48*K48</f>
      </c>
      <c r="R48" s="94" t="str">
        <f>O48*N48*J48*K48</f>
      </c>
      <c r="S48" s="95" t="str">
        <f>R48-Q48</f>
      </c>
      <c r="T48" s="96" t="str">
        <f>1/(1+'Calculation_Assumptions'!$B$8)^(B48-'Calculation_Assumptions'!$B$2)</f>
      </c>
      <c r="U48" s="97" t="str">
        <f>Q48*T48</f>
      </c>
      <c r="V48" s="98" t="str">
        <f>R48*T48</f>
      </c>
      <c r="W48" s="99" t="str">
        <f>S48*T48</f>
      </c>
      <c r="X48" t="n">
        <v>0</v>
      </c>
      <c r="Y48" s="100" t="n">
        <v>2017</v>
      </c>
      <c r="Z48" t="s">
        <v>389</v>
      </c>
      <c r="AA48" s="101" t="str">
        <f>IF(G48="shared-count-once",COUNTIFS($A$2:$A$807,A48,$B$2:$B$807,B48,$D$2:$D$807,D48),1)</f>
      </c>
    </row>
    <row r="49">
      <c r="A49" t="s">
        <v>194</v>
      </c>
      <c r="B49" s="79" t="n">
        <v>2046</v>
      </c>
      <c r="C49" t="s">
        <v>194</v>
      </c>
      <c r="D49" s="80" t="s">
        <v>391</v>
      </c>
      <c r="E49" s="81" t="s">
        <v>392</v>
      </c>
      <c r="F49" s="82" t="s">
        <v>197</v>
      </c>
      <c r="G49" s="83" t="s">
        <v>384</v>
      </c>
      <c r="H49" s="84" t="s">
        <v>386</v>
      </c>
      <c r="I49" s="85" t="n">
        <v>1</v>
      </c>
      <c r="J49" s="86" t="n">
        <v>1</v>
      </c>
      <c r="K49" s="87" t="n">
        <v>0.004</v>
      </c>
      <c r="L49" s="88" t="n">
        <v>320525237.832291</v>
      </c>
      <c r="M49" s="89" t="n">
        <v>320683879.806276</v>
      </c>
      <c r="N49" s="90" t="str">
        <f>MIN(MAX((B49-'Calculation_Assumptions'!$B$5+1)/'Calculation_Assumptions'!$B$7,0),1)</f>
      </c>
      <c r="O49" s="91" t="str">
        <f>L49*I49</f>
      </c>
      <c r="P49" s="92" t="str">
        <f>M49*I49</f>
      </c>
      <c r="Q49" s="93" t="str">
        <f>P49*'Calculation_Assumptions'!$B$14*J49*K49</f>
      </c>
      <c r="R49" s="94" t="str">
        <f>O49*N49*J49*K49</f>
      </c>
      <c r="S49" s="95" t="str">
        <f>R49-Q49</f>
      </c>
      <c r="T49" s="96" t="str">
        <f>1/(1+'Calculation_Assumptions'!$B$8)^(B49-'Calculation_Assumptions'!$B$2)</f>
      </c>
      <c r="U49" s="97" t="str">
        <f>Q49*T49</f>
      </c>
      <c r="V49" s="98" t="str">
        <f>R49*T49</f>
      </c>
      <c r="W49" s="99" t="str">
        <f>S49*T49</f>
      </c>
      <c r="X49" t="n">
        <v>0</v>
      </c>
      <c r="Y49" s="100" t="n">
        <v>2017</v>
      </c>
      <c r="Z49" t="s">
        <v>389</v>
      </c>
      <c r="AA49" s="101" t="str">
        <f>IF(G49="shared-count-once",COUNTIFS($A$2:$A$807,A49,$B$2:$B$807,B49,$D$2:$D$807,D49),1)</f>
      </c>
    </row>
    <row r="50">
      <c r="A50" t="s">
        <v>194</v>
      </c>
      <c r="B50" s="79" t="n">
        <v>2047</v>
      </c>
      <c r="C50" t="s">
        <v>194</v>
      </c>
      <c r="D50" s="80" t="s">
        <v>391</v>
      </c>
      <c r="E50" s="81" t="s">
        <v>392</v>
      </c>
      <c r="F50" s="82" t="s">
        <v>197</v>
      </c>
      <c r="G50" s="83" t="s">
        <v>384</v>
      </c>
      <c r="H50" s="84" t="s">
        <v>386</v>
      </c>
      <c r="I50" s="85" t="n">
        <v>1</v>
      </c>
      <c r="J50" s="86" t="n">
        <v>1</v>
      </c>
      <c r="K50" s="87" t="n">
        <v>0.004</v>
      </c>
      <c r="L50" s="88" t="n">
        <v>321428915.322327</v>
      </c>
      <c r="M50" s="89" t="n">
        <v>321595541.389526</v>
      </c>
      <c r="N50" s="90" t="str">
        <f>MIN(MAX((B50-'Calculation_Assumptions'!$B$5+1)/'Calculation_Assumptions'!$B$7,0),1)</f>
      </c>
      <c r="O50" s="91" t="str">
        <f>L50*I50</f>
      </c>
      <c r="P50" s="92" t="str">
        <f>M50*I50</f>
      </c>
      <c r="Q50" s="93" t="str">
        <f>P50*'Calculation_Assumptions'!$B$14*J50*K50</f>
      </c>
      <c r="R50" s="94" t="str">
        <f>O50*N50*J50*K50</f>
      </c>
      <c r="S50" s="95" t="str">
        <f>R50-Q50</f>
      </c>
      <c r="T50" s="96" t="str">
        <f>1/(1+'Calculation_Assumptions'!$B$8)^(B50-'Calculation_Assumptions'!$B$2)</f>
      </c>
      <c r="U50" s="97" t="str">
        <f>Q50*T50</f>
      </c>
      <c r="V50" s="98" t="str">
        <f>R50*T50</f>
      </c>
      <c r="W50" s="99" t="str">
        <f>S50*T50</f>
      </c>
      <c r="X50" t="n">
        <v>0</v>
      </c>
      <c r="Y50" s="100" t="n">
        <v>2017</v>
      </c>
      <c r="Z50" t="s">
        <v>389</v>
      </c>
      <c r="AA50" s="101" t="str">
        <f>IF(G50="shared-count-once",COUNTIFS($A$2:$A$807,A50,$B$2:$B$807,B50,$D$2:$D$807,D50),1)</f>
      </c>
    </row>
    <row r="51">
      <c r="A51" t="s">
        <v>194</v>
      </c>
      <c r="B51" s="79" t="n">
        <v>2048</v>
      </c>
      <c r="C51" t="s">
        <v>194</v>
      </c>
      <c r="D51" s="80" t="s">
        <v>391</v>
      </c>
      <c r="E51" s="81" t="s">
        <v>392</v>
      </c>
      <c r="F51" s="82" t="s">
        <v>197</v>
      </c>
      <c r="G51" s="83" t="s">
        <v>384</v>
      </c>
      <c r="H51" s="84" t="s">
        <v>386</v>
      </c>
      <c r="I51" s="85" t="n">
        <v>1</v>
      </c>
      <c r="J51" s="86" t="n">
        <v>1</v>
      </c>
      <c r="K51" s="87" t="n">
        <v>0.004</v>
      </c>
      <c r="L51" s="88" t="n">
        <v>322278038.894671</v>
      </c>
      <c r="M51" s="89" t="n">
        <v>322453622.669464</v>
      </c>
      <c r="N51" s="90" t="str">
        <f>MIN(MAX((B51-'Calculation_Assumptions'!$B$5+1)/'Calculation_Assumptions'!$B$7,0),1)</f>
      </c>
      <c r="O51" s="91" t="str">
        <f>L51*I51</f>
      </c>
      <c r="P51" s="92" t="str">
        <f>M51*I51</f>
      </c>
      <c r="Q51" s="93" t="str">
        <f>P51*'Calculation_Assumptions'!$B$14*J51*K51</f>
      </c>
      <c r="R51" s="94" t="str">
        <f>O51*N51*J51*K51</f>
      </c>
      <c r="S51" s="95" t="str">
        <f>R51-Q51</f>
      </c>
      <c r="T51" s="96" t="str">
        <f>1/(1+'Calculation_Assumptions'!$B$8)^(B51-'Calculation_Assumptions'!$B$2)</f>
      </c>
      <c r="U51" s="97" t="str">
        <f>Q51*T51</f>
      </c>
      <c r="V51" s="98" t="str">
        <f>R51*T51</f>
      </c>
      <c r="W51" s="99" t="str">
        <f>S51*T51</f>
      </c>
      <c r="X51" t="n">
        <v>0</v>
      </c>
      <c r="Y51" s="100" t="n">
        <v>2017</v>
      </c>
      <c r="Z51" t="s">
        <v>389</v>
      </c>
      <c r="AA51" s="101" t="str">
        <f>IF(G51="shared-count-once",COUNTIFS($A$2:$A$807,A51,$B$2:$B$807,B51,$D$2:$D$807,D51),1)</f>
      </c>
    </row>
    <row r="52">
      <c r="A52" t="s">
        <v>194</v>
      </c>
      <c r="B52" s="79" t="n">
        <v>2049</v>
      </c>
      <c r="C52" t="s">
        <v>194</v>
      </c>
      <c r="D52" s="80" t="s">
        <v>391</v>
      </c>
      <c r="E52" s="81" t="s">
        <v>392</v>
      </c>
      <c r="F52" s="82" t="s">
        <v>197</v>
      </c>
      <c r="G52" s="83" t="s">
        <v>384</v>
      </c>
      <c r="H52" s="84" t="s">
        <v>386</v>
      </c>
      <c r="I52" s="85" t="n">
        <v>1</v>
      </c>
      <c r="J52" s="86" t="n">
        <v>1</v>
      </c>
      <c r="K52" s="87" t="n">
        <v>0.004</v>
      </c>
      <c r="L52" s="88" t="n">
        <v>323073854.522179</v>
      </c>
      <c r="M52" s="89" t="n">
        <v>323259246.716719</v>
      </c>
      <c r="N52" s="90" t="str">
        <f>MIN(MAX((B52-'Calculation_Assumptions'!$B$5+1)/'Calculation_Assumptions'!$B$7,0),1)</f>
      </c>
      <c r="O52" s="91" t="str">
        <f>L52*I52</f>
      </c>
      <c r="P52" s="92" t="str">
        <f>M52*I52</f>
      </c>
      <c r="Q52" s="93" t="str">
        <f>P52*'Calculation_Assumptions'!$B$14*J52*K52</f>
      </c>
      <c r="R52" s="94" t="str">
        <f>O52*N52*J52*K52</f>
      </c>
      <c r="S52" s="95" t="str">
        <f>R52-Q52</f>
      </c>
      <c r="T52" s="96" t="str">
        <f>1/(1+'Calculation_Assumptions'!$B$8)^(B52-'Calculation_Assumptions'!$B$2)</f>
      </c>
      <c r="U52" s="97" t="str">
        <f>Q52*T52</f>
      </c>
      <c r="V52" s="98" t="str">
        <f>R52*T52</f>
      </c>
      <c r="W52" s="99" t="str">
        <f>S52*T52</f>
      </c>
      <c r="X52" t="n">
        <v>0</v>
      </c>
      <c r="Y52" s="100" t="n">
        <v>2017</v>
      </c>
      <c r="Z52" t="s">
        <v>389</v>
      </c>
      <c r="AA52" s="101" t="str">
        <f>IF(G52="shared-count-once",COUNTIFS($A$2:$A$807,A52,$B$2:$B$807,B52,$D$2:$D$807,D52),1)</f>
      </c>
    </row>
    <row r="53">
      <c r="A53" t="s">
        <v>194</v>
      </c>
      <c r="B53" s="79" t="n">
        <v>2050</v>
      </c>
      <c r="C53" t="s">
        <v>194</v>
      </c>
      <c r="D53" s="80" t="s">
        <v>391</v>
      </c>
      <c r="E53" s="81" t="s">
        <v>392</v>
      </c>
      <c r="F53" s="82" t="s">
        <v>197</v>
      </c>
      <c r="G53" s="83" t="s">
        <v>384</v>
      </c>
      <c r="H53" s="84" t="s">
        <v>386</v>
      </c>
      <c r="I53" s="85" t="n">
        <v>1</v>
      </c>
      <c r="J53" s="86" t="n">
        <v>1</v>
      </c>
      <c r="K53" s="87" t="n">
        <v>0.004</v>
      </c>
      <c r="L53" s="88" t="n">
        <v>323817814.23587</v>
      </c>
      <c r="M53" s="89" t="n">
        <v>324013738.182479</v>
      </c>
      <c r="N53" s="90" t="str">
        <f>MIN(MAX((B53-'Calculation_Assumptions'!$B$5+1)/'Calculation_Assumptions'!$B$7,0),1)</f>
      </c>
      <c r="O53" s="91" t="str">
        <f>L53*I53</f>
      </c>
      <c r="P53" s="92" t="str">
        <f>M53*I53</f>
      </c>
      <c r="Q53" s="93" t="str">
        <f>P53*'Calculation_Assumptions'!$B$14*J53*K53</f>
      </c>
      <c r="R53" s="94" t="str">
        <f>O53*N53*J53*K53</f>
      </c>
      <c r="S53" s="95" t="str">
        <f>R53-Q53</f>
      </c>
      <c r="T53" s="96" t="str">
        <f>1/(1+'Calculation_Assumptions'!$B$8)^(B53-'Calculation_Assumptions'!$B$2)</f>
      </c>
      <c r="U53" s="97" t="str">
        <f>Q53*T53</f>
      </c>
      <c r="V53" s="98" t="str">
        <f>R53*T53</f>
      </c>
      <c r="W53" s="99" t="str">
        <f>S53*T53</f>
      </c>
      <c r="X53" t="n">
        <v>0</v>
      </c>
      <c r="Y53" s="100" t="n">
        <v>2017</v>
      </c>
      <c r="Z53" t="s">
        <v>389</v>
      </c>
      <c r="AA53" s="101" t="str">
        <f>IF(G53="shared-count-once",COUNTIFS($A$2:$A$807,A53,$B$2:$B$807,B53,$D$2:$D$807,D53),1)</f>
      </c>
    </row>
    <row r="54">
      <c r="A54" t="s">
        <v>267</v>
      </c>
      <c r="B54" s="79" t="n">
        <v>2025</v>
      </c>
      <c r="C54" t="s">
        <v>267</v>
      </c>
      <c r="D54" s="80" t="s">
        <v>411</v>
      </c>
      <c r="E54" s="81" t="s">
        <v>412</v>
      </c>
      <c r="F54" s="82" t="s">
        <v>270</v>
      </c>
      <c r="G54" s="83" t="s">
        <v>395</v>
      </c>
      <c r="H54" s="84" t="s">
        <v>386</v>
      </c>
      <c r="I54" s="85" t="n">
        <v>1</v>
      </c>
      <c r="J54" s="86" t="n">
        <v>1</v>
      </c>
      <c r="K54" s="87" t="n">
        <v>0.0077</v>
      </c>
      <c r="L54" s="88" t="n">
        <v>288000821.106462</v>
      </c>
      <c r="M54" s="89" t="n">
        <v>288000821.106462</v>
      </c>
      <c r="N54" s="90" t="str">
        <f>MIN(MAX((B54-'Calculation_Assumptions'!$B$5+1)/'Calculation_Assumptions'!$B$7,0),1)</f>
      </c>
      <c r="O54" s="91" t="str">
        <f>L54*I54</f>
      </c>
      <c r="P54" s="92" t="str">
        <f>M54*I54</f>
      </c>
      <c r="Q54" s="93" t="str">
        <f>P54*'Calculation_Assumptions'!$B$14*J54*K54</f>
      </c>
      <c r="R54" s="94" t="str">
        <f>O54*N54*J54*K54</f>
      </c>
      <c r="S54" s="95" t="str">
        <f>R54-Q54</f>
      </c>
      <c r="T54" s="96" t="str">
        <f>1/(1+'Calculation_Assumptions'!$B$8)^(B54-'Calculation_Assumptions'!$B$2)</f>
      </c>
      <c r="U54" s="97" t="str">
        <f>Q54*T54</f>
      </c>
      <c r="V54" s="98" t="str">
        <f>R54*T54</f>
      </c>
      <c r="W54" s="99" t="str">
        <f>S54*T54</f>
      </c>
      <c r="X54" t="n">
        <v>0</v>
      </c>
      <c r="Y54" s="100" t="n">
        <v>2017</v>
      </c>
      <c r="Z54" t="s">
        <v>389</v>
      </c>
      <c r="AA54" s="101" t="str">
        <f>IF(G54="shared-count-once",COUNTIFS($A$2:$A$807,A54,$B$2:$B$807,B54,$D$2:$D$807,D54),1)</f>
      </c>
    </row>
    <row r="55">
      <c r="A55" t="s">
        <v>267</v>
      </c>
      <c r="B55" s="79" t="n">
        <v>2026</v>
      </c>
      <c r="C55" t="s">
        <v>267</v>
      </c>
      <c r="D55" s="80" t="s">
        <v>411</v>
      </c>
      <c r="E55" s="81" t="s">
        <v>412</v>
      </c>
      <c r="F55" s="82" t="s">
        <v>270</v>
      </c>
      <c r="G55" s="83" t="s">
        <v>395</v>
      </c>
      <c r="H55" s="84" t="s">
        <v>386</v>
      </c>
      <c r="I55" s="85" t="n">
        <v>1</v>
      </c>
      <c r="J55" s="86" t="n">
        <v>1</v>
      </c>
      <c r="K55" s="87" t="n">
        <v>0.0077</v>
      </c>
      <c r="L55" s="88" t="n">
        <v>290123496.103219</v>
      </c>
      <c r="M55" s="89" t="n">
        <v>290123496.103219</v>
      </c>
      <c r="N55" s="90" t="str">
        <f>MIN(MAX((B55-'Calculation_Assumptions'!$B$5+1)/'Calculation_Assumptions'!$B$7,0),1)</f>
      </c>
      <c r="O55" s="91" t="str">
        <f>L55*I55</f>
      </c>
      <c r="P55" s="92" t="str">
        <f>M55*I55</f>
      </c>
      <c r="Q55" s="93" t="str">
        <f>P55*'Calculation_Assumptions'!$B$14*J55*K55</f>
      </c>
      <c r="R55" s="94" t="str">
        <f>O55*N55*J55*K55</f>
      </c>
      <c r="S55" s="95" t="str">
        <f>R55-Q55</f>
      </c>
      <c r="T55" s="96" t="str">
        <f>1/(1+'Calculation_Assumptions'!$B$8)^(B55-'Calculation_Assumptions'!$B$2)</f>
      </c>
      <c r="U55" s="97" t="str">
        <f>Q55*T55</f>
      </c>
      <c r="V55" s="98" t="str">
        <f>R55*T55</f>
      </c>
      <c r="W55" s="99" t="str">
        <f>S55*T55</f>
      </c>
      <c r="X55" t="n">
        <v>0</v>
      </c>
      <c r="Y55" s="100" t="n">
        <v>2017</v>
      </c>
      <c r="Z55" t="s">
        <v>389</v>
      </c>
      <c r="AA55" s="101" t="str">
        <f>IF(G55="shared-count-once",COUNTIFS($A$2:$A$807,A55,$B$2:$B$807,B55,$D$2:$D$807,D55),1)</f>
      </c>
    </row>
    <row r="56">
      <c r="A56" t="s">
        <v>267</v>
      </c>
      <c r="B56" s="79" t="n">
        <v>2027</v>
      </c>
      <c r="C56" t="s">
        <v>267</v>
      </c>
      <c r="D56" s="80" t="s">
        <v>411</v>
      </c>
      <c r="E56" s="81" t="s">
        <v>412</v>
      </c>
      <c r="F56" s="82" t="s">
        <v>270</v>
      </c>
      <c r="G56" s="83" t="s">
        <v>395</v>
      </c>
      <c r="H56" s="84" t="s">
        <v>386</v>
      </c>
      <c r="I56" s="85" t="n">
        <v>1</v>
      </c>
      <c r="J56" s="86" t="n">
        <v>1</v>
      </c>
      <c r="K56" s="87" t="n">
        <v>0.0077</v>
      </c>
      <c r="L56" s="88" t="n">
        <v>292252895.096956</v>
      </c>
      <c r="M56" s="89" t="n">
        <v>292252895.096956</v>
      </c>
      <c r="N56" s="90" t="str">
        <f>MIN(MAX((B56-'Calculation_Assumptions'!$B$5+1)/'Calculation_Assumptions'!$B$7,0),1)</f>
      </c>
      <c r="O56" s="91" t="str">
        <f>L56*I56</f>
      </c>
      <c r="P56" s="92" t="str">
        <f>M56*I56</f>
      </c>
      <c r="Q56" s="93" t="str">
        <f>P56*'Calculation_Assumptions'!$B$14*J56*K56</f>
      </c>
      <c r="R56" s="94" t="str">
        <f>O56*N56*J56*K56</f>
      </c>
      <c r="S56" s="95" t="str">
        <f>R56-Q56</f>
      </c>
      <c r="T56" s="96" t="str">
        <f>1/(1+'Calculation_Assumptions'!$B$8)^(B56-'Calculation_Assumptions'!$B$2)</f>
      </c>
      <c r="U56" s="97" t="str">
        <f>Q56*T56</f>
      </c>
      <c r="V56" s="98" t="str">
        <f>R56*T56</f>
      </c>
      <c r="W56" s="99" t="str">
        <f>S56*T56</f>
      </c>
      <c r="X56" t="n">
        <v>0</v>
      </c>
      <c r="Y56" s="100" t="n">
        <v>2017</v>
      </c>
      <c r="Z56" t="s">
        <v>389</v>
      </c>
      <c r="AA56" s="101" t="str">
        <f>IF(G56="shared-count-once",COUNTIFS($A$2:$A$807,A56,$B$2:$B$807,B56,$D$2:$D$807,D56),1)</f>
      </c>
    </row>
    <row r="57">
      <c r="A57" t="s">
        <v>267</v>
      </c>
      <c r="B57" s="79" t="n">
        <v>2028</v>
      </c>
      <c r="C57" t="s">
        <v>267</v>
      </c>
      <c r="D57" s="80" t="s">
        <v>411</v>
      </c>
      <c r="E57" s="81" t="s">
        <v>412</v>
      </c>
      <c r="F57" s="82" t="s">
        <v>270</v>
      </c>
      <c r="G57" s="83" t="s">
        <v>395</v>
      </c>
      <c r="H57" s="84" t="s">
        <v>386</v>
      </c>
      <c r="I57" s="85" t="n">
        <v>1</v>
      </c>
      <c r="J57" s="86" t="n">
        <v>1</v>
      </c>
      <c r="K57" s="87" t="n">
        <v>0.0077</v>
      </c>
      <c r="L57" s="88" t="n">
        <v>294314895.305465</v>
      </c>
      <c r="M57" s="89" t="n">
        <v>294314895.305465</v>
      </c>
      <c r="N57" s="90" t="str">
        <f>MIN(MAX((B57-'Calculation_Assumptions'!$B$5+1)/'Calculation_Assumptions'!$B$7,0),1)</f>
      </c>
      <c r="O57" s="91" t="str">
        <f>L57*I57</f>
      </c>
      <c r="P57" s="92" t="str">
        <f>M57*I57</f>
      </c>
      <c r="Q57" s="93" t="str">
        <f>P57*'Calculation_Assumptions'!$B$14*J57*K57</f>
      </c>
      <c r="R57" s="94" t="str">
        <f>O57*N57*J57*K57</f>
      </c>
      <c r="S57" s="95" t="str">
        <f>R57-Q57</f>
      </c>
      <c r="T57" s="96" t="str">
        <f>1/(1+'Calculation_Assumptions'!$B$8)^(B57-'Calculation_Assumptions'!$B$2)</f>
      </c>
      <c r="U57" s="97" t="str">
        <f>Q57*T57</f>
      </c>
      <c r="V57" s="98" t="str">
        <f>R57*T57</f>
      </c>
      <c r="W57" s="99" t="str">
        <f>S57*T57</f>
      </c>
      <c r="X57" t="n">
        <v>0</v>
      </c>
      <c r="Y57" s="100" t="n">
        <v>2017</v>
      </c>
      <c r="Z57" t="s">
        <v>389</v>
      </c>
      <c r="AA57" s="101" t="str">
        <f>IF(G57="shared-count-once",COUNTIFS($A$2:$A$807,A57,$B$2:$B$807,B57,$D$2:$D$807,D57),1)</f>
      </c>
    </row>
    <row r="58">
      <c r="A58" t="s">
        <v>267</v>
      </c>
      <c r="B58" s="79" t="n">
        <v>2029</v>
      </c>
      <c r="C58" t="s">
        <v>267</v>
      </c>
      <c r="D58" s="80" t="s">
        <v>411</v>
      </c>
      <c r="E58" s="81" t="s">
        <v>412</v>
      </c>
      <c r="F58" s="82" t="s">
        <v>270</v>
      </c>
      <c r="G58" s="83" t="s">
        <v>395</v>
      </c>
      <c r="H58" s="84" t="s">
        <v>386</v>
      </c>
      <c r="I58" s="85" t="n">
        <v>1</v>
      </c>
      <c r="J58" s="86" t="n">
        <v>1</v>
      </c>
      <c r="K58" s="87" t="n">
        <v>0.0077</v>
      </c>
      <c r="L58" s="88" t="n">
        <v>296290949.287027</v>
      </c>
      <c r="M58" s="89" t="n">
        <v>296341062.542853</v>
      </c>
      <c r="N58" s="90" t="str">
        <f>MIN(MAX((B58-'Calculation_Assumptions'!$B$5+1)/'Calculation_Assumptions'!$B$7,0),1)</f>
      </c>
      <c r="O58" s="91" t="str">
        <f>L58*I58</f>
      </c>
      <c r="P58" s="92" t="str">
        <f>M58*I58</f>
      </c>
      <c r="Q58" s="93" t="str">
        <f>P58*'Calculation_Assumptions'!$B$14*J58*K58</f>
      </c>
      <c r="R58" s="94" t="str">
        <f>O58*N58*J58*K58</f>
      </c>
      <c r="S58" s="95" t="str">
        <f>R58-Q58</f>
      </c>
      <c r="T58" s="96" t="str">
        <f>1/(1+'Calculation_Assumptions'!$B$8)^(B58-'Calculation_Assumptions'!$B$2)</f>
      </c>
      <c r="U58" s="97" t="str">
        <f>Q58*T58</f>
      </c>
      <c r="V58" s="98" t="str">
        <f>R58*T58</f>
      </c>
      <c r="W58" s="99" t="str">
        <f>S58*T58</f>
      </c>
      <c r="X58" t="n">
        <v>0</v>
      </c>
      <c r="Y58" s="100" t="n">
        <v>2017</v>
      </c>
      <c r="Z58" t="s">
        <v>389</v>
      </c>
      <c r="AA58" s="101" t="str">
        <f>IF(G58="shared-count-once",COUNTIFS($A$2:$A$807,A58,$B$2:$B$807,B58,$D$2:$D$807,D58),1)</f>
      </c>
    </row>
    <row r="59">
      <c r="A59" t="s">
        <v>267</v>
      </c>
      <c r="B59" s="79" t="n">
        <v>2030</v>
      </c>
      <c r="C59" t="s">
        <v>267</v>
      </c>
      <c r="D59" s="80" t="s">
        <v>411</v>
      </c>
      <c r="E59" s="81" t="s">
        <v>412</v>
      </c>
      <c r="F59" s="82" t="s">
        <v>270</v>
      </c>
      <c r="G59" s="83" t="s">
        <v>395</v>
      </c>
      <c r="H59" s="84" t="s">
        <v>386</v>
      </c>
      <c r="I59" s="85" t="n">
        <v>1</v>
      </c>
      <c r="J59" s="86" t="n">
        <v>1</v>
      </c>
      <c r="K59" s="87" t="n">
        <v>0.0077</v>
      </c>
      <c r="L59" s="88" t="n">
        <v>298223007.221351</v>
      </c>
      <c r="M59" s="89" t="n">
        <v>298280286.057263</v>
      </c>
      <c r="N59" s="90" t="str">
        <f>MIN(MAX((B59-'Calculation_Assumptions'!$B$5+1)/'Calculation_Assumptions'!$B$7,0),1)</f>
      </c>
      <c r="O59" s="91" t="str">
        <f>L59*I59</f>
      </c>
      <c r="P59" s="92" t="str">
        <f>M59*I59</f>
      </c>
      <c r="Q59" s="93" t="str">
        <f>P59*'Calculation_Assumptions'!$B$14*J59*K59</f>
      </c>
      <c r="R59" s="94" t="str">
        <f>O59*N59*J59*K59</f>
      </c>
      <c r="S59" s="95" t="str">
        <f>R59-Q59</f>
      </c>
      <c r="T59" s="96" t="str">
        <f>1/(1+'Calculation_Assumptions'!$B$8)^(B59-'Calculation_Assumptions'!$B$2)</f>
      </c>
      <c r="U59" s="97" t="str">
        <f>Q59*T59</f>
      </c>
      <c r="V59" s="98" t="str">
        <f>R59*T59</f>
      </c>
      <c r="W59" s="99" t="str">
        <f>S59*T59</f>
      </c>
      <c r="X59" t="n">
        <v>0</v>
      </c>
      <c r="Y59" s="100" t="n">
        <v>2017</v>
      </c>
      <c r="Z59" t="s">
        <v>389</v>
      </c>
      <c r="AA59" s="101" t="str">
        <f>IF(G59="shared-count-once",COUNTIFS($A$2:$A$807,A59,$B$2:$B$807,B59,$D$2:$D$807,D59),1)</f>
      </c>
    </row>
    <row r="60">
      <c r="A60" t="s">
        <v>267</v>
      </c>
      <c r="B60" s="79" t="n">
        <v>2031</v>
      </c>
      <c r="C60" t="s">
        <v>267</v>
      </c>
      <c r="D60" s="80" t="s">
        <v>411</v>
      </c>
      <c r="E60" s="81" t="s">
        <v>412</v>
      </c>
      <c r="F60" s="82" t="s">
        <v>270</v>
      </c>
      <c r="G60" s="83" t="s">
        <v>395</v>
      </c>
      <c r="H60" s="84" t="s">
        <v>386</v>
      </c>
      <c r="I60" s="85" t="n">
        <v>1</v>
      </c>
      <c r="J60" s="86" t="n">
        <v>1</v>
      </c>
      <c r="K60" s="87" t="n">
        <v>0.0077</v>
      </c>
      <c r="L60" s="88" t="n">
        <v>300088018.083712</v>
      </c>
      <c r="M60" s="89" t="n">
        <v>300152603.254782</v>
      </c>
      <c r="N60" s="90" t="str">
        <f>MIN(MAX((B60-'Calculation_Assumptions'!$B$5+1)/'Calculation_Assumptions'!$B$7,0),1)</f>
      </c>
      <c r="O60" s="91" t="str">
        <f>L60*I60</f>
      </c>
      <c r="P60" s="92" t="str">
        <f>M60*I60</f>
      </c>
      <c r="Q60" s="93" t="str">
        <f>P60*'Calculation_Assumptions'!$B$14*J60*K60</f>
      </c>
      <c r="R60" s="94" t="str">
        <f>O60*N60*J60*K60</f>
      </c>
      <c r="S60" s="95" t="str">
        <f>R60-Q60</f>
      </c>
      <c r="T60" s="96" t="str">
        <f>1/(1+'Calculation_Assumptions'!$B$8)^(B60-'Calculation_Assumptions'!$B$2)</f>
      </c>
      <c r="U60" s="97" t="str">
        <f>Q60*T60</f>
      </c>
      <c r="V60" s="98" t="str">
        <f>R60*T60</f>
      </c>
      <c r="W60" s="99" t="str">
        <f>S60*T60</f>
      </c>
      <c r="X60" t="n">
        <v>0</v>
      </c>
      <c r="Y60" s="100" t="n">
        <v>2017</v>
      </c>
      <c r="Z60" t="s">
        <v>389</v>
      </c>
      <c r="AA60" s="101" t="str">
        <f>IF(G60="shared-count-once",COUNTIFS($A$2:$A$807,A60,$B$2:$B$807,B60,$D$2:$D$807,D60),1)</f>
      </c>
    </row>
    <row r="61">
      <c r="A61" t="s">
        <v>267</v>
      </c>
      <c r="B61" s="79" t="n">
        <v>2032</v>
      </c>
      <c r="C61" t="s">
        <v>267</v>
      </c>
      <c r="D61" s="80" t="s">
        <v>411</v>
      </c>
      <c r="E61" s="81" t="s">
        <v>412</v>
      </c>
      <c r="F61" s="82" t="s">
        <v>270</v>
      </c>
      <c r="G61" s="83" t="s">
        <v>395</v>
      </c>
      <c r="H61" s="84" t="s">
        <v>386</v>
      </c>
      <c r="I61" s="85" t="n">
        <v>1</v>
      </c>
      <c r="J61" s="86" t="n">
        <v>1</v>
      </c>
      <c r="K61" s="87" t="n">
        <v>0.0077</v>
      </c>
      <c r="L61" s="88" t="n">
        <v>301887239.020811</v>
      </c>
      <c r="M61" s="89" t="n">
        <v>301959399.633888</v>
      </c>
      <c r="N61" s="90" t="str">
        <f>MIN(MAX((B61-'Calculation_Assumptions'!$B$5+1)/'Calculation_Assumptions'!$B$7,0),1)</f>
      </c>
      <c r="O61" s="91" t="str">
        <f>L61*I61</f>
      </c>
      <c r="P61" s="92" t="str">
        <f>M61*I61</f>
      </c>
      <c r="Q61" s="93" t="str">
        <f>P61*'Calculation_Assumptions'!$B$14*J61*K61</f>
      </c>
      <c r="R61" s="94" t="str">
        <f>O61*N61*J61*K61</f>
      </c>
      <c r="S61" s="95" t="str">
        <f>R61-Q61</f>
      </c>
      <c r="T61" s="96" t="str">
        <f>1/(1+'Calculation_Assumptions'!$B$8)^(B61-'Calculation_Assumptions'!$B$2)</f>
      </c>
      <c r="U61" s="97" t="str">
        <f>Q61*T61</f>
      </c>
      <c r="V61" s="98" t="str">
        <f>R61*T61</f>
      </c>
      <c r="W61" s="99" t="str">
        <f>S61*T61</f>
      </c>
      <c r="X61" t="n">
        <v>0</v>
      </c>
      <c r="Y61" s="100" t="n">
        <v>2017</v>
      </c>
      <c r="Z61" t="s">
        <v>389</v>
      </c>
      <c r="AA61" s="101" t="str">
        <f>IF(G61="shared-count-once",COUNTIFS($A$2:$A$807,A61,$B$2:$B$807,B61,$D$2:$D$807,D61),1)</f>
      </c>
    </row>
    <row r="62">
      <c r="A62" t="s">
        <v>267</v>
      </c>
      <c r="B62" s="79" t="n">
        <v>2033</v>
      </c>
      <c r="C62" t="s">
        <v>267</v>
      </c>
      <c r="D62" s="80" t="s">
        <v>411</v>
      </c>
      <c r="E62" s="81" t="s">
        <v>412</v>
      </c>
      <c r="F62" s="82" t="s">
        <v>270</v>
      </c>
      <c r="G62" s="83" t="s">
        <v>395</v>
      </c>
      <c r="H62" s="84" t="s">
        <v>386</v>
      </c>
      <c r="I62" s="85" t="n">
        <v>1</v>
      </c>
      <c r="J62" s="86" t="n">
        <v>1</v>
      </c>
      <c r="K62" s="87" t="n">
        <v>0.0077</v>
      </c>
      <c r="L62" s="88" t="n">
        <v>303621131.106999</v>
      </c>
      <c r="M62" s="89" t="n">
        <v>303701035.202051</v>
      </c>
      <c r="N62" s="90" t="str">
        <f>MIN(MAX((B62-'Calculation_Assumptions'!$B$5+1)/'Calculation_Assumptions'!$B$7,0),1)</f>
      </c>
      <c r="O62" s="91" t="str">
        <f>L62*I62</f>
      </c>
      <c r="P62" s="92" t="str">
        <f>M62*I62</f>
      </c>
      <c r="Q62" s="93" t="str">
        <f>P62*'Calculation_Assumptions'!$B$14*J62*K62</f>
      </c>
      <c r="R62" s="94" t="str">
        <f>O62*N62*J62*K62</f>
      </c>
      <c r="S62" s="95" t="str">
        <f>R62-Q62</f>
      </c>
      <c r="T62" s="96" t="str">
        <f>1/(1+'Calculation_Assumptions'!$B$8)^(B62-'Calculation_Assumptions'!$B$2)</f>
      </c>
      <c r="U62" s="97" t="str">
        <f>Q62*T62</f>
      </c>
      <c r="V62" s="98" t="str">
        <f>R62*T62</f>
      </c>
      <c r="W62" s="99" t="str">
        <f>S62*T62</f>
      </c>
      <c r="X62" t="n">
        <v>0</v>
      </c>
      <c r="Y62" s="100" t="n">
        <v>2017</v>
      </c>
      <c r="Z62" t="s">
        <v>389</v>
      </c>
      <c r="AA62" s="101" t="str">
        <f>IF(G62="shared-count-once",COUNTIFS($A$2:$A$807,A62,$B$2:$B$807,B62,$D$2:$D$807,D62),1)</f>
      </c>
    </row>
    <row r="63">
      <c r="A63" t="s">
        <v>267</v>
      </c>
      <c r="B63" s="79" t="n">
        <v>2034</v>
      </c>
      <c r="C63" t="s">
        <v>267</v>
      </c>
      <c r="D63" s="80" t="s">
        <v>411</v>
      </c>
      <c r="E63" s="81" t="s">
        <v>412</v>
      </c>
      <c r="F63" s="82" t="s">
        <v>270</v>
      </c>
      <c r="G63" s="83" t="s">
        <v>395</v>
      </c>
      <c r="H63" s="84" t="s">
        <v>386</v>
      </c>
      <c r="I63" s="85" t="n">
        <v>1</v>
      </c>
      <c r="J63" s="86" t="n">
        <v>1</v>
      </c>
      <c r="K63" s="87" t="n">
        <v>0.0077</v>
      </c>
      <c r="L63" s="88" t="n">
        <v>305290431.007763</v>
      </c>
      <c r="M63" s="89" t="n">
        <v>305377998.093319</v>
      </c>
      <c r="N63" s="90" t="str">
        <f>MIN(MAX((B63-'Calculation_Assumptions'!$B$5+1)/'Calculation_Assumptions'!$B$7,0),1)</f>
      </c>
      <c r="O63" s="91" t="str">
        <f>L63*I63</f>
      </c>
      <c r="P63" s="92" t="str">
        <f>M63*I63</f>
      </c>
      <c r="Q63" s="93" t="str">
        <f>P63*'Calculation_Assumptions'!$B$14*J63*K63</f>
      </c>
      <c r="R63" s="94" t="str">
        <f>O63*N63*J63*K63</f>
      </c>
      <c r="S63" s="95" t="str">
        <f>R63-Q63</f>
      </c>
      <c r="T63" s="96" t="str">
        <f>1/(1+'Calculation_Assumptions'!$B$8)^(B63-'Calculation_Assumptions'!$B$2)</f>
      </c>
      <c r="U63" s="97" t="str">
        <f>Q63*T63</f>
      </c>
      <c r="V63" s="98" t="str">
        <f>R63*T63</f>
      </c>
      <c r="W63" s="99" t="str">
        <f>S63*T63</f>
      </c>
      <c r="X63" t="n">
        <v>0</v>
      </c>
      <c r="Y63" s="100" t="n">
        <v>2017</v>
      </c>
      <c r="Z63" t="s">
        <v>389</v>
      </c>
      <c r="AA63" s="101" t="str">
        <f>IF(G63="shared-count-once",COUNTIFS($A$2:$A$807,A63,$B$2:$B$807,B63,$D$2:$D$807,D63),1)</f>
      </c>
    </row>
    <row r="64">
      <c r="A64" t="s">
        <v>267</v>
      </c>
      <c r="B64" s="79" t="n">
        <v>2035</v>
      </c>
      <c r="C64" t="s">
        <v>267</v>
      </c>
      <c r="D64" s="80" t="s">
        <v>411</v>
      </c>
      <c r="E64" s="81" t="s">
        <v>412</v>
      </c>
      <c r="F64" s="82" t="s">
        <v>270</v>
      </c>
      <c r="G64" s="83" t="s">
        <v>395</v>
      </c>
      <c r="H64" s="84" t="s">
        <v>386</v>
      </c>
      <c r="I64" s="85" t="n">
        <v>1</v>
      </c>
      <c r="J64" s="86" t="n">
        <v>1</v>
      </c>
      <c r="K64" s="87" t="n">
        <v>0.0077</v>
      </c>
      <c r="L64" s="88" t="n">
        <v>306894302.288941</v>
      </c>
      <c r="M64" s="89" t="n">
        <v>306989258.29407</v>
      </c>
      <c r="N64" s="90" t="str">
        <f>MIN(MAX((B64-'Calculation_Assumptions'!$B$5+1)/'Calculation_Assumptions'!$B$7,0),1)</f>
      </c>
      <c r="O64" s="91" t="str">
        <f>L64*I64</f>
      </c>
      <c r="P64" s="92" t="str">
        <f>M64*I64</f>
      </c>
      <c r="Q64" s="93" t="str">
        <f>P64*'Calculation_Assumptions'!$B$14*J64*K64</f>
      </c>
      <c r="R64" s="94" t="str">
        <f>O64*N64*J64*K64</f>
      </c>
      <c r="S64" s="95" t="str">
        <f>R64-Q64</f>
      </c>
      <c r="T64" s="96" t="str">
        <f>1/(1+'Calculation_Assumptions'!$B$8)^(B64-'Calculation_Assumptions'!$B$2)</f>
      </c>
      <c r="U64" s="97" t="str">
        <f>Q64*T64</f>
      </c>
      <c r="V64" s="98" t="str">
        <f>R64*T64</f>
      </c>
      <c r="W64" s="99" t="str">
        <f>S64*T64</f>
      </c>
      <c r="X64" t="n">
        <v>0</v>
      </c>
      <c r="Y64" s="100" t="n">
        <v>2017</v>
      </c>
      <c r="Z64" t="s">
        <v>389</v>
      </c>
      <c r="AA64" s="101" t="str">
        <f>IF(G64="shared-count-once",COUNTIFS($A$2:$A$807,A64,$B$2:$B$807,B64,$D$2:$D$807,D64),1)</f>
      </c>
    </row>
    <row r="65">
      <c r="A65" t="s">
        <v>267</v>
      </c>
      <c r="B65" s="79" t="n">
        <v>2036</v>
      </c>
      <c r="C65" t="s">
        <v>267</v>
      </c>
      <c r="D65" s="80" t="s">
        <v>411</v>
      </c>
      <c r="E65" s="81" t="s">
        <v>412</v>
      </c>
      <c r="F65" s="82" t="s">
        <v>270</v>
      </c>
      <c r="G65" s="83" t="s">
        <v>395</v>
      </c>
      <c r="H65" s="84" t="s">
        <v>386</v>
      </c>
      <c r="I65" s="85" t="n">
        <v>1</v>
      </c>
      <c r="J65" s="86" t="n">
        <v>1</v>
      </c>
      <c r="K65" s="87" t="n">
        <v>0.0077</v>
      </c>
      <c r="L65" s="88" t="n">
        <v>308435586.711586</v>
      </c>
      <c r="M65" s="89" t="n">
        <v>308537399.672094</v>
      </c>
      <c r="N65" s="90" t="str">
        <f>MIN(MAX((B65-'Calculation_Assumptions'!$B$5+1)/'Calculation_Assumptions'!$B$7,0),1)</f>
      </c>
      <c r="O65" s="91" t="str">
        <f>L65*I65</f>
      </c>
      <c r="P65" s="92" t="str">
        <f>M65*I65</f>
      </c>
      <c r="Q65" s="93" t="str">
        <f>P65*'Calculation_Assumptions'!$B$14*J65*K65</f>
      </c>
      <c r="R65" s="94" t="str">
        <f>O65*N65*J65*K65</f>
      </c>
      <c r="S65" s="95" t="str">
        <f>R65-Q65</f>
      </c>
      <c r="T65" s="96" t="str">
        <f>1/(1+'Calculation_Assumptions'!$B$8)^(B65-'Calculation_Assumptions'!$B$2)</f>
      </c>
      <c r="U65" s="97" t="str">
        <f>Q65*T65</f>
      </c>
      <c r="V65" s="98" t="str">
        <f>R65*T65</f>
      </c>
      <c r="W65" s="99" t="str">
        <f>S65*T65</f>
      </c>
      <c r="X65" t="n">
        <v>0</v>
      </c>
      <c r="Y65" s="100" t="n">
        <v>2017</v>
      </c>
      <c r="Z65" t="s">
        <v>389</v>
      </c>
      <c r="AA65" s="101" t="str">
        <f>IF(G65="shared-count-once",COUNTIFS($A$2:$A$807,A65,$B$2:$B$807,B65,$D$2:$D$807,D65),1)</f>
      </c>
    </row>
    <row r="66">
      <c r="A66" t="s">
        <v>267</v>
      </c>
      <c r="B66" s="79" t="n">
        <v>2037</v>
      </c>
      <c r="C66" t="s">
        <v>267</v>
      </c>
      <c r="D66" s="80" t="s">
        <v>411</v>
      </c>
      <c r="E66" s="81" t="s">
        <v>412</v>
      </c>
      <c r="F66" s="82" t="s">
        <v>270</v>
      </c>
      <c r="G66" s="83" t="s">
        <v>395</v>
      </c>
      <c r="H66" s="84" t="s">
        <v>386</v>
      </c>
      <c r="I66" s="85" t="n">
        <v>1</v>
      </c>
      <c r="J66" s="86" t="n">
        <v>1</v>
      </c>
      <c r="K66" s="87" t="n">
        <v>0.0077</v>
      </c>
      <c r="L66" s="88" t="n">
        <v>309915072.071605</v>
      </c>
      <c r="M66" s="89" t="n">
        <v>310023120.393472</v>
      </c>
      <c r="N66" s="90" t="str">
        <f>MIN(MAX((B66-'Calculation_Assumptions'!$B$5+1)/'Calculation_Assumptions'!$B$7,0),1)</f>
      </c>
      <c r="O66" s="91" t="str">
        <f>L66*I66</f>
      </c>
      <c r="P66" s="92" t="str">
        <f>M66*I66</f>
      </c>
      <c r="Q66" s="93" t="str">
        <f>P66*'Calculation_Assumptions'!$B$14*J66*K66</f>
      </c>
      <c r="R66" s="94" t="str">
        <f>O66*N66*J66*K66</f>
      </c>
      <c r="S66" s="95" t="str">
        <f>R66-Q66</f>
      </c>
      <c r="T66" s="96" t="str">
        <f>1/(1+'Calculation_Assumptions'!$B$8)^(B66-'Calculation_Assumptions'!$B$2)</f>
      </c>
      <c r="U66" s="97" t="str">
        <f>Q66*T66</f>
      </c>
      <c r="V66" s="98" t="str">
        <f>R66*T66</f>
      </c>
      <c r="W66" s="99" t="str">
        <f>S66*T66</f>
      </c>
      <c r="X66" t="n">
        <v>0</v>
      </c>
      <c r="Y66" s="100" t="n">
        <v>2017</v>
      </c>
      <c r="Z66" t="s">
        <v>389</v>
      </c>
      <c r="AA66" s="101" t="str">
        <f>IF(G66="shared-count-once",COUNTIFS($A$2:$A$807,A66,$B$2:$B$807,B66,$D$2:$D$807,D66),1)</f>
      </c>
    </row>
    <row r="67">
      <c r="A67" t="s">
        <v>267</v>
      </c>
      <c r="B67" s="79" t="n">
        <v>2038</v>
      </c>
      <c r="C67" t="s">
        <v>267</v>
      </c>
      <c r="D67" s="80" t="s">
        <v>411</v>
      </c>
      <c r="E67" s="81" t="s">
        <v>412</v>
      </c>
      <c r="F67" s="82" t="s">
        <v>270</v>
      </c>
      <c r="G67" s="83" t="s">
        <v>395</v>
      </c>
      <c r="H67" s="84" t="s">
        <v>386</v>
      </c>
      <c r="I67" s="85" t="n">
        <v>1</v>
      </c>
      <c r="J67" s="86" t="n">
        <v>1</v>
      </c>
      <c r="K67" s="87" t="n">
        <v>0.0077</v>
      </c>
      <c r="L67" s="88" t="n">
        <v>311332837.747434</v>
      </c>
      <c r="M67" s="89" t="n">
        <v>311445837.134625</v>
      </c>
      <c r="N67" s="90" t="str">
        <f>MIN(MAX((B67-'Calculation_Assumptions'!$B$5+1)/'Calculation_Assumptions'!$B$7,0),1)</f>
      </c>
      <c r="O67" s="91" t="str">
        <f>L67*I67</f>
      </c>
      <c r="P67" s="92" t="str">
        <f>M67*I67</f>
      </c>
      <c r="Q67" s="93" t="str">
        <f>P67*'Calculation_Assumptions'!$B$14*J67*K67</f>
      </c>
      <c r="R67" s="94" t="str">
        <f>O67*N67*J67*K67</f>
      </c>
      <c r="S67" s="95" t="str">
        <f>R67-Q67</f>
      </c>
      <c r="T67" s="96" t="str">
        <f>1/(1+'Calculation_Assumptions'!$B$8)^(B67-'Calculation_Assumptions'!$B$2)</f>
      </c>
      <c r="U67" s="97" t="str">
        <f>Q67*T67</f>
      </c>
      <c r="V67" s="98" t="str">
        <f>R67*T67</f>
      </c>
      <c r="W67" s="99" t="str">
        <f>S67*T67</f>
      </c>
      <c r="X67" t="n">
        <v>0</v>
      </c>
      <c r="Y67" s="100" t="n">
        <v>2017</v>
      </c>
      <c r="Z67" t="s">
        <v>389</v>
      </c>
      <c r="AA67" s="101" t="str">
        <f>IF(G67="shared-count-once",COUNTIFS($A$2:$A$807,A67,$B$2:$B$807,B67,$D$2:$D$807,D67),1)</f>
      </c>
    </row>
    <row r="68">
      <c r="A68" t="s">
        <v>267</v>
      </c>
      <c r="B68" s="79" t="n">
        <v>2039</v>
      </c>
      <c r="C68" t="s">
        <v>267</v>
      </c>
      <c r="D68" s="80" t="s">
        <v>411</v>
      </c>
      <c r="E68" s="81" t="s">
        <v>412</v>
      </c>
      <c r="F68" s="82" t="s">
        <v>270</v>
      </c>
      <c r="G68" s="83" t="s">
        <v>395</v>
      </c>
      <c r="H68" s="84" t="s">
        <v>386</v>
      </c>
      <c r="I68" s="85" t="n">
        <v>1</v>
      </c>
      <c r="J68" s="86" t="n">
        <v>1</v>
      </c>
      <c r="K68" s="87" t="n">
        <v>0.0077</v>
      </c>
      <c r="L68" s="88" t="n">
        <v>312690158.969665</v>
      </c>
      <c r="M68" s="89" t="n">
        <v>312806989.715685</v>
      </c>
      <c r="N68" s="90" t="str">
        <f>MIN(MAX((B68-'Calculation_Assumptions'!$B$5+1)/'Calculation_Assumptions'!$B$7,0),1)</f>
      </c>
      <c r="O68" s="91" t="str">
        <f>L68*I68</f>
      </c>
      <c r="P68" s="92" t="str">
        <f>M68*I68</f>
      </c>
      <c r="Q68" s="93" t="str">
        <f>P68*'Calculation_Assumptions'!$B$14*J68*K68</f>
      </c>
      <c r="R68" s="94" t="str">
        <f>O68*N68*J68*K68</f>
      </c>
      <c r="S68" s="95" t="str">
        <f>R68-Q68</f>
      </c>
      <c r="T68" s="96" t="str">
        <f>1/(1+'Calculation_Assumptions'!$B$8)^(B68-'Calculation_Assumptions'!$B$2)</f>
      </c>
      <c r="U68" s="97" t="str">
        <f>Q68*T68</f>
      </c>
      <c r="V68" s="98" t="str">
        <f>R68*T68</f>
      </c>
      <c r="W68" s="99" t="str">
        <f>S68*T68</f>
      </c>
      <c r="X68" t="n">
        <v>0</v>
      </c>
      <c r="Y68" s="100" t="n">
        <v>2017</v>
      </c>
      <c r="Z68" t="s">
        <v>389</v>
      </c>
      <c r="AA68" s="101" t="str">
        <f>IF(G68="shared-count-once",COUNTIFS($A$2:$A$807,A68,$B$2:$B$807,B68,$D$2:$D$807,D68),1)</f>
      </c>
    </row>
    <row r="69">
      <c r="A69" t="s">
        <v>267</v>
      </c>
      <c r="B69" s="79" t="n">
        <v>2040</v>
      </c>
      <c r="C69" t="s">
        <v>267</v>
      </c>
      <c r="D69" s="80" t="s">
        <v>411</v>
      </c>
      <c r="E69" s="81" t="s">
        <v>412</v>
      </c>
      <c r="F69" s="82" t="s">
        <v>270</v>
      </c>
      <c r="G69" s="83" t="s">
        <v>395</v>
      </c>
      <c r="H69" s="84" t="s">
        <v>386</v>
      </c>
      <c r="I69" s="85" t="n">
        <v>1</v>
      </c>
      <c r="J69" s="86" t="n">
        <v>1</v>
      </c>
      <c r="K69" s="87" t="n">
        <v>0.0077</v>
      </c>
      <c r="L69" s="88" t="n">
        <v>313989433.837507</v>
      </c>
      <c r="M69" s="89" t="n">
        <v>314109251.582649</v>
      </c>
      <c r="N69" s="90" t="str">
        <f>MIN(MAX((B69-'Calculation_Assumptions'!$B$5+1)/'Calculation_Assumptions'!$B$7,0),1)</f>
      </c>
      <c r="O69" s="91" t="str">
        <f>L69*I69</f>
      </c>
      <c r="P69" s="92" t="str">
        <f>M69*I69</f>
      </c>
      <c r="Q69" s="93" t="str">
        <f>P69*'Calculation_Assumptions'!$B$14*J69*K69</f>
      </c>
      <c r="R69" s="94" t="str">
        <f>O69*N69*J69*K69</f>
      </c>
      <c r="S69" s="95" t="str">
        <f>R69-Q69</f>
      </c>
      <c r="T69" s="96" t="str">
        <f>1/(1+'Calculation_Assumptions'!$B$8)^(B69-'Calculation_Assumptions'!$B$2)</f>
      </c>
      <c r="U69" s="97" t="str">
        <f>Q69*T69</f>
      </c>
      <c r="V69" s="98" t="str">
        <f>R69*T69</f>
      </c>
      <c r="W69" s="99" t="str">
        <f>S69*T69</f>
      </c>
      <c r="X69" t="n">
        <v>0</v>
      </c>
      <c r="Y69" s="100" t="n">
        <v>2017</v>
      </c>
      <c r="Z69" t="s">
        <v>389</v>
      </c>
      <c r="AA69" s="101" t="str">
        <f>IF(G69="shared-count-once",COUNTIFS($A$2:$A$807,A69,$B$2:$B$807,B69,$D$2:$D$807,D69),1)</f>
      </c>
    </row>
    <row r="70">
      <c r="A70" t="s">
        <v>267</v>
      </c>
      <c r="B70" s="79" t="n">
        <v>2041</v>
      </c>
      <c r="C70" t="s">
        <v>267</v>
      </c>
      <c r="D70" s="80" t="s">
        <v>411</v>
      </c>
      <c r="E70" s="81" t="s">
        <v>412</v>
      </c>
      <c r="F70" s="82" t="s">
        <v>270</v>
      </c>
      <c r="G70" s="83" t="s">
        <v>395</v>
      </c>
      <c r="H70" s="84" t="s">
        <v>386</v>
      </c>
      <c r="I70" s="85" t="n">
        <v>1</v>
      </c>
      <c r="J70" s="86" t="n">
        <v>1</v>
      </c>
      <c r="K70" s="87" t="n">
        <v>0.0077</v>
      </c>
      <c r="L70" s="88" t="n">
        <v>315229624.326531</v>
      </c>
      <c r="M70" s="89" t="n">
        <v>315352079.812423</v>
      </c>
      <c r="N70" s="90" t="str">
        <f>MIN(MAX((B70-'Calculation_Assumptions'!$B$5+1)/'Calculation_Assumptions'!$B$7,0),1)</f>
      </c>
      <c r="O70" s="91" t="str">
        <f>L70*I70</f>
      </c>
      <c r="P70" s="92" t="str">
        <f>M70*I70</f>
      </c>
      <c r="Q70" s="93" t="str">
        <f>P70*'Calculation_Assumptions'!$B$14*J70*K70</f>
      </c>
      <c r="R70" s="94" t="str">
        <f>O70*N70*J70*K70</f>
      </c>
      <c r="S70" s="95" t="str">
        <f>R70-Q70</f>
      </c>
      <c r="T70" s="96" t="str">
        <f>1/(1+'Calculation_Assumptions'!$B$8)^(B70-'Calculation_Assumptions'!$B$2)</f>
      </c>
      <c r="U70" s="97" t="str">
        <f>Q70*T70</f>
      </c>
      <c r="V70" s="98" t="str">
        <f>R70*T70</f>
      </c>
      <c r="W70" s="99" t="str">
        <f>S70*T70</f>
      </c>
      <c r="X70" t="n">
        <v>0</v>
      </c>
      <c r="Y70" s="100" t="n">
        <v>2017</v>
      </c>
      <c r="Z70" t="s">
        <v>389</v>
      </c>
      <c r="AA70" s="101" t="str">
        <f>IF(G70="shared-count-once",COUNTIFS($A$2:$A$807,A70,$B$2:$B$807,B70,$D$2:$D$807,D70),1)</f>
      </c>
    </row>
    <row r="71">
      <c r="A71" t="s">
        <v>267</v>
      </c>
      <c r="B71" s="79" t="n">
        <v>2042</v>
      </c>
      <c r="C71" t="s">
        <v>267</v>
      </c>
      <c r="D71" s="80" t="s">
        <v>411</v>
      </c>
      <c r="E71" s="81" t="s">
        <v>412</v>
      </c>
      <c r="F71" s="82" t="s">
        <v>270</v>
      </c>
      <c r="G71" s="83" t="s">
        <v>395</v>
      </c>
      <c r="H71" s="84" t="s">
        <v>386</v>
      </c>
      <c r="I71" s="85" t="n">
        <v>1</v>
      </c>
      <c r="J71" s="86" t="n">
        <v>1</v>
      </c>
      <c r="K71" s="87" t="n">
        <v>0.0077</v>
      </c>
      <c r="L71" s="88" t="n">
        <v>316411566.953009</v>
      </c>
      <c r="M71" s="89" t="n">
        <v>316395286.312016</v>
      </c>
      <c r="N71" s="90" t="str">
        <f>MIN(MAX((B71-'Calculation_Assumptions'!$B$5+1)/'Calculation_Assumptions'!$B$7,0),1)</f>
      </c>
      <c r="O71" s="91" t="str">
        <f>L71*I71</f>
      </c>
      <c r="P71" s="92" t="str">
        <f>M71*I71</f>
      </c>
      <c r="Q71" s="93" t="str">
        <f>P71*'Calculation_Assumptions'!$B$14*J71*K71</f>
      </c>
      <c r="R71" s="94" t="str">
        <f>O71*N71*J71*K71</f>
      </c>
      <c r="S71" s="95" t="str">
        <f>R71-Q71</f>
      </c>
      <c r="T71" s="96" t="str">
        <f>1/(1+'Calculation_Assumptions'!$B$8)^(B71-'Calculation_Assumptions'!$B$2)</f>
      </c>
      <c r="U71" s="97" t="str">
        <f>Q71*T71</f>
      </c>
      <c r="V71" s="98" t="str">
        <f>R71*T71</f>
      </c>
      <c r="W71" s="99" t="str">
        <f>S71*T71</f>
      </c>
      <c r="X71" t="n">
        <v>0</v>
      </c>
      <c r="Y71" s="100" t="n">
        <v>2017</v>
      </c>
      <c r="Z71" t="s">
        <v>389</v>
      </c>
      <c r="AA71" s="101" t="str">
        <f>IF(G71="shared-count-once",COUNTIFS($A$2:$A$807,A71,$B$2:$B$807,B71,$D$2:$D$807,D71),1)</f>
      </c>
    </row>
    <row r="72">
      <c r="A72" t="s">
        <v>267</v>
      </c>
      <c r="B72" s="79" t="n">
        <v>2043</v>
      </c>
      <c r="C72" t="s">
        <v>267</v>
      </c>
      <c r="D72" s="80" t="s">
        <v>411</v>
      </c>
      <c r="E72" s="81" t="s">
        <v>412</v>
      </c>
      <c r="F72" s="82" t="s">
        <v>270</v>
      </c>
      <c r="G72" s="83" t="s">
        <v>395</v>
      </c>
      <c r="H72" s="84" t="s">
        <v>386</v>
      </c>
      <c r="I72" s="85" t="n">
        <v>1</v>
      </c>
      <c r="J72" s="86" t="n">
        <v>1</v>
      </c>
      <c r="K72" s="87" t="n">
        <v>0.0077</v>
      </c>
      <c r="L72" s="88" t="n">
        <v>317638954.123221</v>
      </c>
      <c r="M72" s="89" t="n">
        <v>317619735.688289</v>
      </c>
      <c r="N72" s="90" t="str">
        <f>MIN(MAX((B72-'Calculation_Assumptions'!$B$5+1)/'Calculation_Assumptions'!$B$7,0),1)</f>
      </c>
      <c r="O72" s="91" t="str">
        <f>L72*I72</f>
      </c>
      <c r="P72" s="92" t="str">
        <f>M72*I72</f>
      </c>
      <c r="Q72" s="93" t="str">
        <f>P72*'Calculation_Assumptions'!$B$14*J72*K72</f>
      </c>
      <c r="R72" s="94" t="str">
        <f>O72*N72*J72*K72</f>
      </c>
      <c r="S72" s="95" t="str">
        <f>R72-Q72</f>
      </c>
      <c r="T72" s="96" t="str">
        <f>1/(1+'Calculation_Assumptions'!$B$8)^(B72-'Calculation_Assumptions'!$B$2)</f>
      </c>
      <c r="U72" s="97" t="str">
        <f>Q72*T72</f>
      </c>
      <c r="V72" s="98" t="str">
        <f>R72*T72</f>
      </c>
      <c r="W72" s="99" t="str">
        <f>S72*T72</f>
      </c>
      <c r="X72" t="n">
        <v>0</v>
      </c>
      <c r="Y72" s="100" t="n">
        <v>2017</v>
      </c>
      <c r="Z72" t="s">
        <v>389</v>
      </c>
      <c r="AA72" s="101" t="str">
        <f>IF(G72="shared-count-once",COUNTIFS($A$2:$A$807,A72,$B$2:$B$807,B72,$D$2:$D$807,D72),1)</f>
      </c>
    </row>
    <row r="73">
      <c r="A73" t="s">
        <v>267</v>
      </c>
      <c r="B73" s="79" t="n">
        <v>2044</v>
      </c>
      <c r="C73" t="s">
        <v>267</v>
      </c>
      <c r="D73" s="80" t="s">
        <v>411</v>
      </c>
      <c r="E73" s="81" t="s">
        <v>412</v>
      </c>
      <c r="F73" s="82" t="s">
        <v>270</v>
      </c>
      <c r="G73" s="83" t="s">
        <v>395</v>
      </c>
      <c r="H73" s="84" t="s">
        <v>386</v>
      </c>
      <c r="I73" s="85" t="n">
        <v>1</v>
      </c>
      <c r="J73" s="86" t="n">
        <v>1</v>
      </c>
      <c r="K73" s="87" t="n">
        <v>0.0077</v>
      </c>
      <c r="L73" s="88" t="n">
        <v>318569449.408925</v>
      </c>
      <c r="M73" s="89" t="n">
        <v>318697135.863652</v>
      </c>
      <c r="N73" s="90" t="str">
        <f>MIN(MAX((B73-'Calculation_Assumptions'!$B$5+1)/'Calculation_Assumptions'!$B$7,0),1)</f>
      </c>
      <c r="O73" s="91" t="str">
        <f>L73*I73</f>
      </c>
      <c r="P73" s="92" t="str">
        <f>M73*I73</f>
      </c>
      <c r="Q73" s="93" t="str">
        <f>P73*'Calculation_Assumptions'!$B$14*J73*K73</f>
      </c>
      <c r="R73" s="94" t="str">
        <f>O73*N73*J73*K73</f>
      </c>
      <c r="S73" s="95" t="str">
        <f>R73-Q73</f>
      </c>
      <c r="T73" s="96" t="str">
        <f>1/(1+'Calculation_Assumptions'!$B$8)^(B73-'Calculation_Assumptions'!$B$2)</f>
      </c>
      <c r="U73" s="97" t="str">
        <f>Q73*T73</f>
      </c>
      <c r="V73" s="98" t="str">
        <f>R73*T73</f>
      </c>
      <c r="W73" s="99" t="str">
        <f>S73*T73</f>
      </c>
      <c r="X73" t="n">
        <v>0</v>
      </c>
      <c r="Y73" s="100" t="n">
        <v>2017</v>
      </c>
      <c r="Z73" t="s">
        <v>389</v>
      </c>
      <c r="AA73" s="101" t="str">
        <f>IF(G73="shared-count-once",COUNTIFS($A$2:$A$807,A73,$B$2:$B$807,B73,$D$2:$D$807,D73),1)</f>
      </c>
    </row>
    <row r="74">
      <c r="A74" t="s">
        <v>267</v>
      </c>
      <c r="B74" s="79" t="n">
        <v>2045</v>
      </c>
      <c r="C74" t="s">
        <v>267</v>
      </c>
      <c r="D74" s="80" t="s">
        <v>411</v>
      </c>
      <c r="E74" s="81" t="s">
        <v>412</v>
      </c>
      <c r="F74" s="82" t="s">
        <v>270</v>
      </c>
      <c r="G74" s="83" t="s">
        <v>395</v>
      </c>
      <c r="H74" s="84" t="s">
        <v>386</v>
      </c>
      <c r="I74" s="85" t="n">
        <v>1</v>
      </c>
      <c r="J74" s="86" t="n">
        <v>1</v>
      </c>
      <c r="K74" s="87" t="n">
        <v>0.0077</v>
      </c>
      <c r="L74" s="88" t="n">
        <v>319588246.991233</v>
      </c>
      <c r="M74" s="89" t="n">
        <v>319717840.85179</v>
      </c>
      <c r="N74" s="90" t="str">
        <f>MIN(MAX((B74-'Calculation_Assumptions'!$B$5+1)/'Calculation_Assumptions'!$B$7,0),1)</f>
      </c>
      <c r="O74" s="91" t="str">
        <f>L74*I74</f>
      </c>
      <c r="P74" s="92" t="str">
        <f>M74*I74</f>
      </c>
      <c r="Q74" s="93" t="str">
        <f>P74*'Calculation_Assumptions'!$B$14*J74*K74</f>
      </c>
      <c r="R74" s="94" t="str">
        <f>O74*N74*J74*K74</f>
      </c>
      <c r="S74" s="95" t="str">
        <f>R74-Q74</f>
      </c>
      <c r="T74" s="96" t="str">
        <f>1/(1+'Calculation_Assumptions'!$B$8)^(B74-'Calculation_Assumptions'!$B$2)</f>
      </c>
      <c r="U74" s="97" t="str">
        <f>Q74*T74</f>
      </c>
      <c r="V74" s="98" t="str">
        <f>R74*T74</f>
      </c>
      <c r="W74" s="99" t="str">
        <f>S74*T74</f>
      </c>
      <c r="X74" t="n">
        <v>0</v>
      </c>
      <c r="Y74" s="100" t="n">
        <v>2017</v>
      </c>
      <c r="Z74" t="s">
        <v>389</v>
      </c>
      <c r="AA74" s="101" t="str">
        <f>IF(G74="shared-count-once",COUNTIFS($A$2:$A$807,A74,$B$2:$B$807,B74,$D$2:$D$807,D74),1)</f>
      </c>
    </row>
    <row r="75">
      <c r="A75" t="s">
        <v>267</v>
      </c>
      <c r="B75" s="79" t="n">
        <v>2046</v>
      </c>
      <c r="C75" t="s">
        <v>267</v>
      </c>
      <c r="D75" s="80" t="s">
        <v>411</v>
      </c>
      <c r="E75" s="81" t="s">
        <v>412</v>
      </c>
      <c r="F75" s="82" t="s">
        <v>270</v>
      </c>
      <c r="G75" s="83" t="s">
        <v>395</v>
      </c>
      <c r="H75" s="84" t="s">
        <v>386</v>
      </c>
      <c r="I75" s="85" t="n">
        <v>1</v>
      </c>
      <c r="J75" s="86" t="n">
        <v>1</v>
      </c>
      <c r="K75" s="87" t="n">
        <v>0.0077</v>
      </c>
      <c r="L75" s="88" t="n">
        <v>320550565.614894</v>
      </c>
      <c r="M75" s="89" t="n">
        <v>320683879.806276</v>
      </c>
      <c r="N75" s="90" t="str">
        <f>MIN(MAX((B75-'Calculation_Assumptions'!$B$5+1)/'Calculation_Assumptions'!$B$7,0),1)</f>
      </c>
      <c r="O75" s="91" t="str">
        <f>L75*I75</f>
      </c>
      <c r="P75" s="92" t="str">
        <f>M75*I75</f>
      </c>
      <c r="Q75" s="93" t="str">
        <f>P75*'Calculation_Assumptions'!$B$14*J75*K75</f>
      </c>
      <c r="R75" s="94" t="str">
        <f>O75*N75*J75*K75</f>
      </c>
      <c r="S75" s="95" t="str">
        <f>R75-Q75</f>
      </c>
      <c r="T75" s="96" t="str">
        <f>1/(1+'Calculation_Assumptions'!$B$8)^(B75-'Calculation_Assumptions'!$B$2)</f>
      </c>
      <c r="U75" s="97" t="str">
        <f>Q75*T75</f>
      </c>
      <c r="V75" s="98" t="str">
        <f>R75*T75</f>
      </c>
      <c r="W75" s="99" t="str">
        <f>S75*T75</f>
      </c>
      <c r="X75" t="n">
        <v>0</v>
      </c>
      <c r="Y75" s="100" t="n">
        <v>2017</v>
      </c>
      <c r="Z75" t="s">
        <v>389</v>
      </c>
      <c r="AA75" s="101" t="str">
        <f>IF(G75="shared-count-once",COUNTIFS($A$2:$A$807,A75,$B$2:$B$807,B75,$D$2:$D$807,D75),1)</f>
      </c>
    </row>
    <row r="76">
      <c r="A76" t="s">
        <v>267</v>
      </c>
      <c r="B76" s="79" t="n">
        <v>2047</v>
      </c>
      <c r="C76" t="s">
        <v>267</v>
      </c>
      <c r="D76" s="80" t="s">
        <v>411</v>
      </c>
      <c r="E76" s="81" t="s">
        <v>412</v>
      </c>
      <c r="F76" s="82" t="s">
        <v>270</v>
      </c>
      <c r="G76" s="83" t="s">
        <v>395</v>
      </c>
      <c r="H76" s="84" t="s">
        <v>386</v>
      </c>
      <c r="I76" s="85" t="n">
        <v>1</v>
      </c>
      <c r="J76" s="86" t="n">
        <v>1</v>
      </c>
      <c r="K76" s="87" t="n">
        <v>0.0077</v>
      </c>
      <c r="L76" s="88" t="n">
        <v>321457404.376726</v>
      </c>
      <c r="M76" s="89" t="n">
        <v>321595541.389526</v>
      </c>
      <c r="N76" s="90" t="str">
        <f>MIN(MAX((B76-'Calculation_Assumptions'!$B$5+1)/'Calculation_Assumptions'!$B$7,0),1)</f>
      </c>
      <c r="O76" s="91" t="str">
        <f>L76*I76</f>
      </c>
      <c r="P76" s="92" t="str">
        <f>M76*I76</f>
      </c>
      <c r="Q76" s="93" t="str">
        <f>P76*'Calculation_Assumptions'!$B$14*J76*K76</f>
      </c>
      <c r="R76" s="94" t="str">
        <f>O76*N76*J76*K76</f>
      </c>
      <c r="S76" s="95" t="str">
        <f>R76-Q76</f>
      </c>
      <c r="T76" s="96" t="str">
        <f>1/(1+'Calculation_Assumptions'!$B$8)^(B76-'Calculation_Assumptions'!$B$2)</f>
      </c>
      <c r="U76" s="97" t="str">
        <f>Q76*T76</f>
      </c>
      <c r="V76" s="98" t="str">
        <f>R76*T76</f>
      </c>
      <c r="W76" s="99" t="str">
        <f>S76*T76</f>
      </c>
      <c r="X76" t="n">
        <v>0</v>
      </c>
      <c r="Y76" s="100" t="n">
        <v>2017</v>
      </c>
      <c r="Z76" t="s">
        <v>389</v>
      </c>
      <c r="AA76" s="101" t="str">
        <f>IF(G76="shared-count-once",COUNTIFS($A$2:$A$807,A76,$B$2:$B$807,B76,$D$2:$D$807,D76),1)</f>
      </c>
    </row>
    <row r="77">
      <c r="A77" t="s">
        <v>267</v>
      </c>
      <c r="B77" s="79" t="n">
        <v>2048</v>
      </c>
      <c r="C77" t="s">
        <v>267</v>
      </c>
      <c r="D77" s="80" t="s">
        <v>411</v>
      </c>
      <c r="E77" s="81" t="s">
        <v>412</v>
      </c>
      <c r="F77" s="82" t="s">
        <v>270</v>
      </c>
      <c r="G77" s="83" t="s">
        <v>395</v>
      </c>
      <c r="H77" s="84" t="s">
        <v>386</v>
      </c>
      <c r="I77" s="85" t="n">
        <v>1</v>
      </c>
      <c r="J77" s="86" t="n">
        <v>1</v>
      </c>
      <c r="K77" s="87" t="n">
        <v>0.0077</v>
      </c>
      <c r="L77" s="88" t="n">
        <v>322309835.203718</v>
      </c>
      <c r="M77" s="89" t="n">
        <v>322453622.669464</v>
      </c>
      <c r="N77" s="90" t="str">
        <f>MIN(MAX((B77-'Calculation_Assumptions'!$B$5+1)/'Calculation_Assumptions'!$B$7,0),1)</f>
      </c>
      <c r="O77" s="91" t="str">
        <f>L77*I77</f>
      </c>
      <c r="P77" s="92" t="str">
        <f>M77*I77</f>
      </c>
      <c r="Q77" s="93" t="str">
        <f>P77*'Calculation_Assumptions'!$B$14*J77*K77</f>
      </c>
      <c r="R77" s="94" t="str">
        <f>O77*N77*J77*K77</f>
      </c>
      <c r="S77" s="95" t="str">
        <f>R77-Q77</f>
      </c>
      <c r="T77" s="96" t="str">
        <f>1/(1+'Calculation_Assumptions'!$B$8)^(B77-'Calculation_Assumptions'!$B$2)</f>
      </c>
      <c r="U77" s="97" t="str">
        <f>Q77*T77</f>
      </c>
      <c r="V77" s="98" t="str">
        <f>R77*T77</f>
      </c>
      <c r="W77" s="99" t="str">
        <f>S77*T77</f>
      </c>
      <c r="X77" t="n">
        <v>0</v>
      </c>
      <c r="Y77" s="100" t="n">
        <v>2017</v>
      </c>
      <c r="Z77" t="s">
        <v>389</v>
      </c>
      <c r="AA77" s="101" t="str">
        <f>IF(G77="shared-count-once",COUNTIFS($A$2:$A$807,A77,$B$2:$B$807,B77,$D$2:$D$807,D77),1)</f>
      </c>
    </row>
    <row r="78">
      <c r="A78" t="s">
        <v>267</v>
      </c>
      <c r="B78" s="79" t="n">
        <v>2049</v>
      </c>
      <c r="C78" t="s">
        <v>267</v>
      </c>
      <c r="D78" s="80" t="s">
        <v>411</v>
      </c>
      <c r="E78" s="81" t="s">
        <v>412</v>
      </c>
      <c r="F78" s="82" t="s">
        <v>270</v>
      </c>
      <c r="G78" s="83" t="s">
        <v>395</v>
      </c>
      <c r="H78" s="84" t="s">
        <v>386</v>
      </c>
      <c r="I78" s="85" t="n">
        <v>1</v>
      </c>
      <c r="J78" s="86" t="n">
        <v>1</v>
      </c>
      <c r="K78" s="87" t="n">
        <v>0.0077</v>
      </c>
      <c r="L78" s="88" t="n">
        <v>323109090.843398</v>
      </c>
      <c r="M78" s="89" t="n">
        <v>323259246.716719</v>
      </c>
      <c r="N78" s="90" t="str">
        <f>MIN(MAX((B78-'Calculation_Assumptions'!$B$5+1)/'Calculation_Assumptions'!$B$7,0),1)</f>
      </c>
      <c r="O78" s="91" t="str">
        <f>L78*I78</f>
      </c>
      <c r="P78" s="92" t="str">
        <f>M78*I78</f>
      </c>
      <c r="Q78" s="93" t="str">
        <f>P78*'Calculation_Assumptions'!$B$14*J78*K78</f>
      </c>
      <c r="R78" s="94" t="str">
        <f>O78*N78*J78*K78</f>
      </c>
      <c r="S78" s="95" t="str">
        <f>R78-Q78</f>
      </c>
      <c r="T78" s="96" t="str">
        <f>1/(1+'Calculation_Assumptions'!$B$8)^(B78-'Calculation_Assumptions'!$B$2)</f>
      </c>
      <c r="U78" s="97" t="str">
        <f>Q78*T78</f>
      </c>
      <c r="V78" s="98" t="str">
        <f>R78*T78</f>
      </c>
      <c r="W78" s="99" t="str">
        <f>S78*T78</f>
      </c>
      <c r="X78" t="n">
        <v>0</v>
      </c>
      <c r="Y78" s="100" t="n">
        <v>2017</v>
      </c>
      <c r="Z78" t="s">
        <v>389</v>
      </c>
      <c r="AA78" s="101" t="str">
        <f>IF(G78="shared-count-once",COUNTIFS($A$2:$A$807,A78,$B$2:$B$807,B78,$D$2:$D$807,D78),1)</f>
      </c>
    </row>
    <row r="79">
      <c r="A79" t="s">
        <v>267</v>
      </c>
      <c r="B79" s="79" t="n">
        <v>2050</v>
      </c>
      <c r="C79" t="s">
        <v>267</v>
      </c>
      <c r="D79" s="80" t="s">
        <v>411</v>
      </c>
      <c r="E79" s="81" t="s">
        <v>412</v>
      </c>
      <c r="F79" s="82" t="s">
        <v>270</v>
      </c>
      <c r="G79" s="83" t="s">
        <v>395</v>
      </c>
      <c r="H79" s="84" t="s">
        <v>386</v>
      </c>
      <c r="I79" s="85" t="n">
        <v>1</v>
      </c>
      <c r="J79" s="86" t="n">
        <v>1</v>
      </c>
      <c r="K79" s="87" t="n">
        <v>0.0077</v>
      </c>
      <c r="L79" s="88" t="n">
        <v>323856608.891065</v>
      </c>
      <c r="M79" s="89" t="n">
        <v>324013738.182479</v>
      </c>
      <c r="N79" s="90" t="str">
        <f>MIN(MAX((B79-'Calculation_Assumptions'!$B$5+1)/'Calculation_Assumptions'!$B$7,0),1)</f>
      </c>
      <c r="O79" s="91" t="str">
        <f>L79*I79</f>
      </c>
      <c r="P79" s="92" t="str">
        <f>M79*I79</f>
      </c>
      <c r="Q79" s="93" t="str">
        <f>P79*'Calculation_Assumptions'!$B$14*J79*K79</f>
      </c>
      <c r="R79" s="94" t="str">
        <f>O79*N79*J79*K79</f>
      </c>
      <c r="S79" s="95" t="str">
        <f>R79-Q79</f>
      </c>
      <c r="T79" s="96" t="str">
        <f>1/(1+'Calculation_Assumptions'!$B$8)^(B79-'Calculation_Assumptions'!$B$2)</f>
      </c>
      <c r="U79" s="97" t="str">
        <f>Q79*T79</f>
      </c>
      <c r="V79" s="98" t="str">
        <f>R79*T79</f>
      </c>
      <c r="W79" s="99" t="str">
        <f>S79*T79</f>
      </c>
      <c r="X79" t="n">
        <v>0</v>
      </c>
      <c r="Y79" s="100" t="n">
        <v>2017</v>
      </c>
      <c r="Z79" t="s">
        <v>389</v>
      </c>
      <c r="AA79" s="101" t="str">
        <f>IF(G79="shared-count-once",COUNTIFS($A$2:$A$807,A79,$B$2:$B$807,B79,$D$2:$D$807,D79),1)</f>
      </c>
    </row>
    <row r="80">
      <c r="A80" t="s">
        <v>274</v>
      </c>
      <c r="B80" s="79" t="n">
        <v>2025</v>
      </c>
      <c r="C80" t="s">
        <v>274</v>
      </c>
      <c r="D80" s="80" t="s">
        <v>413</v>
      </c>
      <c r="E80" s="81" t="s">
        <v>414</v>
      </c>
      <c r="F80" s="82" t="s">
        <v>277</v>
      </c>
      <c r="G80" s="83" t="s">
        <v>395</v>
      </c>
      <c r="H80" s="84" t="s">
        <v>386</v>
      </c>
      <c r="I80" s="85" t="n">
        <v>1</v>
      </c>
      <c r="J80" s="86" t="n">
        <v>1</v>
      </c>
      <c r="K80" s="87" t="n">
        <v>0.0077</v>
      </c>
      <c r="L80" s="88" t="n">
        <v>288000821.106462</v>
      </c>
      <c r="M80" s="89" t="n">
        <v>288000821.106462</v>
      </c>
      <c r="N80" s="90" t="str">
        <f>MIN(MAX((B80-'Calculation_Assumptions'!$B$5+1)/'Calculation_Assumptions'!$B$7,0),1)</f>
      </c>
      <c r="O80" s="91" t="str">
        <f>L80*I80</f>
      </c>
      <c r="P80" s="92" t="str">
        <f>M80*I80</f>
      </c>
      <c r="Q80" s="93" t="str">
        <f>P80*'Calculation_Assumptions'!$B$14*J80*K80</f>
      </c>
      <c r="R80" s="94" t="str">
        <f>O80*N80*J80*K80</f>
      </c>
      <c r="S80" s="95" t="str">
        <f>R80-Q80</f>
      </c>
      <c r="T80" s="96" t="str">
        <f>1/(1+'Calculation_Assumptions'!$B$8)^(B80-'Calculation_Assumptions'!$B$2)</f>
      </c>
      <c r="U80" s="97" t="str">
        <f>Q80*T80</f>
      </c>
      <c r="V80" s="98" t="str">
        <f>R80*T80</f>
      </c>
      <c r="W80" s="99" t="str">
        <f>S80*T80</f>
      </c>
      <c r="X80" t="n">
        <v>0</v>
      </c>
      <c r="Y80" s="100" t="n">
        <v>2017</v>
      </c>
      <c r="Z80" t="s">
        <v>389</v>
      </c>
      <c r="AA80" s="101" t="str">
        <f>IF(G80="shared-count-once",COUNTIFS($A$2:$A$807,A80,$B$2:$B$807,B80,$D$2:$D$807,D80),1)</f>
      </c>
    </row>
    <row r="81">
      <c r="A81" t="s">
        <v>274</v>
      </c>
      <c r="B81" s="79" t="n">
        <v>2026</v>
      </c>
      <c r="C81" t="s">
        <v>274</v>
      </c>
      <c r="D81" s="80" t="s">
        <v>413</v>
      </c>
      <c r="E81" s="81" t="s">
        <v>414</v>
      </c>
      <c r="F81" s="82" t="s">
        <v>277</v>
      </c>
      <c r="G81" s="83" t="s">
        <v>395</v>
      </c>
      <c r="H81" s="84" t="s">
        <v>386</v>
      </c>
      <c r="I81" s="85" t="n">
        <v>1</v>
      </c>
      <c r="J81" s="86" t="n">
        <v>1</v>
      </c>
      <c r="K81" s="87" t="n">
        <v>0.0077</v>
      </c>
      <c r="L81" s="88" t="n">
        <v>290123496.103219</v>
      </c>
      <c r="M81" s="89" t="n">
        <v>290123496.103219</v>
      </c>
      <c r="N81" s="90" t="str">
        <f>MIN(MAX((B81-'Calculation_Assumptions'!$B$5+1)/'Calculation_Assumptions'!$B$7,0),1)</f>
      </c>
      <c r="O81" s="91" t="str">
        <f>L81*I81</f>
      </c>
      <c r="P81" s="92" t="str">
        <f>M81*I81</f>
      </c>
      <c r="Q81" s="93" t="str">
        <f>P81*'Calculation_Assumptions'!$B$14*J81*K81</f>
      </c>
      <c r="R81" s="94" t="str">
        <f>O81*N81*J81*K81</f>
      </c>
      <c r="S81" s="95" t="str">
        <f>R81-Q81</f>
      </c>
      <c r="T81" s="96" t="str">
        <f>1/(1+'Calculation_Assumptions'!$B$8)^(B81-'Calculation_Assumptions'!$B$2)</f>
      </c>
      <c r="U81" s="97" t="str">
        <f>Q81*T81</f>
      </c>
      <c r="V81" s="98" t="str">
        <f>R81*T81</f>
      </c>
      <c r="W81" s="99" t="str">
        <f>S81*T81</f>
      </c>
      <c r="X81" t="n">
        <v>0</v>
      </c>
      <c r="Y81" s="100" t="n">
        <v>2017</v>
      </c>
      <c r="Z81" t="s">
        <v>389</v>
      </c>
      <c r="AA81" s="101" t="str">
        <f>IF(G81="shared-count-once",COUNTIFS($A$2:$A$807,A81,$B$2:$B$807,B81,$D$2:$D$807,D81),1)</f>
      </c>
    </row>
    <row r="82">
      <c r="A82" t="s">
        <v>274</v>
      </c>
      <c r="B82" s="79" t="n">
        <v>2027</v>
      </c>
      <c r="C82" t="s">
        <v>274</v>
      </c>
      <c r="D82" s="80" t="s">
        <v>413</v>
      </c>
      <c r="E82" s="81" t="s">
        <v>414</v>
      </c>
      <c r="F82" s="82" t="s">
        <v>277</v>
      </c>
      <c r="G82" s="83" t="s">
        <v>395</v>
      </c>
      <c r="H82" s="84" t="s">
        <v>386</v>
      </c>
      <c r="I82" s="85" t="n">
        <v>1</v>
      </c>
      <c r="J82" s="86" t="n">
        <v>1</v>
      </c>
      <c r="K82" s="87" t="n">
        <v>0.0077</v>
      </c>
      <c r="L82" s="88" t="n">
        <v>292252895.096956</v>
      </c>
      <c r="M82" s="89" t="n">
        <v>292252895.096956</v>
      </c>
      <c r="N82" s="90" t="str">
        <f>MIN(MAX((B82-'Calculation_Assumptions'!$B$5+1)/'Calculation_Assumptions'!$B$7,0),1)</f>
      </c>
      <c r="O82" s="91" t="str">
        <f>L82*I82</f>
      </c>
      <c r="P82" s="92" t="str">
        <f>M82*I82</f>
      </c>
      <c r="Q82" s="93" t="str">
        <f>P82*'Calculation_Assumptions'!$B$14*J82*K82</f>
      </c>
      <c r="R82" s="94" t="str">
        <f>O82*N82*J82*K82</f>
      </c>
      <c r="S82" s="95" t="str">
        <f>R82-Q82</f>
      </c>
      <c r="T82" s="96" t="str">
        <f>1/(1+'Calculation_Assumptions'!$B$8)^(B82-'Calculation_Assumptions'!$B$2)</f>
      </c>
      <c r="U82" s="97" t="str">
        <f>Q82*T82</f>
      </c>
      <c r="V82" s="98" t="str">
        <f>R82*T82</f>
      </c>
      <c r="W82" s="99" t="str">
        <f>S82*T82</f>
      </c>
      <c r="X82" t="n">
        <v>0</v>
      </c>
      <c r="Y82" s="100" t="n">
        <v>2017</v>
      </c>
      <c r="Z82" t="s">
        <v>389</v>
      </c>
      <c r="AA82" s="101" t="str">
        <f>IF(G82="shared-count-once",COUNTIFS($A$2:$A$807,A82,$B$2:$B$807,B82,$D$2:$D$807,D82),1)</f>
      </c>
    </row>
    <row r="83">
      <c r="A83" t="s">
        <v>274</v>
      </c>
      <c r="B83" s="79" t="n">
        <v>2028</v>
      </c>
      <c r="C83" t="s">
        <v>274</v>
      </c>
      <c r="D83" s="80" t="s">
        <v>413</v>
      </c>
      <c r="E83" s="81" t="s">
        <v>414</v>
      </c>
      <c r="F83" s="82" t="s">
        <v>277</v>
      </c>
      <c r="G83" s="83" t="s">
        <v>395</v>
      </c>
      <c r="H83" s="84" t="s">
        <v>386</v>
      </c>
      <c r="I83" s="85" t="n">
        <v>1</v>
      </c>
      <c r="J83" s="86" t="n">
        <v>1</v>
      </c>
      <c r="K83" s="87" t="n">
        <v>0.0077</v>
      </c>
      <c r="L83" s="88" t="n">
        <v>294314895.305465</v>
      </c>
      <c r="M83" s="89" t="n">
        <v>294314895.305465</v>
      </c>
      <c r="N83" s="90" t="str">
        <f>MIN(MAX((B83-'Calculation_Assumptions'!$B$5+1)/'Calculation_Assumptions'!$B$7,0),1)</f>
      </c>
      <c r="O83" s="91" t="str">
        <f>L83*I83</f>
      </c>
      <c r="P83" s="92" t="str">
        <f>M83*I83</f>
      </c>
      <c r="Q83" s="93" t="str">
        <f>P83*'Calculation_Assumptions'!$B$14*J83*K83</f>
      </c>
      <c r="R83" s="94" t="str">
        <f>O83*N83*J83*K83</f>
      </c>
      <c r="S83" s="95" t="str">
        <f>R83-Q83</f>
      </c>
      <c r="T83" s="96" t="str">
        <f>1/(1+'Calculation_Assumptions'!$B$8)^(B83-'Calculation_Assumptions'!$B$2)</f>
      </c>
      <c r="U83" s="97" t="str">
        <f>Q83*T83</f>
      </c>
      <c r="V83" s="98" t="str">
        <f>R83*T83</f>
      </c>
      <c r="W83" s="99" t="str">
        <f>S83*T83</f>
      </c>
      <c r="X83" t="n">
        <v>0</v>
      </c>
      <c r="Y83" s="100" t="n">
        <v>2017</v>
      </c>
      <c r="Z83" t="s">
        <v>389</v>
      </c>
      <c r="AA83" s="101" t="str">
        <f>IF(G83="shared-count-once",COUNTIFS($A$2:$A$807,A83,$B$2:$B$807,B83,$D$2:$D$807,D83),1)</f>
      </c>
    </row>
    <row r="84">
      <c r="A84" t="s">
        <v>274</v>
      </c>
      <c r="B84" s="79" t="n">
        <v>2029</v>
      </c>
      <c r="C84" t="s">
        <v>274</v>
      </c>
      <c r="D84" s="80" t="s">
        <v>413</v>
      </c>
      <c r="E84" s="81" t="s">
        <v>414</v>
      </c>
      <c r="F84" s="82" t="s">
        <v>277</v>
      </c>
      <c r="G84" s="83" t="s">
        <v>395</v>
      </c>
      <c r="H84" s="84" t="s">
        <v>386</v>
      </c>
      <c r="I84" s="85" t="n">
        <v>1</v>
      </c>
      <c r="J84" s="86" t="n">
        <v>1</v>
      </c>
      <c r="K84" s="87" t="n">
        <v>0.0077</v>
      </c>
      <c r="L84" s="88" t="n">
        <v>296290960.577593</v>
      </c>
      <c r="M84" s="89" t="n">
        <v>296341062.542853</v>
      </c>
      <c r="N84" s="90" t="str">
        <f>MIN(MAX((B84-'Calculation_Assumptions'!$B$5+1)/'Calculation_Assumptions'!$B$7,0),1)</f>
      </c>
      <c r="O84" s="91" t="str">
        <f>L84*I84</f>
      </c>
      <c r="P84" s="92" t="str">
        <f>M84*I84</f>
      </c>
      <c r="Q84" s="93" t="str">
        <f>P84*'Calculation_Assumptions'!$B$14*J84*K84</f>
      </c>
      <c r="R84" s="94" t="str">
        <f>O84*N84*J84*K84</f>
      </c>
      <c r="S84" s="95" t="str">
        <f>R84-Q84</f>
      </c>
      <c r="T84" s="96" t="str">
        <f>1/(1+'Calculation_Assumptions'!$B$8)^(B84-'Calculation_Assumptions'!$B$2)</f>
      </c>
      <c r="U84" s="97" t="str">
        <f>Q84*T84</f>
      </c>
      <c r="V84" s="98" t="str">
        <f>R84*T84</f>
      </c>
      <c r="W84" s="99" t="str">
        <f>S84*T84</f>
      </c>
      <c r="X84" t="n">
        <v>0</v>
      </c>
      <c r="Y84" s="100" t="n">
        <v>2017</v>
      </c>
      <c r="Z84" t="s">
        <v>389</v>
      </c>
      <c r="AA84" s="101" t="str">
        <f>IF(G84="shared-count-once",COUNTIFS($A$2:$A$807,A84,$B$2:$B$807,B84,$D$2:$D$807,D84),1)</f>
      </c>
    </row>
    <row r="85">
      <c r="A85" t="s">
        <v>274</v>
      </c>
      <c r="B85" s="79" t="n">
        <v>2030</v>
      </c>
      <c r="C85" t="s">
        <v>274</v>
      </c>
      <c r="D85" s="80" t="s">
        <v>413</v>
      </c>
      <c r="E85" s="81" t="s">
        <v>414</v>
      </c>
      <c r="F85" s="82" t="s">
        <v>277</v>
      </c>
      <c r="G85" s="83" t="s">
        <v>395</v>
      </c>
      <c r="H85" s="84" t="s">
        <v>386</v>
      </c>
      <c r="I85" s="85" t="n">
        <v>1</v>
      </c>
      <c r="J85" s="86" t="n">
        <v>1</v>
      </c>
      <c r="K85" s="87" t="n">
        <v>0.0077</v>
      </c>
      <c r="L85" s="88" t="n">
        <v>298223048.298046</v>
      </c>
      <c r="M85" s="89" t="n">
        <v>298280286.057263</v>
      </c>
      <c r="N85" s="90" t="str">
        <f>MIN(MAX((B85-'Calculation_Assumptions'!$B$5+1)/'Calculation_Assumptions'!$B$7,0),1)</f>
      </c>
      <c r="O85" s="91" t="str">
        <f>L85*I85</f>
      </c>
      <c r="P85" s="92" t="str">
        <f>M85*I85</f>
      </c>
      <c r="Q85" s="93" t="str">
        <f>P85*'Calculation_Assumptions'!$B$14*J85*K85</f>
      </c>
      <c r="R85" s="94" t="str">
        <f>O85*N85*J85*K85</f>
      </c>
      <c r="S85" s="95" t="str">
        <f>R85-Q85</f>
      </c>
      <c r="T85" s="96" t="str">
        <f>1/(1+'Calculation_Assumptions'!$B$8)^(B85-'Calculation_Assumptions'!$B$2)</f>
      </c>
      <c r="U85" s="97" t="str">
        <f>Q85*T85</f>
      </c>
      <c r="V85" s="98" t="str">
        <f>R85*T85</f>
      </c>
      <c r="W85" s="99" t="str">
        <f>S85*T85</f>
      </c>
      <c r="X85" t="n">
        <v>0</v>
      </c>
      <c r="Y85" s="100" t="n">
        <v>2017</v>
      </c>
      <c r="Z85" t="s">
        <v>389</v>
      </c>
      <c r="AA85" s="101" t="str">
        <f>IF(G85="shared-count-once",COUNTIFS($A$2:$A$807,A85,$B$2:$B$807,B85,$D$2:$D$807,D85),1)</f>
      </c>
    </row>
    <row r="86">
      <c r="A86" t="s">
        <v>274</v>
      </c>
      <c r="B86" s="79" t="n">
        <v>2031</v>
      </c>
      <c r="C86" t="s">
        <v>274</v>
      </c>
      <c r="D86" s="80" t="s">
        <v>413</v>
      </c>
      <c r="E86" s="81" t="s">
        <v>414</v>
      </c>
      <c r="F86" s="82" t="s">
        <v>277</v>
      </c>
      <c r="G86" s="83" t="s">
        <v>395</v>
      </c>
      <c r="H86" s="84" t="s">
        <v>386</v>
      </c>
      <c r="I86" s="85" t="n">
        <v>1</v>
      </c>
      <c r="J86" s="86" t="n">
        <v>1</v>
      </c>
      <c r="K86" s="87" t="n">
        <v>0.0077</v>
      </c>
      <c r="L86" s="88" t="n">
        <v>300088112.905971</v>
      </c>
      <c r="M86" s="89" t="n">
        <v>300152603.254782</v>
      </c>
      <c r="N86" s="90" t="str">
        <f>MIN(MAX((B86-'Calculation_Assumptions'!$B$5+1)/'Calculation_Assumptions'!$B$7,0),1)</f>
      </c>
      <c r="O86" s="91" t="str">
        <f>L86*I86</f>
      </c>
      <c r="P86" s="92" t="str">
        <f>M86*I86</f>
      </c>
      <c r="Q86" s="93" t="str">
        <f>P86*'Calculation_Assumptions'!$B$14*J86*K86</f>
      </c>
      <c r="R86" s="94" t="str">
        <f>O86*N86*J86*K86</f>
      </c>
      <c r="S86" s="95" t="str">
        <f>R86-Q86</f>
      </c>
      <c r="T86" s="96" t="str">
        <f>1/(1+'Calculation_Assumptions'!$B$8)^(B86-'Calculation_Assumptions'!$B$2)</f>
      </c>
      <c r="U86" s="97" t="str">
        <f>Q86*T86</f>
      </c>
      <c r="V86" s="98" t="str">
        <f>R86*T86</f>
      </c>
      <c r="W86" s="99" t="str">
        <f>S86*T86</f>
      </c>
      <c r="X86" t="n">
        <v>0</v>
      </c>
      <c r="Y86" s="100" t="n">
        <v>2017</v>
      </c>
      <c r="Z86" t="s">
        <v>389</v>
      </c>
      <c r="AA86" s="101" t="str">
        <f>IF(G86="shared-count-once",COUNTIFS($A$2:$A$807,A86,$B$2:$B$807,B86,$D$2:$D$807,D86),1)</f>
      </c>
    </row>
    <row r="87">
      <c r="A87" t="s">
        <v>274</v>
      </c>
      <c r="B87" s="79" t="n">
        <v>2032</v>
      </c>
      <c r="C87" t="s">
        <v>274</v>
      </c>
      <c r="D87" s="80" t="s">
        <v>413</v>
      </c>
      <c r="E87" s="81" t="s">
        <v>414</v>
      </c>
      <c r="F87" s="82" t="s">
        <v>277</v>
      </c>
      <c r="G87" s="83" t="s">
        <v>395</v>
      </c>
      <c r="H87" s="84" t="s">
        <v>386</v>
      </c>
      <c r="I87" s="85" t="n">
        <v>1</v>
      </c>
      <c r="J87" s="86" t="n">
        <v>1</v>
      </c>
      <c r="K87" s="87" t="n">
        <v>0.0077</v>
      </c>
      <c r="L87" s="88" t="n">
        <v>301887415.717384</v>
      </c>
      <c r="M87" s="89" t="n">
        <v>301959399.633888</v>
      </c>
      <c r="N87" s="90" t="str">
        <f>MIN(MAX((B87-'Calculation_Assumptions'!$B$5+1)/'Calculation_Assumptions'!$B$7,0),1)</f>
      </c>
      <c r="O87" s="91" t="str">
        <f>L87*I87</f>
      </c>
      <c r="P87" s="92" t="str">
        <f>M87*I87</f>
      </c>
      <c r="Q87" s="93" t="str">
        <f>P87*'Calculation_Assumptions'!$B$14*J87*K87</f>
      </c>
      <c r="R87" s="94" t="str">
        <f>O87*N87*J87*K87</f>
      </c>
      <c r="S87" s="95" t="str">
        <f>R87-Q87</f>
      </c>
      <c r="T87" s="96" t="str">
        <f>1/(1+'Calculation_Assumptions'!$B$8)^(B87-'Calculation_Assumptions'!$B$2)</f>
      </c>
      <c r="U87" s="97" t="str">
        <f>Q87*T87</f>
      </c>
      <c r="V87" s="98" t="str">
        <f>R87*T87</f>
      </c>
      <c r="W87" s="99" t="str">
        <f>S87*T87</f>
      </c>
      <c r="X87" t="n">
        <v>0</v>
      </c>
      <c r="Y87" s="100" t="n">
        <v>2017</v>
      </c>
      <c r="Z87" t="s">
        <v>389</v>
      </c>
      <c r="AA87" s="101" t="str">
        <f>IF(G87="shared-count-once",COUNTIFS($A$2:$A$807,A87,$B$2:$B$807,B87,$D$2:$D$807,D87),1)</f>
      </c>
    </row>
    <row r="88">
      <c r="A88" t="s">
        <v>274</v>
      </c>
      <c r="B88" s="79" t="n">
        <v>2033</v>
      </c>
      <c r="C88" t="s">
        <v>274</v>
      </c>
      <c r="D88" s="80" t="s">
        <v>413</v>
      </c>
      <c r="E88" s="81" t="s">
        <v>414</v>
      </c>
      <c r="F88" s="82" t="s">
        <v>277</v>
      </c>
      <c r="G88" s="83" t="s">
        <v>395</v>
      </c>
      <c r="H88" s="84" t="s">
        <v>386</v>
      </c>
      <c r="I88" s="85" t="n">
        <v>1</v>
      </c>
      <c r="J88" s="86" t="n">
        <v>1</v>
      </c>
      <c r="K88" s="87" t="n">
        <v>0.0077</v>
      </c>
      <c r="L88" s="88" t="n">
        <v>303621421.092012</v>
      </c>
      <c r="M88" s="89" t="n">
        <v>303701035.202051</v>
      </c>
      <c r="N88" s="90" t="str">
        <f>MIN(MAX((B88-'Calculation_Assumptions'!$B$5+1)/'Calculation_Assumptions'!$B$7,0),1)</f>
      </c>
      <c r="O88" s="91" t="str">
        <f>L88*I88</f>
      </c>
      <c r="P88" s="92" t="str">
        <f>M88*I88</f>
      </c>
      <c r="Q88" s="93" t="str">
        <f>P88*'Calculation_Assumptions'!$B$14*J88*K88</f>
      </c>
      <c r="R88" s="94" t="str">
        <f>O88*N88*J88*K88</f>
      </c>
      <c r="S88" s="95" t="str">
        <f>R88-Q88</f>
      </c>
      <c r="T88" s="96" t="str">
        <f>1/(1+'Calculation_Assumptions'!$B$8)^(B88-'Calculation_Assumptions'!$B$2)</f>
      </c>
      <c r="U88" s="97" t="str">
        <f>Q88*T88</f>
      </c>
      <c r="V88" s="98" t="str">
        <f>R88*T88</f>
      </c>
      <c r="W88" s="99" t="str">
        <f>S88*T88</f>
      </c>
      <c r="X88" t="n">
        <v>0</v>
      </c>
      <c r="Y88" s="100" t="n">
        <v>2017</v>
      </c>
      <c r="Z88" t="s">
        <v>389</v>
      </c>
      <c r="AA88" s="101" t="str">
        <f>IF(G88="shared-count-once",COUNTIFS($A$2:$A$807,A88,$B$2:$B$807,B88,$D$2:$D$807,D88),1)</f>
      </c>
    </row>
    <row r="89">
      <c r="A89" t="s">
        <v>274</v>
      </c>
      <c r="B89" s="79" t="n">
        <v>2034</v>
      </c>
      <c r="C89" t="s">
        <v>274</v>
      </c>
      <c r="D89" s="80" t="s">
        <v>413</v>
      </c>
      <c r="E89" s="81" t="s">
        <v>414</v>
      </c>
      <c r="F89" s="82" t="s">
        <v>277</v>
      </c>
      <c r="G89" s="83" t="s">
        <v>395</v>
      </c>
      <c r="H89" s="84" t="s">
        <v>386</v>
      </c>
      <c r="I89" s="85" t="n">
        <v>1</v>
      </c>
      <c r="J89" s="86" t="n">
        <v>1</v>
      </c>
      <c r="K89" s="87" t="n">
        <v>0.0077</v>
      </c>
      <c r="L89" s="88" t="n">
        <v>305290868.224054</v>
      </c>
      <c r="M89" s="89" t="n">
        <v>305377998.093319</v>
      </c>
      <c r="N89" s="90" t="str">
        <f>MIN(MAX((B89-'Calculation_Assumptions'!$B$5+1)/'Calculation_Assumptions'!$B$7,0),1)</f>
      </c>
      <c r="O89" s="91" t="str">
        <f>L89*I89</f>
      </c>
      <c r="P89" s="92" t="str">
        <f>M89*I89</f>
      </c>
      <c r="Q89" s="93" t="str">
        <f>P89*'Calculation_Assumptions'!$B$14*J89*K89</f>
      </c>
      <c r="R89" s="94" t="str">
        <f>O89*N89*J89*K89</f>
      </c>
      <c r="S89" s="95" t="str">
        <f>R89-Q89</f>
      </c>
      <c r="T89" s="96" t="str">
        <f>1/(1+'Calculation_Assumptions'!$B$8)^(B89-'Calculation_Assumptions'!$B$2)</f>
      </c>
      <c r="U89" s="97" t="str">
        <f>Q89*T89</f>
      </c>
      <c r="V89" s="98" t="str">
        <f>R89*T89</f>
      </c>
      <c r="W89" s="99" t="str">
        <f>S89*T89</f>
      </c>
      <c r="X89" t="n">
        <v>0</v>
      </c>
      <c r="Y89" s="100" t="n">
        <v>2017</v>
      </c>
      <c r="Z89" t="s">
        <v>389</v>
      </c>
      <c r="AA89" s="101" t="str">
        <f>IF(G89="shared-count-once",COUNTIFS($A$2:$A$807,A89,$B$2:$B$807,B89,$D$2:$D$807,D89),1)</f>
      </c>
    </row>
    <row r="90">
      <c r="A90" t="s">
        <v>274</v>
      </c>
      <c r="B90" s="79" t="n">
        <v>2035</v>
      </c>
      <c r="C90" t="s">
        <v>274</v>
      </c>
      <c r="D90" s="80" t="s">
        <v>413</v>
      </c>
      <c r="E90" s="81" t="s">
        <v>414</v>
      </c>
      <c r="F90" s="82" t="s">
        <v>277</v>
      </c>
      <c r="G90" s="83" t="s">
        <v>395</v>
      </c>
      <c r="H90" s="84" t="s">
        <v>386</v>
      </c>
      <c r="I90" s="85" t="n">
        <v>1</v>
      </c>
      <c r="J90" s="86" t="n">
        <v>1</v>
      </c>
      <c r="K90" s="87" t="n">
        <v>0.0077</v>
      </c>
      <c r="L90" s="88" t="n">
        <v>306894922.707253</v>
      </c>
      <c r="M90" s="89" t="n">
        <v>306989258.29407</v>
      </c>
      <c r="N90" s="90" t="str">
        <f>MIN(MAX((B90-'Calculation_Assumptions'!$B$5+1)/'Calculation_Assumptions'!$B$7,0),1)</f>
      </c>
      <c r="O90" s="91" t="str">
        <f>L90*I90</f>
      </c>
      <c r="P90" s="92" t="str">
        <f>M90*I90</f>
      </c>
      <c r="Q90" s="93" t="str">
        <f>P90*'Calculation_Assumptions'!$B$14*J90*K90</f>
      </c>
      <c r="R90" s="94" t="str">
        <f>O90*N90*J90*K90</f>
      </c>
      <c r="S90" s="95" t="str">
        <f>R90-Q90</f>
      </c>
      <c r="T90" s="96" t="str">
        <f>1/(1+'Calculation_Assumptions'!$B$8)^(B90-'Calculation_Assumptions'!$B$2)</f>
      </c>
      <c r="U90" s="97" t="str">
        <f>Q90*T90</f>
      </c>
      <c r="V90" s="98" t="str">
        <f>R90*T90</f>
      </c>
      <c r="W90" s="99" t="str">
        <f>S90*T90</f>
      </c>
      <c r="X90" t="n">
        <v>0</v>
      </c>
      <c r="Y90" s="100" t="n">
        <v>2017</v>
      </c>
      <c r="Z90" t="s">
        <v>389</v>
      </c>
      <c r="AA90" s="101" t="str">
        <f>IF(G90="shared-count-once",COUNTIFS($A$2:$A$807,A90,$B$2:$B$807,B90,$D$2:$D$807,D90),1)</f>
      </c>
    </row>
    <row r="91">
      <c r="A91" t="s">
        <v>274</v>
      </c>
      <c r="B91" s="79" t="n">
        <v>2036</v>
      </c>
      <c r="C91" t="s">
        <v>274</v>
      </c>
      <c r="D91" s="80" t="s">
        <v>413</v>
      </c>
      <c r="E91" s="81" t="s">
        <v>414</v>
      </c>
      <c r="F91" s="82" t="s">
        <v>277</v>
      </c>
      <c r="G91" s="83" t="s">
        <v>395</v>
      </c>
      <c r="H91" s="84" t="s">
        <v>386</v>
      </c>
      <c r="I91" s="85" t="n">
        <v>1</v>
      </c>
      <c r="J91" s="86" t="n">
        <v>1</v>
      </c>
      <c r="K91" s="87" t="n">
        <v>0.0077</v>
      </c>
      <c r="L91" s="88" t="n">
        <v>308436427.56067</v>
      </c>
      <c r="M91" s="89" t="n">
        <v>308537399.672094</v>
      </c>
      <c r="N91" s="90" t="str">
        <f>MIN(MAX((B91-'Calculation_Assumptions'!$B$5+1)/'Calculation_Assumptions'!$B$7,0),1)</f>
      </c>
      <c r="O91" s="91" t="str">
        <f>L91*I91</f>
      </c>
      <c r="P91" s="92" t="str">
        <f>M91*I91</f>
      </c>
      <c r="Q91" s="93" t="str">
        <f>P91*'Calculation_Assumptions'!$B$14*J91*K91</f>
      </c>
      <c r="R91" s="94" t="str">
        <f>O91*N91*J91*K91</f>
      </c>
      <c r="S91" s="95" t="str">
        <f>R91-Q91</f>
      </c>
      <c r="T91" s="96" t="str">
        <f>1/(1+'Calculation_Assumptions'!$B$8)^(B91-'Calculation_Assumptions'!$B$2)</f>
      </c>
      <c r="U91" s="97" t="str">
        <f>Q91*T91</f>
      </c>
      <c r="V91" s="98" t="str">
        <f>R91*T91</f>
      </c>
      <c r="W91" s="99" t="str">
        <f>S91*T91</f>
      </c>
      <c r="X91" t="n">
        <v>0</v>
      </c>
      <c r="Y91" s="100" t="n">
        <v>2017</v>
      </c>
      <c r="Z91" t="s">
        <v>389</v>
      </c>
      <c r="AA91" s="101" t="str">
        <f>IF(G91="shared-count-once",COUNTIFS($A$2:$A$807,A91,$B$2:$B$807,B91,$D$2:$D$807,D91),1)</f>
      </c>
    </row>
    <row r="92">
      <c r="A92" t="s">
        <v>274</v>
      </c>
      <c r="B92" s="79" t="n">
        <v>2037</v>
      </c>
      <c r="C92" t="s">
        <v>274</v>
      </c>
      <c r="D92" s="80" t="s">
        <v>413</v>
      </c>
      <c r="E92" s="81" t="s">
        <v>414</v>
      </c>
      <c r="F92" s="82" t="s">
        <v>277</v>
      </c>
      <c r="G92" s="83" t="s">
        <v>395</v>
      </c>
      <c r="H92" s="84" t="s">
        <v>386</v>
      </c>
      <c r="I92" s="85" t="n">
        <v>1</v>
      </c>
      <c r="J92" s="86" t="n">
        <v>1</v>
      </c>
      <c r="K92" s="87" t="n">
        <v>0.0077</v>
      </c>
      <c r="L92" s="88" t="n">
        <v>309916171.361539</v>
      </c>
      <c r="M92" s="89" t="n">
        <v>310023120.393472</v>
      </c>
      <c r="N92" s="90" t="str">
        <f>MIN(MAX((B92-'Calculation_Assumptions'!$B$5+1)/'Calculation_Assumptions'!$B$7,0),1)</f>
      </c>
      <c r="O92" s="91" t="str">
        <f>L92*I92</f>
      </c>
      <c r="P92" s="92" t="str">
        <f>M92*I92</f>
      </c>
      <c r="Q92" s="93" t="str">
        <f>P92*'Calculation_Assumptions'!$B$14*J92*K92</f>
      </c>
      <c r="R92" s="94" t="str">
        <f>O92*N92*J92*K92</f>
      </c>
      <c r="S92" s="95" t="str">
        <f>R92-Q92</f>
      </c>
      <c r="T92" s="96" t="str">
        <f>1/(1+'Calculation_Assumptions'!$B$8)^(B92-'Calculation_Assumptions'!$B$2)</f>
      </c>
      <c r="U92" s="97" t="str">
        <f>Q92*T92</f>
      </c>
      <c r="V92" s="98" t="str">
        <f>R92*T92</f>
      </c>
      <c r="W92" s="99" t="str">
        <f>S92*T92</f>
      </c>
      <c r="X92" t="n">
        <v>0</v>
      </c>
      <c r="Y92" s="100" t="n">
        <v>2017</v>
      </c>
      <c r="Z92" t="s">
        <v>389</v>
      </c>
      <c r="AA92" s="101" t="str">
        <f>IF(G92="shared-count-once",COUNTIFS($A$2:$A$807,A92,$B$2:$B$807,B92,$D$2:$D$807,D92),1)</f>
      </c>
    </row>
    <row r="93">
      <c r="A93" t="s">
        <v>274</v>
      </c>
      <c r="B93" s="79" t="n">
        <v>2038</v>
      </c>
      <c r="C93" t="s">
        <v>274</v>
      </c>
      <c r="D93" s="80" t="s">
        <v>413</v>
      </c>
      <c r="E93" s="81" t="s">
        <v>414</v>
      </c>
      <c r="F93" s="82" t="s">
        <v>277</v>
      </c>
      <c r="G93" s="83" t="s">
        <v>395</v>
      </c>
      <c r="H93" s="84" t="s">
        <v>386</v>
      </c>
      <c r="I93" s="85" t="n">
        <v>1</v>
      </c>
      <c r="J93" s="86" t="n">
        <v>1</v>
      </c>
      <c r="K93" s="87" t="n">
        <v>0.0077</v>
      </c>
      <c r="L93" s="88" t="n">
        <v>311334233.913664</v>
      </c>
      <c r="M93" s="89" t="n">
        <v>311445837.134625</v>
      </c>
      <c r="N93" s="90" t="str">
        <f>MIN(MAX((B93-'Calculation_Assumptions'!$B$5+1)/'Calculation_Assumptions'!$B$7,0),1)</f>
      </c>
      <c r="O93" s="91" t="str">
        <f>L93*I93</f>
      </c>
      <c r="P93" s="92" t="str">
        <f>M93*I93</f>
      </c>
      <c r="Q93" s="93" t="str">
        <f>P93*'Calculation_Assumptions'!$B$14*J93*K93</f>
      </c>
      <c r="R93" s="94" t="str">
        <f>O93*N93*J93*K93</f>
      </c>
      <c r="S93" s="95" t="str">
        <f>R93-Q93</f>
      </c>
      <c r="T93" s="96" t="str">
        <f>1/(1+'Calculation_Assumptions'!$B$8)^(B93-'Calculation_Assumptions'!$B$2)</f>
      </c>
      <c r="U93" s="97" t="str">
        <f>Q93*T93</f>
      </c>
      <c r="V93" s="98" t="str">
        <f>R93*T93</f>
      </c>
      <c r="W93" s="99" t="str">
        <f>S93*T93</f>
      </c>
      <c r="X93" t="n">
        <v>0</v>
      </c>
      <c r="Y93" s="100" t="n">
        <v>2017</v>
      </c>
      <c r="Z93" t="s">
        <v>389</v>
      </c>
      <c r="AA93" s="101" t="str">
        <f>IF(G93="shared-count-once",COUNTIFS($A$2:$A$807,A93,$B$2:$B$807,B93,$D$2:$D$807,D93),1)</f>
      </c>
    </row>
    <row r="94">
      <c r="A94" t="s">
        <v>274</v>
      </c>
      <c r="B94" s="79" t="n">
        <v>2039</v>
      </c>
      <c r="C94" t="s">
        <v>274</v>
      </c>
      <c r="D94" s="80" t="s">
        <v>413</v>
      </c>
      <c r="E94" s="81" t="s">
        <v>414</v>
      </c>
      <c r="F94" s="82" t="s">
        <v>277</v>
      </c>
      <c r="G94" s="83" t="s">
        <v>395</v>
      </c>
      <c r="H94" s="84" t="s">
        <v>386</v>
      </c>
      <c r="I94" s="85" t="n">
        <v>1</v>
      </c>
      <c r="J94" s="86" t="n">
        <v>1</v>
      </c>
      <c r="K94" s="87" t="n">
        <v>0.0077</v>
      </c>
      <c r="L94" s="88" t="n">
        <v>312691890.369323</v>
      </c>
      <c r="M94" s="89" t="n">
        <v>312806989.715685</v>
      </c>
      <c r="N94" s="90" t="str">
        <f>MIN(MAX((B94-'Calculation_Assumptions'!$B$5+1)/'Calculation_Assumptions'!$B$7,0),1)</f>
      </c>
      <c r="O94" s="91" t="str">
        <f>L94*I94</f>
      </c>
      <c r="P94" s="92" t="str">
        <f>M94*I94</f>
      </c>
      <c r="Q94" s="93" t="str">
        <f>P94*'Calculation_Assumptions'!$B$14*J94*K94</f>
      </c>
      <c r="R94" s="94" t="str">
        <f>O94*N94*J94*K94</f>
      </c>
      <c r="S94" s="95" t="str">
        <f>R94-Q94</f>
      </c>
      <c r="T94" s="96" t="str">
        <f>1/(1+'Calculation_Assumptions'!$B$8)^(B94-'Calculation_Assumptions'!$B$2)</f>
      </c>
      <c r="U94" s="97" t="str">
        <f>Q94*T94</f>
      </c>
      <c r="V94" s="98" t="str">
        <f>R94*T94</f>
      </c>
      <c r="W94" s="99" t="str">
        <f>S94*T94</f>
      </c>
      <c r="X94" t="n">
        <v>0</v>
      </c>
      <c r="Y94" s="100" t="n">
        <v>2017</v>
      </c>
      <c r="Z94" t="s">
        <v>389</v>
      </c>
      <c r="AA94" s="101" t="str">
        <f>IF(G94="shared-count-once",COUNTIFS($A$2:$A$807,A94,$B$2:$B$807,B94,$D$2:$D$807,D94),1)</f>
      </c>
    </row>
    <row r="95">
      <c r="A95" t="s">
        <v>274</v>
      </c>
      <c r="B95" s="79" t="n">
        <v>2040</v>
      </c>
      <c r="C95" t="s">
        <v>274</v>
      </c>
      <c r="D95" s="80" t="s">
        <v>413</v>
      </c>
      <c r="E95" s="81" t="s">
        <v>414</v>
      </c>
      <c r="F95" s="82" t="s">
        <v>277</v>
      </c>
      <c r="G95" s="83" t="s">
        <v>395</v>
      </c>
      <c r="H95" s="84" t="s">
        <v>386</v>
      </c>
      <c r="I95" s="85" t="n">
        <v>1</v>
      </c>
      <c r="J95" s="86" t="n">
        <v>1</v>
      </c>
      <c r="K95" s="87" t="n">
        <v>0.0077</v>
      </c>
      <c r="L95" s="88" t="n">
        <v>313991537.973874</v>
      </c>
      <c r="M95" s="89" t="n">
        <v>314109251.582649</v>
      </c>
      <c r="N95" s="90" t="str">
        <f>MIN(MAX((B95-'Calculation_Assumptions'!$B$5+1)/'Calculation_Assumptions'!$B$7,0),1)</f>
      </c>
      <c r="O95" s="91" t="str">
        <f>L95*I95</f>
      </c>
      <c r="P95" s="92" t="str">
        <f>M95*I95</f>
      </c>
      <c r="Q95" s="93" t="str">
        <f>P95*'Calculation_Assumptions'!$B$14*J95*K95</f>
      </c>
      <c r="R95" s="94" t="str">
        <f>O95*N95*J95*K95</f>
      </c>
      <c r="S95" s="95" t="str">
        <f>R95-Q95</f>
      </c>
      <c r="T95" s="96" t="str">
        <f>1/(1+'Calculation_Assumptions'!$B$8)^(B95-'Calculation_Assumptions'!$B$2)</f>
      </c>
      <c r="U95" s="97" t="str">
        <f>Q95*T95</f>
      </c>
      <c r="V95" s="98" t="str">
        <f>R95*T95</f>
      </c>
      <c r="W95" s="99" t="str">
        <f>S95*T95</f>
      </c>
      <c r="X95" t="n">
        <v>0</v>
      </c>
      <c r="Y95" s="100" t="n">
        <v>2017</v>
      </c>
      <c r="Z95" t="s">
        <v>389</v>
      </c>
      <c r="AA95" s="101" t="str">
        <f>IF(G95="shared-count-once",COUNTIFS($A$2:$A$807,A95,$B$2:$B$807,B95,$D$2:$D$807,D95),1)</f>
      </c>
    </row>
    <row r="96">
      <c r="A96" t="s">
        <v>274</v>
      </c>
      <c r="B96" s="79" t="n">
        <v>2041</v>
      </c>
      <c r="C96" t="s">
        <v>274</v>
      </c>
      <c r="D96" s="80" t="s">
        <v>413</v>
      </c>
      <c r="E96" s="81" t="s">
        <v>414</v>
      </c>
      <c r="F96" s="82" t="s">
        <v>277</v>
      </c>
      <c r="G96" s="83" t="s">
        <v>395</v>
      </c>
      <c r="H96" s="84" t="s">
        <v>386</v>
      </c>
      <c r="I96" s="85" t="n">
        <v>1</v>
      </c>
      <c r="J96" s="86" t="n">
        <v>1</v>
      </c>
      <c r="K96" s="87" t="n">
        <v>0.0077</v>
      </c>
      <c r="L96" s="88" t="n">
        <v>315232138.534881</v>
      </c>
      <c r="M96" s="89" t="n">
        <v>315352079.812423</v>
      </c>
      <c r="N96" s="90" t="str">
        <f>MIN(MAX((B96-'Calculation_Assumptions'!$B$5+1)/'Calculation_Assumptions'!$B$7,0),1)</f>
      </c>
      <c r="O96" s="91" t="str">
        <f>L96*I96</f>
      </c>
      <c r="P96" s="92" t="str">
        <f>M96*I96</f>
      </c>
      <c r="Q96" s="93" t="str">
        <f>P96*'Calculation_Assumptions'!$B$14*J96*K96</f>
      </c>
      <c r="R96" s="94" t="str">
        <f>O96*N96*J96*K96</f>
      </c>
      <c r="S96" s="95" t="str">
        <f>R96-Q96</f>
      </c>
      <c r="T96" s="96" t="str">
        <f>1/(1+'Calculation_Assumptions'!$B$8)^(B96-'Calculation_Assumptions'!$B$2)</f>
      </c>
      <c r="U96" s="97" t="str">
        <f>Q96*T96</f>
      </c>
      <c r="V96" s="98" t="str">
        <f>R96*T96</f>
      </c>
      <c r="W96" s="99" t="str">
        <f>S96*T96</f>
      </c>
      <c r="X96" t="n">
        <v>0</v>
      </c>
      <c r="Y96" s="100" t="n">
        <v>2017</v>
      </c>
      <c r="Z96" t="s">
        <v>389</v>
      </c>
      <c r="AA96" s="101" t="str">
        <f>IF(G96="shared-count-once",COUNTIFS($A$2:$A$807,A96,$B$2:$B$807,B96,$D$2:$D$807,D96),1)</f>
      </c>
    </row>
    <row r="97">
      <c r="A97" t="s">
        <v>274</v>
      </c>
      <c r="B97" s="79" t="n">
        <v>2042</v>
      </c>
      <c r="C97" t="s">
        <v>274</v>
      </c>
      <c r="D97" s="80" t="s">
        <v>413</v>
      </c>
      <c r="E97" s="81" t="s">
        <v>414</v>
      </c>
      <c r="F97" s="82" t="s">
        <v>277</v>
      </c>
      <c r="G97" s="83" t="s">
        <v>395</v>
      </c>
      <c r="H97" s="84" t="s">
        <v>386</v>
      </c>
      <c r="I97" s="85" t="n">
        <v>1</v>
      </c>
      <c r="J97" s="86" t="n">
        <v>1</v>
      </c>
      <c r="K97" s="87" t="n">
        <v>0.0077</v>
      </c>
      <c r="L97" s="88" t="n">
        <v>316414527.5403</v>
      </c>
      <c r="M97" s="89" t="n">
        <v>316395286.312016</v>
      </c>
      <c r="N97" s="90" t="str">
        <f>MIN(MAX((B97-'Calculation_Assumptions'!$B$5+1)/'Calculation_Assumptions'!$B$7,0),1)</f>
      </c>
      <c r="O97" s="91" t="str">
        <f>L97*I97</f>
      </c>
      <c r="P97" s="92" t="str">
        <f>M97*I97</f>
      </c>
      <c r="Q97" s="93" t="str">
        <f>P97*'Calculation_Assumptions'!$B$14*J97*K97</f>
      </c>
      <c r="R97" s="94" t="str">
        <f>O97*N97*J97*K97</f>
      </c>
      <c r="S97" s="95" t="str">
        <f>R97-Q97</f>
      </c>
      <c r="T97" s="96" t="str">
        <f>1/(1+'Calculation_Assumptions'!$B$8)^(B97-'Calculation_Assumptions'!$B$2)</f>
      </c>
      <c r="U97" s="97" t="str">
        <f>Q97*T97</f>
      </c>
      <c r="V97" s="98" t="str">
        <f>R97*T97</f>
      </c>
      <c r="W97" s="99" t="str">
        <f>S97*T97</f>
      </c>
      <c r="X97" t="n">
        <v>0</v>
      </c>
      <c r="Y97" s="100" t="n">
        <v>2017</v>
      </c>
      <c r="Z97" t="s">
        <v>389</v>
      </c>
      <c r="AA97" s="101" t="str">
        <f>IF(G97="shared-count-once",COUNTIFS($A$2:$A$807,A97,$B$2:$B$807,B97,$D$2:$D$807,D97),1)</f>
      </c>
    </row>
    <row r="98">
      <c r="A98" t="s">
        <v>274</v>
      </c>
      <c r="B98" s="79" t="n">
        <v>2043</v>
      </c>
      <c r="C98" t="s">
        <v>274</v>
      </c>
      <c r="D98" s="80" t="s">
        <v>413</v>
      </c>
      <c r="E98" s="81" t="s">
        <v>414</v>
      </c>
      <c r="F98" s="82" t="s">
        <v>277</v>
      </c>
      <c r="G98" s="83" t="s">
        <v>395</v>
      </c>
      <c r="H98" s="84" t="s">
        <v>386</v>
      </c>
      <c r="I98" s="85" t="n">
        <v>1</v>
      </c>
      <c r="J98" s="86" t="n">
        <v>1</v>
      </c>
      <c r="K98" s="87" t="n">
        <v>0.0077</v>
      </c>
      <c r="L98" s="88" t="n">
        <v>317642449.071176</v>
      </c>
      <c r="M98" s="89" t="n">
        <v>317619735.688289</v>
      </c>
      <c r="N98" s="90" t="str">
        <f>MIN(MAX((B98-'Calculation_Assumptions'!$B$5+1)/'Calculation_Assumptions'!$B$7,0),1)</f>
      </c>
      <c r="O98" s="91" t="str">
        <f>L98*I98</f>
      </c>
      <c r="P98" s="92" t="str">
        <f>M98*I98</f>
      </c>
      <c r="Q98" s="93" t="str">
        <f>P98*'Calculation_Assumptions'!$B$14*J98*K98</f>
      </c>
      <c r="R98" s="94" t="str">
        <f>O98*N98*J98*K98</f>
      </c>
      <c r="S98" s="95" t="str">
        <f>R98-Q98</f>
      </c>
      <c r="T98" s="96" t="str">
        <f>1/(1+'Calculation_Assumptions'!$B$8)^(B98-'Calculation_Assumptions'!$B$2)</f>
      </c>
      <c r="U98" s="97" t="str">
        <f>Q98*T98</f>
      </c>
      <c r="V98" s="98" t="str">
        <f>R98*T98</f>
      </c>
      <c r="W98" s="99" t="str">
        <f>S98*T98</f>
      </c>
      <c r="X98" t="n">
        <v>0</v>
      </c>
      <c r="Y98" s="100" t="n">
        <v>2017</v>
      </c>
      <c r="Z98" t="s">
        <v>389</v>
      </c>
      <c r="AA98" s="101" t="str">
        <f>IF(G98="shared-count-once",COUNTIFS($A$2:$A$807,A98,$B$2:$B$807,B98,$D$2:$D$807,D98),1)</f>
      </c>
    </row>
    <row r="99">
      <c r="A99" t="s">
        <v>274</v>
      </c>
      <c r="B99" s="79" t="n">
        <v>2044</v>
      </c>
      <c r="C99" t="s">
        <v>274</v>
      </c>
      <c r="D99" s="80" t="s">
        <v>413</v>
      </c>
      <c r="E99" s="81" t="s">
        <v>414</v>
      </c>
      <c r="F99" s="82" t="s">
        <v>277</v>
      </c>
      <c r="G99" s="83" t="s">
        <v>395</v>
      </c>
      <c r="H99" s="84" t="s">
        <v>386</v>
      </c>
      <c r="I99" s="85" t="n">
        <v>1</v>
      </c>
      <c r="J99" s="86" t="n">
        <v>1</v>
      </c>
      <c r="K99" s="87" t="n">
        <v>0.0077</v>
      </c>
      <c r="L99" s="88" t="n">
        <v>318723251.074163</v>
      </c>
      <c r="M99" s="89" t="n">
        <v>318697135.863652</v>
      </c>
      <c r="N99" s="90" t="str">
        <f>MIN(MAX((B99-'Calculation_Assumptions'!$B$5+1)/'Calculation_Assumptions'!$B$7,0),1)</f>
      </c>
      <c r="O99" s="91" t="str">
        <f>L99*I99</f>
      </c>
      <c r="P99" s="92" t="str">
        <f>M99*I99</f>
      </c>
      <c r="Q99" s="93" t="str">
        <f>P99*'Calculation_Assumptions'!$B$14*J99*K99</f>
      </c>
      <c r="R99" s="94" t="str">
        <f>O99*N99*J99*K99</f>
      </c>
      <c r="S99" s="95" t="str">
        <f>R99-Q99</f>
      </c>
      <c r="T99" s="96" t="str">
        <f>1/(1+'Calculation_Assumptions'!$B$8)^(B99-'Calculation_Assumptions'!$B$2)</f>
      </c>
      <c r="U99" s="97" t="str">
        <f>Q99*T99</f>
      </c>
      <c r="V99" s="98" t="str">
        <f>R99*T99</f>
      </c>
      <c r="W99" s="99" t="str">
        <f>S99*T99</f>
      </c>
      <c r="X99" t="n">
        <v>0</v>
      </c>
      <c r="Y99" s="100" t="n">
        <v>2017</v>
      </c>
      <c r="Z99" t="s">
        <v>389</v>
      </c>
      <c r="AA99" s="101" t="str">
        <f>IF(G99="shared-count-once",COUNTIFS($A$2:$A$807,A99,$B$2:$B$807,B99,$D$2:$D$807,D99),1)</f>
      </c>
    </row>
    <row r="100">
      <c r="A100" t="s">
        <v>274</v>
      </c>
      <c r="B100" s="79" t="n">
        <v>2045</v>
      </c>
      <c r="C100" t="s">
        <v>274</v>
      </c>
      <c r="D100" s="80" t="s">
        <v>413</v>
      </c>
      <c r="E100" s="81" t="s">
        <v>414</v>
      </c>
      <c r="F100" s="82" t="s">
        <v>277</v>
      </c>
      <c r="G100" s="83" t="s">
        <v>395</v>
      </c>
      <c r="H100" s="84" t="s">
        <v>386</v>
      </c>
      <c r="I100" s="85" t="n">
        <v>1</v>
      </c>
      <c r="J100" s="86" t="n">
        <v>1</v>
      </c>
      <c r="K100" s="87" t="n">
        <v>0.0077</v>
      </c>
      <c r="L100" s="88" t="n">
        <v>319747572.600258</v>
      </c>
      <c r="M100" s="89" t="n">
        <v>319717840.85179</v>
      </c>
      <c r="N100" s="90" t="str">
        <f>MIN(MAX((B100-'Calculation_Assumptions'!$B$5+1)/'Calculation_Assumptions'!$B$7,0),1)</f>
      </c>
      <c r="O100" s="91" t="str">
        <f>L100*I100</f>
      </c>
      <c r="P100" s="92" t="str">
        <f>M100*I100</f>
      </c>
      <c r="Q100" s="93" t="str">
        <f>P100*'Calculation_Assumptions'!$B$14*J100*K100</f>
      </c>
      <c r="R100" s="94" t="str">
        <f>O100*N100*J100*K100</f>
      </c>
      <c r="S100" s="95" t="str">
        <f>R100-Q100</f>
      </c>
      <c r="T100" s="96" t="str">
        <f>1/(1+'Calculation_Assumptions'!$B$8)^(B100-'Calculation_Assumptions'!$B$2)</f>
      </c>
      <c r="U100" s="97" t="str">
        <f>Q100*T100</f>
      </c>
      <c r="V100" s="98" t="str">
        <f>R100*T100</f>
      </c>
      <c r="W100" s="99" t="str">
        <f>S100*T100</f>
      </c>
      <c r="X100" t="n">
        <v>0</v>
      </c>
      <c r="Y100" s="100" t="n">
        <v>2017</v>
      </c>
      <c r="Z100" t="s">
        <v>389</v>
      </c>
      <c r="AA100" s="101" t="str">
        <f>IF(G100="shared-count-once",COUNTIFS($A$2:$A$807,A100,$B$2:$B$807,B100,$D$2:$D$807,D100),1)</f>
      </c>
    </row>
    <row r="101">
      <c r="A101" t="s">
        <v>274</v>
      </c>
      <c r="B101" s="79" t="n">
        <v>2046</v>
      </c>
      <c r="C101" t="s">
        <v>274</v>
      </c>
      <c r="D101" s="80" t="s">
        <v>413</v>
      </c>
      <c r="E101" s="81" t="s">
        <v>414</v>
      </c>
      <c r="F101" s="82" t="s">
        <v>277</v>
      </c>
      <c r="G101" s="83" t="s">
        <v>395</v>
      </c>
      <c r="H101" s="84" t="s">
        <v>386</v>
      </c>
      <c r="I101" s="85" t="n">
        <v>1</v>
      </c>
      <c r="J101" s="86" t="n">
        <v>1</v>
      </c>
      <c r="K101" s="87" t="n">
        <v>0.0077</v>
      </c>
      <c r="L101" s="88" t="n">
        <v>320717433.596045</v>
      </c>
      <c r="M101" s="89" t="n">
        <v>320683879.806276</v>
      </c>
      <c r="N101" s="90" t="str">
        <f>MIN(MAX((B101-'Calculation_Assumptions'!$B$5+1)/'Calculation_Assumptions'!$B$7,0),1)</f>
      </c>
      <c r="O101" s="91" t="str">
        <f>L101*I101</f>
      </c>
      <c r="P101" s="92" t="str">
        <f>M101*I101</f>
      </c>
      <c r="Q101" s="93" t="str">
        <f>P101*'Calculation_Assumptions'!$B$14*J101*K101</f>
      </c>
      <c r="R101" s="94" t="str">
        <f>O101*N101*J101*K101</f>
      </c>
      <c r="S101" s="95" t="str">
        <f>R101-Q101</f>
      </c>
      <c r="T101" s="96" t="str">
        <f>1/(1+'Calculation_Assumptions'!$B$8)^(B101-'Calculation_Assumptions'!$B$2)</f>
      </c>
      <c r="U101" s="97" t="str">
        <f>Q101*T101</f>
      </c>
      <c r="V101" s="98" t="str">
        <f>R101*T101</f>
      </c>
      <c r="W101" s="99" t="str">
        <f>S101*T101</f>
      </c>
      <c r="X101" t="n">
        <v>0</v>
      </c>
      <c r="Y101" s="100" t="n">
        <v>2017</v>
      </c>
      <c r="Z101" t="s">
        <v>389</v>
      </c>
      <c r="AA101" s="101" t="str">
        <f>IF(G101="shared-count-once",COUNTIFS($A$2:$A$807,A101,$B$2:$B$807,B101,$D$2:$D$807,D101),1)</f>
      </c>
    </row>
    <row r="102">
      <c r="A102" t="s">
        <v>274</v>
      </c>
      <c r="B102" s="79" t="n">
        <v>2047</v>
      </c>
      <c r="C102" t="s">
        <v>274</v>
      </c>
      <c r="D102" s="80" t="s">
        <v>413</v>
      </c>
      <c r="E102" s="81" t="s">
        <v>414</v>
      </c>
      <c r="F102" s="82" t="s">
        <v>277</v>
      </c>
      <c r="G102" s="83" t="s">
        <v>395</v>
      </c>
      <c r="H102" s="84" t="s">
        <v>386</v>
      </c>
      <c r="I102" s="85" t="n">
        <v>1</v>
      </c>
      <c r="J102" s="86" t="n">
        <v>1</v>
      </c>
      <c r="K102" s="87" t="n">
        <v>0.0077</v>
      </c>
      <c r="L102" s="88" t="n">
        <v>321633108.976946</v>
      </c>
      <c r="M102" s="89" t="n">
        <v>321595541.389526</v>
      </c>
      <c r="N102" s="90" t="str">
        <f>MIN(MAX((B102-'Calculation_Assumptions'!$B$5+1)/'Calculation_Assumptions'!$B$7,0),1)</f>
      </c>
      <c r="O102" s="91" t="str">
        <f>L102*I102</f>
      </c>
      <c r="P102" s="92" t="str">
        <f>M102*I102</f>
      </c>
      <c r="Q102" s="93" t="str">
        <f>P102*'Calculation_Assumptions'!$B$14*J102*K102</f>
      </c>
      <c r="R102" s="94" t="str">
        <f>O102*N102*J102*K102</f>
      </c>
      <c r="S102" s="95" t="str">
        <f>R102-Q102</f>
      </c>
      <c r="T102" s="96" t="str">
        <f>1/(1+'Calculation_Assumptions'!$B$8)^(B102-'Calculation_Assumptions'!$B$2)</f>
      </c>
      <c r="U102" s="97" t="str">
        <f>Q102*T102</f>
      </c>
      <c r="V102" s="98" t="str">
        <f>R102*T102</f>
      </c>
      <c r="W102" s="99" t="str">
        <f>S102*T102</f>
      </c>
      <c r="X102" t="n">
        <v>0</v>
      </c>
      <c r="Y102" s="100" t="n">
        <v>2017</v>
      </c>
      <c r="Z102" t="s">
        <v>389</v>
      </c>
      <c r="AA102" s="101" t="str">
        <f>IF(G102="shared-count-once",COUNTIFS($A$2:$A$807,A102,$B$2:$B$807,B102,$D$2:$D$807,D102),1)</f>
      </c>
    </row>
    <row r="103">
      <c r="A103" t="s">
        <v>274</v>
      </c>
      <c r="B103" s="79" t="n">
        <v>2048</v>
      </c>
      <c r="C103" t="s">
        <v>274</v>
      </c>
      <c r="D103" s="80" t="s">
        <v>413</v>
      </c>
      <c r="E103" s="81" t="s">
        <v>414</v>
      </c>
      <c r="F103" s="82" t="s">
        <v>277</v>
      </c>
      <c r="G103" s="83" t="s">
        <v>395</v>
      </c>
      <c r="H103" s="84" t="s">
        <v>386</v>
      </c>
      <c r="I103" s="85" t="n">
        <v>1</v>
      </c>
      <c r="J103" s="86" t="n">
        <v>1</v>
      </c>
      <c r="K103" s="87" t="n">
        <v>0.0077</v>
      </c>
      <c r="L103" s="88" t="n">
        <v>322495381.668498</v>
      </c>
      <c r="M103" s="89" t="n">
        <v>322453622.669464</v>
      </c>
      <c r="N103" s="90" t="str">
        <f>MIN(MAX((B103-'Calculation_Assumptions'!$B$5+1)/'Calculation_Assumptions'!$B$7,0),1)</f>
      </c>
      <c r="O103" s="91" t="str">
        <f>L103*I103</f>
      </c>
      <c r="P103" s="92" t="str">
        <f>M103*I103</f>
      </c>
      <c r="Q103" s="93" t="str">
        <f>P103*'Calculation_Assumptions'!$B$14*J103*K103</f>
      </c>
      <c r="R103" s="94" t="str">
        <f>O103*N103*J103*K103</f>
      </c>
      <c r="S103" s="95" t="str">
        <f>R103-Q103</f>
      </c>
      <c r="T103" s="96" t="str">
        <f>1/(1+'Calculation_Assumptions'!$B$8)^(B103-'Calculation_Assumptions'!$B$2)</f>
      </c>
      <c r="U103" s="97" t="str">
        <f>Q103*T103</f>
      </c>
      <c r="V103" s="98" t="str">
        <f>R103*T103</f>
      </c>
      <c r="W103" s="99" t="str">
        <f>S103*T103</f>
      </c>
      <c r="X103" t="n">
        <v>0</v>
      </c>
      <c r="Y103" s="100" t="n">
        <v>2017</v>
      </c>
      <c r="Z103" t="s">
        <v>389</v>
      </c>
      <c r="AA103" s="101" t="str">
        <f>IF(G103="shared-count-once",COUNTIFS($A$2:$A$807,A103,$B$2:$B$807,B103,$D$2:$D$807,D103),1)</f>
      </c>
    </row>
    <row r="104">
      <c r="A104" t="s">
        <v>274</v>
      </c>
      <c r="B104" s="79" t="n">
        <v>2049</v>
      </c>
      <c r="C104" t="s">
        <v>274</v>
      </c>
      <c r="D104" s="80" t="s">
        <v>413</v>
      </c>
      <c r="E104" s="81" t="s">
        <v>414</v>
      </c>
      <c r="F104" s="82" t="s">
        <v>277</v>
      </c>
      <c r="G104" s="83" t="s">
        <v>395</v>
      </c>
      <c r="H104" s="84" t="s">
        <v>386</v>
      </c>
      <c r="I104" s="85" t="n">
        <v>1</v>
      </c>
      <c r="J104" s="86" t="n">
        <v>1</v>
      </c>
      <c r="K104" s="87" t="n">
        <v>0.0077</v>
      </c>
      <c r="L104" s="88" t="n">
        <v>323305359.220369</v>
      </c>
      <c r="M104" s="89" t="n">
        <v>323259246.716719</v>
      </c>
      <c r="N104" s="90" t="str">
        <f>MIN(MAX((B104-'Calculation_Assumptions'!$B$5+1)/'Calculation_Assumptions'!$B$7,0),1)</f>
      </c>
      <c r="O104" s="91" t="str">
        <f>L104*I104</f>
      </c>
      <c r="P104" s="92" t="str">
        <f>M104*I104</f>
      </c>
      <c r="Q104" s="93" t="str">
        <f>P104*'Calculation_Assumptions'!$B$14*J104*K104</f>
      </c>
      <c r="R104" s="94" t="str">
        <f>O104*N104*J104*K104</f>
      </c>
      <c r="S104" s="95" t="str">
        <f>R104-Q104</f>
      </c>
      <c r="T104" s="96" t="str">
        <f>1/(1+'Calculation_Assumptions'!$B$8)^(B104-'Calculation_Assumptions'!$B$2)</f>
      </c>
      <c r="U104" s="97" t="str">
        <f>Q104*T104</f>
      </c>
      <c r="V104" s="98" t="str">
        <f>R104*T104</f>
      </c>
      <c r="W104" s="99" t="str">
        <f>S104*T104</f>
      </c>
      <c r="X104" t="n">
        <v>0</v>
      </c>
      <c r="Y104" s="100" t="n">
        <v>2017</v>
      </c>
      <c r="Z104" t="s">
        <v>389</v>
      </c>
      <c r="AA104" s="101" t="str">
        <f>IF(G104="shared-count-once",COUNTIFS($A$2:$A$807,A104,$B$2:$B$807,B104,$D$2:$D$807,D104),1)</f>
      </c>
    </row>
    <row r="105">
      <c r="A105" t="s">
        <v>274</v>
      </c>
      <c r="B105" s="79" t="n">
        <v>2050</v>
      </c>
      <c r="C105" t="s">
        <v>274</v>
      </c>
      <c r="D105" s="80" t="s">
        <v>413</v>
      </c>
      <c r="E105" s="81" t="s">
        <v>414</v>
      </c>
      <c r="F105" s="82" t="s">
        <v>277</v>
      </c>
      <c r="G105" s="83" t="s">
        <v>395</v>
      </c>
      <c r="H105" s="84" t="s">
        <v>386</v>
      </c>
      <c r="I105" s="85" t="n">
        <v>1</v>
      </c>
      <c r="J105" s="86" t="n">
        <v>1</v>
      </c>
      <c r="K105" s="87" t="n">
        <v>0.0077</v>
      </c>
      <c r="L105" s="88" t="n">
        <v>324064349.118101</v>
      </c>
      <c r="M105" s="89" t="n">
        <v>324013738.182479</v>
      </c>
      <c r="N105" s="90" t="str">
        <f>MIN(MAX((B105-'Calculation_Assumptions'!$B$5+1)/'Calculation_Assumptions'!$B$7,0),1)</f>
      </c>
      <c r="O105" s="91" t="str">
        <f>L105*I105</f>
      </c>
      <c r="P105" s="92" t="str">
        <f>M105*I105</f>
      </c>
      <c r="Q105" s="93" t="str">
        <f>P105*'Calculation_Assumptions'!$B$14*J105*K105</f>
      </c>
      <c r="R105" s="94" t="str">
        <f>O105*N105*J105*K105</f>
      </c>
      <c r="S105" s="95" t="str">
        <f>R105-Q105</f>
      </c>
      <c r="T105" s="96" t="str">
        <f>1/(1+'Calculation_Assumptions'!$B$8)^(B105-'Calculation_Assumptions'!$B$2)</f>
      </c>
      <c r="U105" s="97" t="str">
        <f>Q105*T105</f>
      </c>
      <c r="V105" s="98" t="str">
        <f>R105*T105</f>
      </c>
      <c r="W105" s="99" t="str">
        <f>S105*T105</f>
      </c>
      <c r="X105" t="n">
        <v>0</v>
      </c>
      <c r="Y105" s="100" t="n">
        <v>2017</v>
      </c>
      <c r="Z105" t="s">
        <v>389</v>
      </c>
      <c r="AA105" s="101" t="str">
        <f>IF(G105="shared-count-once",COUNTIFS($A$2:$A$807,A105,$B$2:$B$807,B105,$D$2:$D$807,D105),1)</f>
      </c>
    </row>
    <row r="106">
      <c r="A106" t="s">
        <v>259</v>
      </c>
      <c r="B106" s="79" t="n">
        <v>2025</v>
      </c>
      <c r="C106" t="s">
        <v>259</v>
      </c>
      <c r="D106" s="80" t="s">
        <v>409</v>
      </c>
      <c r="E106" s="81" t="s">
        <v>410</v>
      </c>
      <c r="F106" s="82" t="s">
        <v>262</v>
      </c>
      <c r="G106" s="83" t="s">
        <v>395</v>
      </c>
      <c r="H106" s="84" t="s">
        <v>386</v>
      </c>
      <c r="I106" s="85" t="n">
        <v>1</v>
      </c>
      <c r="J106" s="86" t="n">
        <v>1</v>
      </c>
      <c r="K106" s="87" t="n">
        <v>0.0077</v>
      </c>
      <c r="L106" s="88" t="n">
        <v>288000821.106462</v>
      </c>
      <c r="M106" s="89" t="n">
        <v>288000821.106462</v>
      </c>
      <c r="N106" s="90" t="str">
        <f>MIN(MAX((B106-'Calculation_Assumptions'!$B$5+1)/'Calculation_Assumptions'!$B$7,0),1)</f>
      </c>
      <c r="O106" s="91" t="str">
        <f>L106*I106</f>
      </c>
      <c r="P106" s="92" t="str">
        <f>M106*I106</f>
      </c>
      <c r="Q106" s="93" t="str">
        <f>P106*'Calculation_Assumptions'!$B$14*J106*K106</f>
      </c>
      <c r="R106" s="94" t="str">
        <f>O106*N106*J106*K106</f>
      </c>
      <c r="S106" s="95" t="str">
        <f>R106-Q106</f>
      </c>
      <c r="T106" s="96" t="str">
        <f>1/(1+'Calculation_Assumptions'!$B$8)^(B106-'Calculation_Assumptions'!$B$2)</f>
      </c>
      <c r="U106" s="97" t="str">
        <f>Q106*T106</f>
      </c>
      <c r="V106" s="98" t="str">
        <f>R106*T106</f>
      </c>
      <c r="W106" s="99" t="str">
        <f>S106*T106</f>
      </c>
      <c r="X106" t="n">
        <v>0</v>
      </c>
      <c r="Y106" s="100" t="n">
        <v>2017</v>
      </c>
      <c r="Z106" t="s">
        <v>389</v>
      </c>
      <c r="AA106" s="101" t="str">
        <f>IF(G106="shared-count-once",COUNTIFS($A$2:$A$807,A106,$B$2:$B$807,B106,$D$2:$D$807,D106),1)</f>
      </c>
    </row>
    <row r="107">
      <c r="A107" t="s">
        <v>259</v>
      </c>
      <c r="B107" s="79" t="n">
        <v>2026</v>
      </c>
      <c r="C107" t="s">
        <v>259</v>
      </c>
      <c r="D107" s="80" t="s">
        <v>409</v>
      </c>
      <c r="E107" s="81" t="s">
        <v>410</v>
      </c>
      <c r="F107" s="82" t="s">
        <v>262</v>
      </c>
      <c r="G107" s="83" t="s">
        <v>395</v>
      </c>
      <c r="H107" s="84" t="s">
        <v>386</v>
      </c>
      <c r="I107" s="85" t="n">
        <v>1</v>
      </c>
      <c r="J107" s="86" t="n">
        <v>1</v>
      </c>
      <c r="K107" s="87" t="n">
        <v>0.0077</v>
      </c>
      <c r="L107" s="88" t="n">
        <v>290123496.103219</v>
      </c>
      <c r="M107" s="89" t="n">
        <v>290123496.103219</v>
      </c>
      <c r="N107" s="90" t="str">
        <f>MIN(MAX((B107-'Calculation_Assumptions'!$B$5+1)/'Calculation_Assumptions'!$B$7,0),1)</f>
      </c>
      <c r="O107" s="91" t="str">
        <f>L107*I107</f>
      </c>
      <c r="P107" s="92" t="str">
        <f>M107*I107</f>
      </c>
      <c r="Q107" s="93" t="str">
        <f>P107*'Calculation_Assumptions'!$B$14*J107*K107</f>
      </c>
      <c r="R107" s="94" t="str">
        <f>O107*N107*J107*K107</f>
      </c>
      <c r="S107" s="95" t="str">
        <f>R107-Q107</f>
      </c>
      <c r="T107" s="96" t="str">
        <f>1/(1+'Calculation_Assumptions'!$B$8)^(B107-'Calculation_Assumptions'!$B$2)</f>
      </c>
      <c r="U107" s="97" t="str">
        <f>Q107*T107</f>
      </c>
      <c r="V107" s="98" t="str">
        <f>R107*T107</f>
      </c>
      <c r="W107" s="99" t="str">
        <f>S107*T107</f>
      </c>
      <c r="X107" t="n">
        <v>0</v>
      </c>
      <c r="Y107" s="100" t="n">
        <v>2017</v>
      </c>
      <c r="Z107" t="s">
        <v>389</v>
      </c>
      <c r="AA107" s="101" t="str">
        <f>IF(G107="shared-count-once",COUNTIFS($A$2:$A$807,A107,$B$2:$B$807,B107,$D$2:$D$807,D107),1)</f>
      </c>
    </row>
    <row r="108">
      <c r="A108" t="s">
        <v>259</v>
      </c>
      <c r="B108" s="79" t="n">
        <v>2027</v>
      </c>
      <c r="C108" t="s">
        <v>259</v>
      </c>
      <c r="D108" s="80" t="s">
        <v>409</v>
      </c>
      <c r="E108" s="81" t="s">
        <v>410</v>
      </c>
      <c r="F108" s="82" t="s">
        <v>262</v>
      </c>
      <c r="G108" s="83" t="s">
        <v>395</v>
      </c>
      <c r="H108" s="84" t="s">
        <v>386</v>
      </c>
      <c r="I108" s="85" t="n">
        <v>1</v>
      </c>
      <c r="J108" s="86" t="n">
        <v>1</v>
      </c>
      <c r="K108" s="87" t="n">
        <v>0.0077</v>
      </c>
      <c r="L108" s="88" t="n">
        <v>292252895.096956</v>
      </c>
      <c r="M108" s="89" t="n">
        <v>292252895.096956</v>
      </c>
      <c r="N108" s="90" t="str">
        <f>MIN(MAX((B108-'Calculation_Assumptions'!$B$5+1)/'Calculation_Assumptions'!$B$7,0),1)</f>
      </c>
      <c r="O108" s="91" t="str">
        <f>L108*I108</f>
      </c>
      <c r="P108" s="92" t="str">
        <f>M108*I108</f>
      </c>
      <c r="Q108" s="93" t="str">
        <f>P108*'Calculation_Assumptions'!$B$14*J108*K108</f>
      </c>
      <c r="R108" s="94" t="str">
        <f>O108*N108*J108*K108</f>
      </c>
      <c r="S108" s="95" t="str">
        <f>R108-Q108</f>
      </c>
      <c r="T108" s="96" t="str">
        <f>1/(1+'Calculation_Assumptions'!$B$8)^(B108-'Calculation_Assumptions'!$B$2)</f>
      </c>
      <c r="U108" s="97" t="str">
        <f>Q108*T108</f>
      </c>
      <c r="V108" s="98" t="str">
        <f>R108*T108</f>
      </c>
      <c r="W108" s="99" t="str">
        <f>S108*T108</f>
      </c>
      <c r="X108" t="n">
        <v>0</v>
      </c>
      <c r="Y108" s="100" t="n">
        <v>2017</v>
      </c>
      <c r="Z108" t="s">
        <v>389</v>
      </c>
      <c r="AA108" s="101" t="str">
        <f>IF(G108="shared-count-once",COUNTIFS($A$2:$A$807,A108,$B$2:$B$807,B108,$D$2:$D$807,D108),1)</f>
      </c>
    </row>
    <row r="109">
      <c r="A109" t="s">
        <v>259</v>
      </c>
      <c r="B109" s="79" t="n">
        <v>2028</v>
      </c>
      <c r="C109" t="s">
        <v>259</v>
      </c>
      <c r="D109" s="80" t="s">
        <v>409</v>
      </c>
      <c r="E109" s="81" t="s">
        <v>410</v>
      </c>
      <c r="F109" s="82" t="s">
        <v>262</v>
      </c>
      <c r="G109" s="83" t="s">
        <v>395</v>
      </c>
      <c r="H109" s="84" t="s">
        <v>386</v>
      </c>
      <c r="I109" s="85" t="n">
        <v>1</v>
      </c>
      <c r="J109" s="86" t="n">
        <v>1</v>
      </c>
      <c r="K109" s="87" t="n">
        <v>0.0077</v>
      </c>
      <c r="L109" s="88" t="n">
        <v>294314895.305465</v>
      </c>
      <c r="M109" s="89" t="n">
        <v>294314895.305465</v>
      </c>
      <c r="N109" s="90" t="str">
        <f>MIN(MAX((B109-'Calculation_Assumptions'!$B$5+1)/'Calculation_Assumptions'!$B$7,0),1)</f>
      </c>
      <c r="O109" s="91" t="str">
        <f>L109*I109</f>
      </c>
      <c r="P109" s="92" t="str">
        <f>M109*I109</f>
      </c>
      <c r="Q109" s="93" t="str">
        <f>P109*'Calculation_Assumptions'!$B$14*J109*K109</f>
      </c>
      <c r="R109" s="94" t="str">
        <f>O109*N109*J109*K109</f>
      </c>
      <c r="S109" s="95" t="str">
        <f>R109-Q109</f>
      </c>
      <c r="T109" s="96" t="str">
        <f>1/(1+'Calculation_Assumptions'!$B$8)^(B109-'Calculation_Assumptions'!$B$2)</f>
      </c>
      <c r="U109" s="97" t="str">
        <f>Q109*T109</f>
      </c>
      <c r="V109" s="98" t="str">
        <f>R109*T109</f>
      </c>
      <c r="W109" s="99" t="str">
        <f>S109*T109</f>
      </c>
      <c r="X109" t="n">
        <v>0</v>
      </c>
      <c r="Y109" s="100" t="n">
        <v>2017</v>
      </c>
      <c r="Z109" t="s">
        <v>389</v>
      </c>
      <c r="AA109" s="101" t="str">
        <f>IF(G109="shared-count-once",COUNTIFS($A$2:$A$807,A109,$B$2:$B$807,B109,$D$2:$D$807,D109),1)</f>
      </c>
    </row>
    <row r="110">
      <c r="A110" t="s">
        <v>259</v>
      </c>
      <c r="B110" s="79" t="n">
        <v>2029</v>
      </c>
      <c r="C110" t="s">
        <v>259</v>
      </c>
      <c r="D110" s="80" t="s">
        <v>409</v>
      </c>
      <c r="E110" s="81" t="s">
        <v>410</v>
      </c>
      <c r="F110" s="82" t="s">
        <v>262</v>
      </c>
      <c r="G110" s="83" t="s">
        <v>395</v>
      </c>
      <c r="H110" s="84" t="s">
        <v>386</v>
      </c>
      <c r="I110" s="85" t="n">
        <v>1</v>
      </c>
      <c r="J110" s="86" t="n">
        <v>1</v>
      </c>
      <c r="K110" s="87" t="n">
        <v>0.0077</v>
      </c>
      <c r="L110" s="88" t="n">
        <v>296341108.270016</v>
      </c>
      <c r="M110" s="89" t="n">
        <v>296341062.542853</v>
      </c>
      <c r="N110" s="90" t="str">
        <f>MIN(MAX((B110-'Calculation_Assumptions'!$B$5+1)/'Calculation_Assumptions'!$B$7,0),1)</f>
      </c>
      <c r="O110" s="91" t="str">
        <f>L110*I110</f>
      </c>
      <c r="P110" s="92" t="str">
        <f>M110*I110</f>
      </c>
      <c r="Q110" s="93" t="str">
        <f>P110*'Calculation_Assumptions'!$B$14*J110*K110</f>
      </c>
      <c r="R110" s="94" t="str">
        <f>O110*N110*J110*K110</f>
      </c>
      <c r="S110" s="95" t="str">
        <f>R110-Q110</f>
      </c>
      <c r="T110" s="96" t="str">
        <f>1/(1+'Calculation_Assumptions'!$B$8)^(B110-'Calculation_Assumptions'!$B$2)</f>
      </c>
      <c r="U110" s="97" t="str">
        <f>Q110*T110</f>
      </c>
      <c r="V110" s="98" t="str">
        <f>R110*T110</f>
      </c>
      <c r="W110" s="99" t="str">
        <f>S110*T110</f>
      </c>
      <c r="X110" t="n">
        <v>0</v>
      </c>
      <c r="Y110" s="100" t="n">
        <v>2017</v>
      </c>
      <c r="Z110" t="s">
        <v>389</v>
      </c>
      <c r="AA110" s="101" t="str">
        <f>IF(G110="shared-count-once",COUNTIFS($A$2:$A$807,A110,$B$2:$B$807,B110,$D$2:$D$807,D110),1)</f>
      </c>
    </row>
    <row r="111">
      <c r="A111" t="s">
        <v>259</v>
      </c>
      <c r="B111" s="79" t="n">
        <v>2030</v>
      </c>
      <c r="C111" t="s">
        <v>259</v>
      </c>
      <c r="D111" s="80" t="s">
        <v>409</v>
      </c>
      <c r="E111" s="81" t="s">
        <v>410</v>
      </c>
      <c r="F111" s="82" t="s">
        <v>262</v>
      </c>
      <c r="G111" s="83" t="s">
        <v>395</v>
      </c>
      <c r="H111" s="84" t="s">
        <v>386</v>
      </c>
      <c r="I111" s="85" t="n">
        <v>1</v>
      </c>
      <c r="J111" s="86" t="n">
        <v>1</v>
      </c>
      <c r="K111" s="87" t="n">
        <v>0.0077</v>
      </c>
      <c r="L111" s="88" t="n">
        <v>298280452.634507</v>
      </c>
      <c r="M111" s="89" t="n">
        <v>298280286.057263</v>
      </c>
      <c r="N111" s="90" t="str">
        <f>MIN(MAX((B111-'Calculation_Assumptions'!$B$5+1)/'Calculation_Assumptions'!$B$7,0),1)</f>
      </c>
      <c r="O111" s="91" t="str">
        <f>L111*I111</f>
      </c>
      <c r="P111" s="92" t="str">
        <f>M111*I111</f>
      </c>
      <c r="Q111" s="93" t="str">
        <f>P111*'Calculation_Assumptions'!$B$14*J111*K111</f>
      </c>
      <c r="R111" s="94" t="str">
        <f>O111*N111*J111*K111</f>
      </c>
      <c r="S111" s="95" t="str">
        <f>R111-Q111</f>
      </c>
      <c r="T111" s="96" t="str">
        <f>1/(1+'Calculation_Assumptions'!$B$8)^(B111-'Calculation_Assumptions'!$B$2)</f>
      </c>
      <c r="U111" s="97" t="str">
        <f>Q111*T111</f>
      </c>
      <c r="V111" s="98" t="str">
        <f>R111*T111</f>
      </c>
      <c r="W111" s="99" t="str">
        <f>S111*T111</f>
      </c>
      <c r="X111" t="n">
        <v>0</v>
      </c>
      <c r="Y111" s="100" t="n">
        <v>2017</v>
      </c>
      <c r="Z111" t="s">
        <v>389</v>
      </c>
      <c r="AA111" s="101" t="str">
        <f>IF(G111="shared-count-once",COUNTIFS($A$2:$A$807,A111,$B$2:$B$807,B111,$D$2:$D$807,D111),1)</f>
      </c>
    </row>
    <row r="112">
      <c r="A112" t="s">
        <v>259</v>
      </c>
      <c r="B112" s="79" t="n">
        <v>2031</v>
      </c>
      <c r="C112" t="s">
        <v>259</v>
      </c>
      <c r="D112" s="80" t="s">
        <v>409</v>
      </c>
      <c r="E112" s="81" t="s">
        <v>410</v>
      </c>
      <c r="F112" s="82" t="s">
        <v>262</v>
      </c>
      <c r="G112" s="83" t="s">
        <v>395</v>
      </c>
      <c r="H112" s="84" t="s">
        <v>386</v>
      </c>
      <c r="I112" s="85" t="n">
        <v>1</v>
      </c>
      <c r="J112" s="86" t="n">
        <v>1</v>
      </c>
      <c r="K112" s="87" t="n">
        <v>0.0077</v>
      </c>
      <c r="L112" s="88" t="n">
        <v>300152988.230753</v>
      </c>
      <c r="M112" s="89" t="n">
        <v>300152603.254782</v>
      </c>
      <c r="N112" s="90" t="str">
        <f>MIN(MAX((B112-'Calculation_Assumptions'!$B$5+1)/'Calculation_Assumptions'!$B$7,0),1)</f>
      </c>
      <c r="O112" s="91" t="str">
        <f>L112*I112</f>
      </c>
      <c r="P112" s="92" t="str">
        <f>M112*I112</f>
      </c>
      <c r="Q112" s="93" t="str">
        <f>P112*'Calculation_Assumptions'!$B$14*J112*K112</f>
      </c>
      <c r="R112" s="94" t="str">
        <f>O112*N112*J112*K112</f>
      </c>
      <c r="S112" s="95" t="str">
        <f>R112-Q112</f>
      </c>
      <c r="T112" s="96" t="str">
        <f>1/(1+'Calculation_Assumptions'!$B$8)^(B112-'Calculation_Assumptions'!$B$2)</f>
      </c>
      <c r="U112" s="97" t="str">
        <f>Q112*T112</f>
      </c>
      <c r="V112" s="98" t="str">
        <f>R112*T112</f>
      </c>
      <c r="W112" s="99" t="str">
        <f>S112*T112</f>
      </c>
      <c r="X112" t="n">
        <v>0</v>
      </c>
      <c r="Y112" s="100" t="n">
        <v>2017</v>
      </c>
      <c r="Z112" t="s">
        <v>389</v>
      </c>
      <c r="AA112" s="101" t="str">
        <f>IF(G112="shared-count-once",COUNTIFS($A$2:$A$807,A112,$B$2:$B$807,B112,$D$2:$D$807,D112),1)</f>
      </c>
    </row>
    <row r="113">
      <c r="A113" t="s">
        <v>259</v>
      </c>
      <c r="B113" s="79" t="n">
        <v>2032</v>
      </c>
      <c r="C113" t="s">
        <v>259</v>
      </c>
      <c r="D113" s="80" t="s">
        <v>409</v>
      </c>
      <c r="E113" s="81" t="s">
        <v>410</v>
      </c>
      <c r="F113" s="82" t="s">
        <v>262</v>
      </c>
      <c r="G113" s="83" t="s">
        <v>395</v>
      </c>
      <c r="H113" s="84" t="s">
        <v>386</v>
      </c>
      <c r="I113" s="85" t="n">
        <v>1</v>
      </c>
      <c r="J113" s="86" t="n">
        <v>1</v>
      </c>
      <c r="K113" s="87" t="n">
        <v>0.0077</v>
      </c>
      <c r="L113" s="88" t="n">
        <v>301960117.737424</v>
      </c>
      <c r="M113" s="89" t="n">
        <v>301959399.633888</v>
      </c>
      <c r="N113" s="90" t="str">
        <f>MIN(MAX((B113-'Calculation_Assumptions'!$B$5+1)/'Calculation_Assumptions'!$B$7,0),1)</f>
      </c>
      <c r="O113" s="91" t="str">
        <f>L113*I113</f>
      </c>
      <c r="P113" s="92" t="str">
        <f>M113*I113</f>
      </c>
      <c r="Q113" s="93" t="str">
        <f>P113*'Calculation_Assumptions'!$B$14*J113*K113</f>
      </c>
      <c r="R113" s="94" t="str">
        <f>O113*N113*J113*K113</f>
      </c>
      <c r="S113" s="95" t="str">
        <f>R113-Q113</f>
      </c>
      <c r="T113" s="96" t="str">
        <f>1/(1+'Calculation_Assumptions'!$B$8)^(B113-'Calculation_Assumptions'!$B$2)</f>
      </c>
      <c r="U113" s="97" t="str">
        <f>Q113*T113</f>
      </c>
      <c r="V113" s="98" t="str">
        <f>R113*T113</f>
      </c>
      <c r="W113" s="99" t="str">
        <f>S113*T113</f>
      </c>
      <c r="X113" t="n">
        <v>0</v>
      </c>
      <c r="Y113" s="100" t="n">
        <v>2017</v>
      </c>
      <c r="Z113" t="s">
        <v>389</v>
      </c>
      <c r="AA113" s="101" t="str">
        <f>IF(G113="shared-count-once",COUNTIFS($A$2:$A$807,A113,$B$2:$B$807,B113,$D$2:$D$807,D113),1)</f>
      </c>
    </row>
    <row r="114">
      <c r="A114" t="s">
        <v>259</v>
      </c>
      <c r="B114" s="79" t="n">
        <v>2033</v>
      </c>
      <c r="C114" t="s">
        <v>259</v>
      </c>
      <c r="D114" s="80" t="s">
        <v>409</v>
      </c>
      <c r="E114" s="81" t="s">
        <v>410</v>
      </c>
      <c r="F114" s="82" t="s">
        <v>262</v>
      </c>
      <c r="G114" s="83" t="s">
        <v>395</v>
      </c>
      <c r="H114" s="84" t="s">
        <v>386</v>
      </c>
      <c r="I114" s="85" t="n">
        <v>1</v>
      </c>
      <c r="J114" s="86" t="n">
        <v>1</v>
      </c>
      <c r="K114" s="87" t="n">
        <v>0.0077</v>
      </c>
      <c r="L114" s="88" t="n">
        <v>303702214.75574</v>
      </c>
      <c r="M114" s="89" t="n">
        <v>303701035.202051</v>
      </c>
      <c r="N114" s="90" t="str">
        <f>MIN(MAX((B114-'Calculation_Assumptions'!$B$5+1)/'Calculation_Assumptions'!$B$7,0),1)</f>
      </c>
      <c r="O114" s="91" t="str">
        <f>L114*I114</f>
      </c>
      <c r="P114" s="92" t="str">
        <f>M114*I114</f>
      </c>
      <c r="Q114" s="93" t="str">
        <f>P114*'Calculation_Assumptions'!$B$14*J114*K114</f>
      </c>
      <c r="R114" s="94" t="str">
        <f>O114*N114*J114*K114</f>
      </c>
      <c r="S114" s="95" t="str">
        <f>R114-Q114</f>
      </c>
      <c r="T114" s="96" t="str">
        <f>1/(1+'Calculation_Assumptions'!$B$8)^(B114-'Calculation_Assumptions'!$B$2)</f>
      </c>
      <c r="U114" s="97" t="str">
        <f>Q114*T114</f>
      </c>
      <c r="V114" s="98" t="str">
        <f>R114*T114</f>
      </c>
      <c r="W114" s="99" t="str">
        <f>S114*T114</f>
      </c>
      <c r="X114" t="n">
        <v>0</v>
      </c>
      <c r="Y114" s="100" t="n">
        <v>2017</v>
      </c>
      <c r="Z114" t="s">
        <v>389</v>
      </c>
      <c r="AA114" s="101" t="str">
        <f>IF(G114="shared-count-once",COUNTIFS($A$2:$A$807,A114,$B$2:$B$807,B114,$D$2:$D$807,D114),1)</f>
      </c>
    </row>
    <row r="115">
      <c r="A115" t="s">
        <v>259</v>
      </c>
      <c r="B115" s="79" t="n">
        <v>2034</v>
      </c>
      <c r="C115" t="s">
        <v>259</v>
      </c>
      <c r="D115" s="80" t="s">
        <v>409</v>
      </c>
      <c r="E115" s="81" t="s">
        <v>410</v>
      </c>
      <c r="F115" s="82" t="s">
        <v>262</v>
      </c>
      <c r="G115" s="83" t="s">
        <v>395</v>
      </c>
      <c r="H115" s="84" t="s">
        <v>386</v>
      </c>
      <c r="I115" s="85" t="n">
        <v>1</v>
      </c>
      <c r="J115" s="86" t="n">
        <v>1</v>
      </c>
      <c r="K115" s="87" t="n">
        <v>0.0077</v>
      </c>
      <c r="L115" s="88" t="n">
        <v>305379777.878555</v>
      </c>
      <c r="M115" s="89" t="n">
        <v>305377998.093319</v>
      </c>
      <c r="N115" s="90" t="str">
        <f>MIN(MAX((B115-'Calculation_Assumptions'!$B$5+1)/'Calculation_Assumptions'!$B$7,0),1)</f>
      </c>
      <c r="O115" s="91" t="str">
        <f>L115*I115</f>
      </c>
      <c r="P115" s="92" t="str">
        <f>M115*I115</f>
      </c>
      <c r="Q115" s="93" t="str">
        <f>P115*'Calculation_Assumptions'!$B$14*J115*K115</f>
      </c>
      <c r="R115" s="94" t="str">
        <f>O115*N115*J115*K115</f>
      </c>
      <c r="S115" s="95" t="str">
        <f>R115-Q115</f>
      </c>
      <c r="T115" s="96" t="str">
        <f>1/(1+'Calculation_Assumptions'!$B$8)^(B115-'Calculation_Assumptions'!$B$2)</f>
      </c>
      <c r="U115" s="97" t="str">
        <f>Q115*T115</f>
      </c>
      <c r="V115" s="98" t="str">
        <f>R115*T115</f>
      </c>
      <c r="W115" s="99" t="str">
        <f>S115*T115</f>
      </c>
      <c r="X115" t="n">
        <v>0</v>
      </c>
      <c r="Y115" s="100" t="n">
        <v>2017</v>
      </c>
      <c r="Z115" t="s">
        <v>389</v>
      </c>
      <c r="AA115" s="101" t="str">
        <f>IF(G115="shared-count-once",COUNTIFS($A$2:$A$807,A115,$B$2:$B$807,B115,$D$2:$D$807,D115),1)</f>
      </c>
    </row>
    <row r="116">
      <c r="A116" t="s">
        <v>259</v>
      </c>
      <c r="B116" s="79" t="n">
        <v>2035</v>
      </c>
      <c r="C116" t="s">
        <v>259</v>
      </c>
      <c r="D116" s="80" t="s">
        <v>409</v>
      </c>
      <c r="E116" s="81" t="s">
        <v>410</v>
      </c>
      <c r="F116" s="82" t="s">
        <v>262</v>
      </c>
      <c r="G116" s="83" t="s">
        <v>395</v>
      </c>
      <c r="H116" s="84" t="s">
        <v>386</v>
      </c>
      <c r="I116" s="85" t="n">
        <v>1</v>
      </c>
      <c r="J116" s="86" t="n">
        <v>1</v>
      </c>
      <c r="K116" s="87" t="n">
        <v>0.0077</v>
      </c>
      <c r="L116" s="88" t="n">
        <v>306991785.445376</v>
      </c>
      <c r="M116" s="89" t="n">
        <v>306989258.29407</v>
      </c>
      <c r="N116" s="90" t="str">
        <f>MIN(MAX((B116-'Calculation_Assumptions'!$B$5+1)/'Calculation_Assumptions'!$B$7,0),1)</f>
      </c>
      <c r="O116" s="91" t="str">
        <f>L116*I116</f>
      </c>
      <c r="P116" s="92" t="str">
        <f>M116*I116</f>
      </c>
      <c r="Q116" s="93" t="str">
        <f>P116*'Calculation_Assumptions'!$B$14*J116*K116</f>
      </c>
      <c r="R116" s="94" t="str">
        <f>O116*N116*J116*K116</f>
      </c>
      <c r="S116" s="95" t="str">
        <f>R116-Q116</f>
      </c>
      <c r="T116" s="96" t="str">
        <f>1/(1+'Calculation_Assumptions'!$B$8)^(B116-'Calculation_Assumptions'!$B$2)</f>
      </c>
      <c r="U116" s="97" t="str">
        <f>Q116*T116</f>
      </c>
      <c r="V116" s="98" t="str">
        <f>R116*T116</f>
      </c>
      <c r="W116" s="99" t="str">
        <f>S116*T116</f>
      </c>
      <c r="X116" t="n">
        <v>0</v>
      </c>
      <c r="Y116" s="100" t="n">
        <v>2017</v>
      </c>
      <c r="Z116" t="s">
        <v>389</v>
      </c>
      <c r="AA116" s="101" t="str">
        <f>IF(G116="shared-count-once",COUNTIFS($A$2:$A$807,A116,$B$2:$B$807,B116,$D$2:$D$807,D116),1)</f>
      </c>
    </row>
    <row r="117">
      <c r="A117" t="s">
        <v>259</v>
      </c>
      <c r="B117" s="79" t="n">
        <v>2036</v>
      </c>
      <c r="C117" t="s">
        <v>259</v>
      </c>
      <c r="D117" s="80" t="s">
        <v>409</v>
      </c>
      <c r="E117" s="81" t="s">
        <v>410</v>
      </c>
      <c r="F117" s="82" t="s">
        <v>262</v>
      </c>
      <c r="G117" s="83" t="s">
        <v>395</v>
      </c>
      <c r="H117" s="84" t="s">
        <v>386</v>
      </c>
      <c r="I117" s="85" t="n">
        <v>1</v>
      </c>
      <c r="J117" s="86" t="n">
        <v>1</v>
      </c>
      <c r="K117" s="87" t="n">
        <v>0.0077</v>
      </c>
      <c r="L117" s="88" t="n">
        <v>308540826.430984</v>
      </c>
      <c r="M117" s="89" t="n">
        <v>308537399.672094</v>
      </c>
      <c r="N117" s="90" t="str">
        <f>MIN(MAX((B117-'Calculation_Assumptions'!$B$5+1)/'Calculation_Assumptions'!$B$7,0),1)</f>
      </c>
      <c r="O117" s="91" t="str">
        <f>L117*I117</f>
      </c>
      <c r="P117" s="92" t="str">
        <f>M117*I117</f>
      </c>
      <c r="Q117" s="93" t="str">
        <f>P117*'Calculation_Assumptions'!$B$14*J117*K117</f>
      </c>
      <c r="R117" s="94" t="str">
        <f>O117*N117*J117*K117</f>
      </c>
      <c r="S117" s="95" t="str">
        <f>R117-Q117</f>
      </c>
      <c r="T117" s="96" t="str">
        <f>1/(1+'Calculation_Assumptions'!$B$8)^(B117-'Calculation_Assumptions'!$B$2)</f>
      </c>
      <c r="U117" s="97" t="str">
        <f>Q117*T117</f>
      </c>
      <c r="V117" s="98" t="str">
        <f>R117*T117</f>
      </c>
      <c r="W117" s="99" t="str">
        <f>S117*T117</f>
      </c>
      <c r="X117" t="n">
        <v>0</v>
      </c>
      <c r="Y117" s="100" t="n">
        <v>2017</v>
      </c>
      <c r="Z117" t="s">
        <v>389</v>
      </c>
      <c r="AA117" s="101" t="str">
        <f>IF(G117="shared-count-once",COUNTIFS($A$2:$A$807,A117,$B$2:$B$807,B117,$D$2:$D$807,D117),1)</f>
      </c>
    </row>
    <row r="118">
      <c r="A118" t="s">
        <v>259</v>
      </c>
      <c r="B118" s="79" t="n">
        <v>2037</v>
      </c>
      <c r="C118" t="s">
        <v>259</v>
      </c>
      <c r="D118" s="80" t="s">
        <v>409</v>
      </c>
      <c r="E118" s="81" t="s">
        <v>410</v>
      </c>
      <c r="F118" s="82" t="s">
        <v>262</v>
      </c>
      <c r="G118" s="83" t="s">
        <v>395</v>
      </c>
      <c r="H118" s="84" t="s">
        <v>386</v>
      </c>
      <c r="I118" s="85" t="n">
        <v>1</v>
      </c>
      <c r="J118" s="86" t="n">
        <v>1</v>
      </c>
      <c r="K118" s="87" t="n">
        <v>0.0077</v>
      </c>
      <c r="L118" s="88" t="n">
        <v>310027602.009179</v>
      </c>
      <c r="M118" s="89" t="n">
        <v>310023120.393472</v>
      </c>
      <c r="N118" s="90" t="str">
        <f>MIN(MAX((B118-'Calculation_Assumptions'!$B$5+1)/'Calculation_Assumptions'!$B$7,0),1)</f>
      </c>
      <c r="O118" s="91" t="str">
        <f>L118*I118</f>
      </c>
      <c r="P118" s="92" t="str">
        <f>M118*I118</f>
      </c>
      <c r="Q118" s="93" t="str">
        <f>P118*'Calculation_Assumptions'!$B$14*J118*K118</f>
      </c>
      <c r="R118" s="94" t="str">
        <f>O118*N118*J118*K118</f>
      </c>
      <c r="S118" s="95" t="str">
        <f>R118-Q118</f>
      </c>
      <c r="T118" s="96" t="str">
        <f>1/(1+'Calculation_Assumptions'!$B$8)^(B118-'Calculation_Assumptions'!$B$2)</f>
      </c>
      <c r="U118" s="97" t="str">
        <f>Q118*T118</f>
      </c>
      <c r="V118" s="98" t="str">
        <f>R118*T118</f>
      </c>
      <c r="W118" s="99" t="str">
        <f>S118*T118</f>
      </c>
      <c r="X118" t="n">
        <v>0</v>
      </c>
      <c r="Y118" s="100" t="n">
        <v>2017</v>
      </c>
      <c r="Z118" t="s">
        <v>389</v>
      </c>
      <c r="AA118" s="101" t="str">
        <f>IF(G118="shared-count-once",COUNTIFS($A$2:$A$807,A118,$B$2:$B$807,B118,$D$2:$D$807,D118),1)</f>
      </c>
    </row>
    <row r="119">
      <c r="A119" t="s">
        <v>259</v>
      </c>
      <c r="B119" s="79" t="n">
        <v>2038</v>
      </c>
      <c r="C119" t="s">
        <v>259</v>
      </c>
      <c r="D119" s="80" t="s">
        <v>409</v>
      </c>
      <c r="E119" s="81" t="s">
        <v>410</v>
      </c>
      <c r="F119" s="82" t="s">
        <v>262</v>
      </c>
      <c r="G119" s="83" t="s">
        <v>395</v>
      </c>
      <c r="H119" s="84" t="s">
        <v>386</v>
      </c>
      <c r="I119" s="85" t="n">
        <v>1</v>
      </c>
      <c r="J119" s="86" t="n">
        <v>1</v>
      </c>
      <c r="K119" s="87" t="n">
        <v>0.0077</v>
      </c>
      <c r="L119" s="88" t="n">
        <v>311451530.022924</v>
      </c>
      <c r="M119" s="89" t="n">
        <v>311445837.134625</v>
      </c>
      <c r="N119" s="90" t="str">
        <f>MIN(MAX((B119-'Calculation_Assumptions'!$B$5+1)/'Calculation_Assumptions'!$B$7,0),1)</f>
      </c>
      <c r="O119" s="91" t="str">
        <f>L119*I119</f>
      </c>
      <c r="P119" s="92" t="str">
        <f>M119*I119</f>
      </c>
      <c r="Q119" s="93" t="str">
        <f>P119*'Calculation_Assumptions'!$B$14*J119*K119</f>
      </c>
      <c r="R119" s="94" t="str">
        <f>O119*N119*J119*K119</f>
      </c>
      <c r="S119" s="95" t="str">
        <f>R119-Q119</f>
      </c>
      <c r="T119" s="96" t="str">
        <f>1/(1+'Calculation_Assumptions'!$B$8)^(B119-'Calculation_Assumptions'!$B$2)</f>
      </c>
      <c r="U119" s="97" t="str">
        <f>Q119*T119</f>
      </c>
      <c r="V119" s="98" t="str">
        <f>R119*T119</f>
      </c>
      <c r="W119" s="99" t="str">
        <f>S119*T119</f>
      </c>
      <c r="X119" t="n">
        <v>0</v>
      </c>
      <c r="Y119" s="100" t="n">
        <v>2017</v>
      </c>
      <c r="Z119" t="s">
        <v>389</v>
      </c>
      <c r="AA119" s="101" t="str">
        <f>IF(G119="shared-count-once",COUNTIFS($A$2:$A$807,A119,$B$2:$B$807,B119,$D$2:$D$807,D119),1)</f>
      </c>
    </row>
    <row r="120">
      <c r="A120" t="s">
        <v>259</v>
      </c>
      <c r="B120" s="79" t="n">
        <v>2039</v>
      </c>
      <c r="C120" t="s">
        <v>259</v>
      </c>
      <c r="D120" s="80" t="s">
        <v>409</v>
      </c>
      <c r="E120" s="81" t="s">
        <v>410</v>
      </c>
      <c r="F120" s="82" t="s">
        <v>262</v>
      </c>
      <c r="G120" s="83" t="s">
        <v>395</v>
      </c>
      <c r="H120" s="84" t="s">
        <v>386</v>
      </c>
      <c r="I120" s="85" t="n">
        <v>1</v>
      </c>
      <c r="J120" s="86" t="n">
        <v>1</v>
      </c>
      <c r="K120" s="87" t="n">
        <v>0.0077</v>
      </c>
      <c r="L120" s="88" t="n">
        <v>312814049.61154</v>
      </c>
      <c r="M120" s="89" t="n">
        <v>312806989.715685</v>
      </c>
      <c r="N120" s="90" t="str">
        <f>MIN(MAX((B120-'Calculation_Assumptions'!$B$5+1)/'Calculation_Assumptions'!$B$7,0),1)</f>
      </c>
      <c r="O120" s="91" t="str">
        <f>L120*I120</f>
      </c>
      <c r="P120" s="92" t="str">
        <f>M120*I120</f>
      </c>
      <c r="Q120" s="93" t="str">
        <f>P120*'Calculation_Assumptions'!$B$14*J120*K120</f>
      </c>
      <c r="R120" s="94" t="str">
        <f>O120*N120*J120*K120</f>
      </c>
      <c r="S120" s="95" t="str">
        <f>R120-Q120</f>
      </c>
      <c r="T120" s="96" t="str">
        <f>1/(1+'Calculation_Assumptions'!$B$8)^(B120-'Calculation_Assumptions'!$B$2)</f>
      </c>
      <c r="U120" s="97" t="str">
        <f>Q120*T120</f>
      </c>
      <c r="V120" s="98" t="str">
        <f>R120*T120</f>
      </c>
      <c r="W120" s="99" t="str">
        <f>S120*T120</f>
      </c>
      <c r="X120" t="n">
        <v>0</v>
      </c>
      <c r="Y120" s="100" t="n">
        <v>2017</v>
      </c>
      <c r="Z120" t="s">
        <v>389</v>
      </c>
      <c r="AA120" s="101" t="str">
        <f>IF(G120="shared-count-once",COUNTIFS($A$2:$A$807,A120,$B$2:$B$807,B120,$D$2:$D$807,D120),1)</f>
      </c>
    </row>
    <row r="121">
      <c r="A121" t="s">
        <v>259</v>
      </c>
      <c r="B121" s="79" t="n">
        <v>2040</v>
      </c>
      <c r="C121" t="s">
        <v>259</v>
      </c>
      <c r="D121" s="80" t="s">
        <v>409</v>
      </c>
      <c r="E121" s="81" t="s">
        <v>410</v>
      </c>
      <c r="F121" s="82" t="s">
        <v>262</v>
      </c>
      <c r="G121" s="83" t="s">
        <v>395</v>
      </c>
      <c r="H121" s="84" t="s">
        <v>386</v>
      </c>
      <c r="I121" s="85" t="n">
        <v>1</v>
      </c>
      <c r="J121" s="86" t="n">
        <v>1</v>
      </c>
      <c r="K121" s="87" t="n">
        <v>0.0077</v>
      </c>
      <c r="L121" s="88" t="n">
        <v>314117830.509278</v>
      </c>
      <c r="M121" s="89" t="n">
        <v>314109251.582649</v>
      </c>
      <c r="N121" s="90" t="str">
        <f>MIN(MAX((B121-'Calculation_Assumptions'!$B$5+1)/'Calculation_Assumptions'!$B$7,0),1)</f>
      </c>
      <c r="O121" s="91" t="str">
        <f>L121*I121</f>
      </c>
      <c r="P121" s="92" t="str">
        <f>M121*I121</f>
      </c>
      <c r="Q121" s="93" t="str">
        <f>P121*'Calculation_Assumptions'!$B$14*J121*K121</f>
      </c>
      <c r="R121" s="94" t="str">
        <f>O121*N121*J121*K121</f>
      </c>
      <c r="S121" s="95" t="str">
        <f>R121-Q121</f>
      </c>
      <c r="T121" s="96" t="str">
        <f>1/(1+'Calculation_Assumptions'!$B$8)^(B121-'Calculation_Assumptions'!$B$2)</f>
      </c>
      <c r="U121" s="97" t="str">
        <f>Q121*T121</f>
      </c>
      <c r="V121" s="98" t="str">
        <f>R121*T121</f>
      </c>
      <c r="W121" s="99" t="str">
        <f>S121*T121</f>
      </c>
      <c r="X121" t="n">
        <v>0</v>
      </c>
      <c r="Y121" s="100" t="n">
        <v>2017</v>
      </c>
      <c r="Z121" t="s">
        <v>389</v>
      </c>
      <c r="AA121" s="101" t="str">
        <f>IF(G121="shared-count-once",COUNTIFS($A$2:$A$807,A121,$B$2:$B$807,B121,$D$2:$D$807,D121),1)</f>
      </c>
    </row>
    <row r="122">
      <c r="A122" t="s">
        <v>259</v>
      </c>
      <c r="B122" s="79" t="n">
        <v>2041</v>
      </c>
      <c r="C122" t="s">
        <v>259</v>
      </c>
      <c r="D122" s="80" t="s">
        <v>409</v>
      </c>
      <c r="E122" s="81" t="s">
        <v>410</v>
      </c>
      <c r="F122" s="82" t="s">
        <v>262</v>
      </c>
      <c r="G122" s="83" t="s">
        <v>395</v>
      </c>
      <c r="H122" s="84" t="s">
        <v>386</v>
      </c>
      <c r="I122" s="85" t="n">
        <v>1</v>
      </c>
      <c r="J122" s="86" t="n">
        <v>1</v>
      </c>
      <c r="K122" s="87" t="n">
        <v>0.0077</v>
      </c>
      <c r="L122" s="88" t="n">
        <v>315225853.214369</v>
      </c>
      <c r="M122" s="89" t="n">
        <v>315352079.812423</v>
      </c>
      <c r="N122" s="90" t="str">
        <f>MIN(MAX((B122-'Calculation_Assumptions'!$B$5+1)/'Calculation_Assumptions'!$B$7,0),1)</f>
      </c>
      <c r="O122" s="91" t="str">
        <f>L122*I122</f>
      </c>
      <c r="P122" s="92" t="str">
        <f>M122*I122</f>
      </c>
      <c r="Q122" s="93" t="str">
        <f>P122*'Calculation_Assumptions'!$B$14*J122*K122</f>
      </c>
      <c r="R122" s="94" t="str">
        <f>O122*N122*J122*K122</f>
      </c>
      <c r="S122" s="95" t="str">
        <f>R122-Q122</f>
      </c>
      <c r="T122" s="96" t="str">
        <f>1/(1+'Calculation_Assumptions'!$B$8)^(B122-'Calculation_Assumptions'!$B$2)</f>
      </c>
      <c r="U122" s="97" t="str">
        <f>Q122*T122</f>
      </c>
      <c r="V122" s="98" t="str">
        <f>R122*T122</f>
      </c>
      <c r="W122" s="99" t="str">
        <f>S122*T122</f>
      </c>
      <c r="X122" t="n">
        <v>0</v>
      </c>
      <c r="Y122" s="100" t="n">
        <v>2017</v>
      </c>
      <c r="Z122" t="s">
        <v>389</v>
      </c>
      <c r="AA122" s="101" t="str">
        <f>IF(G122="shared-count-once",COUNTIFS($A$2:$A$807,A122,$B$2:$B$807,B122,$D$2:$D$807,D122),1)</f>
      </c>
    </row>
    <row r="123">
      <c r="A123" t="s">
        <v>259</v>
      </c>
      <c r="B123" s="79" t="n">
        <v>2042</v>
      </c>
      <c r="C123" t="s">
        <v>259</v>
      </c>
      <c r="D123" s="80" t="s">
        <v>409</v>
      </c>
      <c r="E123" s="81" t="s">
        <v>410</v>
      </c>
      <c r="F123" s="82" t="s">
        <v>262</v>
      </c>
      <c r="G123" s="83" t="s">
        <v>395</v>
      </c>
      <c r="H123" s="84" t="s">
        <v>386</v>
      </c>
      <c r="I123" s="85" t="n">
        <v>1</v>
      </c>
      <c r="J123" s="86" t="n">
        <v>1</v>
      </c>
      <c r="K123" s="87" t="n">
        <v>0.0077</v>
      </c>
      <c r="L123" s="88" t="n">
        <v>316407126.343692</v>
      </c>
      <c r="M123" s="89" t="n">
        <v>316395286.312016</v>
      </c>
      <c r="N123" s="90" t="str">
        <f>MIN(MAX((B123-'Calculation_Assumptions'!$B$5+1)/'Calculation_Assumptions'!$B$7,0),1)</f>
      </c>
      <c r="O123" s="91" t="str">
        <f>L123*I123</f>
      </c>
      <c r="P123" s="92" t="str">
        <f>M123*I123</f>
      </c>
      <c r="Q123" s="93" t="str">
        <f>P123*'Calculation_Assumptions'!$B$14*J123*K123</f>
      </c>
      <c r="R123" s="94" t="str">
        <f>O123*N123*J123*K123</f>
      </c>
      <c r="S123" s="95" t="str">
        <f>R123-Q123</f>
      </c>
      <c r="T123" s="96" t="str">
        <f>1/(1+'Calculation_Assumptions'!$B$8)^(B123-'Calculation_Assumptions'!$B$2)</f>
      </c>
      <c r="U123" s="97" t="str">
        <f>Q123*T123</f>
      </c>
      <c r="V123" s="98" t="str">
        <f>R123*T123</f>
      </c>
      <c r="W123" s="99" t="str">
        <f>S123*T123</f>
      </c>
      <c r="X123" t="n">
        <v>0</v>
      </c>
      <c r="Y123" s="100" t="n">
        <v>2017</v>
      </c>
      <c r="Z123" t="s">
        <v>389</v>
      </c>
      <c r="AA123" s="101" t="str">
        <f>IF(G123="shared-count-once",COUNTIFS($A$2:$A$807,A123,$B$2:$B$807,B123,$D$2:$D$807,D123),1)</f>
      </c>
    </row>
    <row r="124">
      <c r="A124" t="s">
        <v>259</v>
      </c>
      <c r="B124" s="79" t="n">
        <v>2043</v>
      </c>
      <c r="C124" t="s">
        <v>259</v>
      </c>
      <c r="D124" s="80" t="s">
        <v>409</v>
      </c>
      <c r="E124" s="81" t="s">
        <v>410</v>
      </c>
      <c r="F124" s="82" t="s">
        <v>262</v>
      </c>
      <c r="G124" s="83" t="s">
        <v>395</v>
      </c>
      <c r="H124" s="84" t="s">
        <v>386</v>
      </c>
      <c r="I124" s="85" t="n">
        <v>1</v>
      </c>
      <c r="J124" s="86" t="n">
        <v>1</v>
      </c>
      <c r="K124" s="87" t="n">
        <v>0.0077</v>
      </c>
      <c r="L124" s="88" t="n">
        <v>317633712.097735</v>
      </c>
      <c r="M124" s="89" t="n">
        <v>317619735.688289</v>
      </c>
      <c r="N124" s="90" t="str">
        <f>MIN(MAX((B124-'Calculation_Assumptions'!$B$5+1)/'Calculation_Assumptions'!$B$7,0),1)</f>
      </c>
      <c r="O124" s="91" t="str">
        <f>L124*I124</f>
      </c>
      <c r="P124" s="92" t="str">
        <f>M124*I124</f>
      </c>
      <c r="Q124" s="93" t="str">
        <f>P124*'Calculation_Assumptions'!$B$14*J124*K124</f>
      </c>
      <c r="R124" s="94" t="str">
        <f>O124*N124*J124*K124</f>
      </c>
      <c r="S124" s="95" t="str">
        <f>R124-Q124</f>
      </c>
      <c r="T124" s="96" t="str">
        <f>1/(1+'Calculation_Assumptions'!$B$8)^(B124-'Calculation_Assumptions'!$B$2)</f>
      </c>
      <c r="U124" s="97" t="str">
        <f>Q124*T124</f>
      </c>
      <c r="V124" s="98" t="str">
        <f>R124*T124</f>
      </c>
      <c r="W124" s="99" t="str">
        <f>S124*T124</f>
      </c>
      <c r="X124" t="n">
        <v>0</v>
      </c>
      <c r="Y124" s="100" t="n">
        <v>2017</v>
      </c>
      <c r="Z124" t="s">
        <v>389</v>
      </c>
      <c r="AA124" s="101" t="str">
        <f>IF(G124="shared-count-once",COUNTIFS($A$2:$A$807,A124,$B$2:$B$807,B124,$D$2:$D$807,D124),1)</f>
      </c>
    </row>
    <row r="125">
      <c r="A125" t="s">
        <v>259</v>
      </c>
      <c r="B125" s="79" t="n">
        <v>2044</v>
      </c>
      <c r="C125" t="s">
        <v>259</v>
      </c>
      <c r="D125" s="80" t="s">
        <v>409</v>
      </c>
      <c r="E125" s="81" t="s">
        <v>410</v>
      </c>
      <c r="F125" s="82" t="s">
        <v>262</v>
      </c>
      <c r="G125" s="83" t="s">
        <v>395</v>
      </c>
      <c r="H125" s="84" t="s">
        <v>386</v>
      </c>
      <c r="I125" s="85" t="n">
        <v>1</v>
      </c>
      <c r="J125" s="86" t="n">
        <v>1</v>
      </c>
      <c r="K125" s="87" t="n">
        <v>0.0077</v>
      </c>
      <c r="L125" s="88" t="n">
        <v>318713205.397144</v>
      </c>
      <c r="M125" s="89" t="n">
        <v>318697135.863652</v>
      </c>
      <c r="N125" s="90" t="str">
        <f>MIN(MAX((B125-'Calculation_Assumptions'!$B$5+1)/'Calculation_Assumptions'!$B$7,0),1)</f>
      </c>
      <c r="O125" s="91" t="str">
        <f>L125*I125</f>
      </c>
      <c r="P125" s="92" t="str">
        <f>M125*I125</f>
      </c>
      <c r="Q125" s="93" t="str">
        <f>P125*'Calculation_Assumptions'!$B$14*J125*K125</f>
      </c>
      <c r="R125" s="94" t="str">
        <f>O125*N125*J125*K125</f>
      </c>
      <c r="S125" s="95" t="str">
        <f>R125-Q125</f>
      </c>
      <c r="T125" s="96" t="str">
        <f>1/(1+'Calculation_Assumptions'!$B$8)^(B125-'Calculation_Assumptions'!$B$2)</f>
      </c>
      <c r="U125" s="97" t="str">
        <f>Q125*T125</f>
      </c>
      <c r="V125" s="98" t="str">
        <f>R125*T125</f>
      </c>
      <c r="W125" s="99" t="str">
        <f>S125*T125</f>
      </c>
      <c r="X125" t="n">
        <v>0</v>
      </c>
      <c r="Y125" s="100" t="n">
        <v>2017</v>
      </c>
      <c r="Z125" t="s">
        <v>389</v>
      </c>
      <c r="AA125" s="101" t="str">
        <f>IF(G125="shared-count-once",COUNTIFS($A$2:$A$807,A125,$B$2:$B$807,B125,$D$2:$D$807,D125),1)</f>
      </c>
    </row>
    <row r="126">
      <c r="A126" t="s">
        <v>259</v>
      </c>
      <c r="B126" s="79" t="n">
        <v>2045</v>
      </c>
      <c r="C126" t="s">
        <v>259</v>
      </c>
      <c r="D126" s="80" t="s">
        <v>409</v>
      </c>
      <c r="E126" s="81" t="s">
        <v>410</v>
      </c>
      <c r="F126" s="82" t="s">
        <v>262</v>
      </c>
      <c r="G126" s="83" t="s">
        <v>395</v>
      </c>
      <c r="H126" s="84" t="s">
        <v>386</v>
      </c>
      <c r="I126" s="85" t="n">
        <v>1</v>
      </c>
      <c r="J126" s="86" t="n">
        <v>1</v>
      </c>
      <c r="K126" s="87" t="n">
        <v>0.0077</v>
      </c>
      <c r="L126" s="88" t="n">
        <v>319736135.580248</v>
      </c>
      <c r="M126" s="89" t="n">
        <v>319717840.85179</v>
      </c>
      <c r="N126" s="90" t="str">
        <f>MIN(MAX((B126-'Calculation_Assumptions'!$B$5+1)/'Calculation_Assumptions'!$B$7,0),1)</f>
      </c>
      <c r="O126" s="91" t="str">
        <f>L126*I126</f>
      </c>
      <c r="P126" s="92" t="str">
        <f>M126*I126</f>
      </c>
      <c r="Q126" s="93" t="str">
        <f>P126*'Calculation_Assumptions'!$B$14*J126*K126</f>
      </c>
      <c r="R126" s="94" t="str">
        <f>O126*N126*J126*K126</f>
      </c>
      <c r="S126" s="95" t="str">
        <f>R126-Q126</f>
      </c>
      <c r="T126" s="96" t="str">
        <f>1/(1+'Calculation_Assumptions'!$B$8)^(B126-'Calculation_Assumptions'!$B$2)</f>
      </c>
      <c r="U126" s="97" t="str">
        <f>Q126*T126</f>
      </c>
      <c r="V126" s="98" t="str">
        <f>R126*T126</f>
      </c>
      <c r="W126" s="99" t="str">
        <f>S126*T126</f>
      </c>
      <c r="X126" t="n">
        <v>0</v>
      </c>
      <c r="Y126" s="100" t="n">
        <v>2017</v>
      </c>
      <c r="Z126" t="s">
        <v>389</v>
      </c>
      <c r="AA126" s="101" t="str">
        <f>IF(G126="shared-count-once",COUNTIFS($A$2:$A$807,A126,$B$2:$B$807,B126,$D$2:$D$807,D126),1)</f>
      </c>
    </row>
    <row r="127">
      <c r="A127" t="s">
        <v>259</v>
      </c>
      <c r="B127" s="79" t="n">
        <v>2046</v>
      </c>
      <c r="C127" t="s">
        <v>259</v>
      </c>
      <c r="D127" s="80" t="s">
        <v>409</v>
      </c>
      <c r="E127" s="81" t="s">
        <v>410</v>
      </c>
      <c r="F127" s="82" t="s">
        <v>262</v>
      </c>
      <c r="G127" s="83" t="s">
        <v>395</v>
      </c>
      <c r="H127" s="84" t="s">
        <v>386</v>
      </c>
      <c r="I127" s="85" t="n">
        <v>1</v>
      </c>
      <c r="J127" s="86" t="n">
        <v>1</v>
      </c>
      <c r="K127" s="87" t="n">
        <v>0.0077</v>
      </c>
      <c r="L127" s="88" t="n">
        <v>320704526.128685</v>
      </c>
      <c r="M127" s="89" t="n">
        <v>320683879.806276</v>
      </c>
      <c r="N127" s="90" t="str">
        <f>MIN(MAX((B127-'Calculation_Assumptions'!$B$5+1)/'Calculation_Assumptions'!$B$7,0),1)</f>
      </c>
      <c r="O127" s="91" t="str">
        <f>L127*I127</f>
      </c>
      <c r="P127" s="92" t="str">
        <f>M127*I127</f>
      </c>
      <c r="Q127" s="93" t="str">
        <f>P127*'Calculation_Assumptions'!$B$14*J127*K127</f>
      </c>
      <c r="R127" s="94" t="str">
        <f>O127*N127*J127*K127</f>
      </c>
      <c r="S127" s="95" t="str">
        <f>R127-Q127</f>
      </c>
      <c r="T127" s="96" t="str">
        <f>1/(1+'Calculation_Assumptions'!$B$8)^(B127-'Calculation_Assumptions'!$B$2)</f>
      </c>
      <c r="U127" s="97" t="str">
        <f>Q127*T127</f>
      </c>
      <c r="V127" s="98" t="str">
        <f>R127*T127</f>
      </c>
      <c r="W127" s="99" t="str">
        <f>S127*T127</f>
      </c>
      <c r="X127" t="n">
        <v>0</v>
      </c>
      <c r="Y127" s="100" t="n">
        <v>2017</v>
      </c>
      <c r="Z127" t="s">
        <v>389</v>
      </c>
      <c r="AA127" s="101" t="str">
        <f>IF(G127="shared-count-once",COUNTIFS($A$2:$A$807,A127,$B$2:$B$807,B127,$D$2:$D$807,D127),1)</f>
      </c>
    </row>
    <row r="128">
      <c r="A128" t="s">
        <v>259</v>
      </c>
      <c r="B128" s="79" t="n">
        <v>2047</v>
      </c>
      <c r="C128" t="s">
        <v>259</v>
      </c>
      <c r="D128" s="80" t="s">
        <v>409</v>
      </c>
      <c r="E128" s="81" t="s">
        <v>410</v>
      </c>
      <c r="F128" s="82" t="s">
        <v>262</v>
      </c>
      <c r="G128" s="83" t="s">
        <v>395</v>
      </c>
      <c r="H128" s="84" t="s">
        <v>386</v>
      </c>
      <c r="I128" s="85" t="n">
        <v>1</v>
      </c>
      <c r="J128" s="86" t="n">
        <v>1</v>
      </c>
      <c r="K128" s="87" t="n">
        <v>0.0077</v>
      </c>
      <c r="L128" s="88" t="n">
        <v>321618657.239318</v>
      </c>
      <c r="M128" s="89" t="n">
        <v>321595541.389526</v>
      </c>
      <c r="N128" s="90" t="str">
        <f>MIN(MAX((B128-'Calculation_Assumptions'!$B$5+1)/'Calculation_Assumptions'!$B$7,0),1)</f>
      </c>
      <c r="O128" s="91" t="str">
        <f>L128*I128</f>
      </c>
      <c r="P128" s="92" t="str">
        <f>M128*I128</f>
      </c>
      <c r="Q128" s="93" t="str">
        <f>P128*'Calculation_Assumptions'!$B$14*J128*K128</f>
      </c>
      <c r="R128" s="94" t="str">
        <f>O128*N128*J128*K128</f>
      </c>
      <c r="S128" s="95" t="str">
        <f>R128-Q128</f>
      </c>
      <c r="T128" s="96" t="str">
        <f>1/(1+'Calculation_Assumptions'!$B$8)^(B128-'Calculation_Assumptions'!$B$2)</f>
      </c>
      <c r="U128" s="97" t="str">
        <f>Q128*T128</f>
      </c>
      <c r="V128" s="98" t="str">
        <f>R128*T128</f>
      </c>
      <c r="W128" s="99" t="str">
        <f>S128*T128</f>
      </c>
      <c r="X128" t="n">
        <v>0</v>
      </c>
      <c r="Y128" s="100" t="n">
        <v>2017</v>
      </c>
      <c r="Z128" t="s">
        <v>389</v>
      </c>
      <c r="AA128" s="101" t="str">
        <f>IF(G128="shared-count-once",COUNTIFS($A$2:$A$807,A128,$B$2:$B$807,B128,$D$2:$D$807,D128),1)</f>
      </c>
    </row>
    <row r="129">
      <c r="A129" t="s">
        <v>259</v>
      </c>
      <c r="B129" s="79" t="n">
        <v>2048</v>
      </c>
      <c r="C129" t="s">
        <v>259</v>
      </c>
      <c r="D129" s="80" t="s">
        <v>409</v>
      </c>
      <c r="E129" s="81" t="s">
        <v>410</v>
      </c>
      <c r="F129" s="82" t="s">
        <v>262</v>
      </c>
      <c r="G129" s="83" t="s">
        <v>395</v>
      </c>
      <c r="H129" s="84" t="s">
        <v>386</v>
      </c>
      <c r="I129" s="85" t="n">
        <v>1</v>
      </c>
      <c r="J129" s="86" t="n">
        <v>1</v>
      </c>
      <c r="K129" s="87" t="n">
        <v>0.0077</v>
      </c>
      <c r="L129" s="88" t="n">
        <v>322479317.271003</v>
      </c>
      <c r="M129" s="89" t="n">
        <v>322453622.669464</v>
      </c>
      <c r="N129" s="90" t="str">
        <f>MIN(MAX((B129-'Calculation_Assumptions'!$B$5+1)/'Calculation_Assumptions'!$B$7,0),1)</f>
      </c>
      <c r="O129" s="91" t="str">
        <f>L129*I129</f>
      </c>
      <c r="P129" s="92" t="str">
        <f>M129*I129</f>
      </c>
      <c r="Q129" s="93" t="str">
        <f>P129*'Calculation_Assumptions'!$B$14*J129*K129</f>
      </c>
      <c r="R129" s="94" t="str">
        <f>O129*N129*J129*K129</f>
      </c>
      <c r="S129" s="95" t="str">
        <f>R129-Q129</f>
      </c>
      <c r="T129" s="96" t="str">
        <f>1/(1+'Calculation_Assumptions'!$B$8)^(B129-'Calculation_Assumptions'!$B$2)</f>
      </c>
      <c r="U129" s="97" t="str">
        <f>Q129*T129</f>
      </c>
      <c r="V129" s="98" t="str">
        <f>R129*T129</f>
      </c>
      <c r="W129" s="99" t="str">
        <f>S129*T129</f>
      </c>
      <c r="X129" t="n">
        <v>0</v>
      </c>
      <c r="Y129" s="100" t="n">
        <v>2017</v>
      </c>
      <c r="Z129" t="s">
        <v>389</v>
      </c>
      <c r="AA129" s="101" t="str">
        <f>IF(G129="shared-count-once",COUNTIFS($A$2:$A$807,A129,$B$2:$B$807,B129,$D$2:$D$807,D129),1)</f>
      </c>
    </row>
    <row r="130">
      <c r="A130" t="s">
        <v>259</v>
      </c>
      <c r="B130" s="79" t="n">
        <v>2049</v>
      </c>
      <c r="C130" t="s">
        <v>259</v>
      </c>
      <c r="D130" s="80" t="s">
        <v>409</v>
      </c>
      <c r="E130" s="81" t="s">
        <v>410</v>
      </c>
      <c r="F130" s="82" t="s">
        <v>262</v>
      </c>
      <c r="G130" s="83" t="s">
        <v>395</v>
      </c>
      <c r="H130" s="84" t="s">
        <v>386</v>
      </c>
      <c r="I130" s="85" t="n">
        <v>1</v>
      </c>
      <c r="J130" s="86" t="n">
        <v>1</v>
      </c>
      <c r="K130" s="87" t="n">
        <v>0.0077</v>
      </c>
      <c r="L130" s="88" t="n">
        <v>323287619.737377</v>
      </c>
      <c r="M130" s="89" t="n">
        <v>323259246.716719</v>
      </c>
      <c r="N130" s="90" t="str">
        <f>MIN(MAX((B130-'Calculation_Assumptions'!$B$5+1)/'Calculation_Assumptions'!$B$7,0),1)</f>
      </c>
      <c r="O130" s="91" t="str">
        <f>L130*I130</f>
      </c>
      <c r="P130" s="92" t="str">
        <f>M130*I130</f>
      </c>
      <c r="Q130" s="93" t="str">
        <f>P130*'Calculation_Assumptions'!$B$14*J130*K130</f>
      </c>
      <c r="R130" s="94" t="str">
        <f>O130*N130*J130*K130</f>
      </c>
      <c r="S130" s="95" t="str">
        <f>R130-Q130</f>
      </c>
      <c r="T130" s="96" t="str">
        <f>1/(1+'Calculation_Assumptions'!$B$8)^(B130-'Calculation_Assumptions'!$B$2)</f>
      </c>
      <c r="U130" s="97" t="str">
        <f>Q130*T130</f>
      </c>
      <c r="V130" s="98" t="str">
        <f>R130*T130</f>
      </c>
      <c r="W130" s="99" t="str">
        <f>S130*T130</f>
      </c>
      <c r="X130" t="n">
        <v>0</v>
      </c>
      <c r="Y130" s="100" t="n">
        <v>2017</v>
      </c>
      <c r="Z130" t="s">
        <v>389</v>
      </c>
      <c r="AA130" s="101" t="str">
        <f>IF(G130="shared-count-once",COUNTIFS($A$2:$A$807,A130,$B$2:$B$807,B130,$D$2:$D$807,D130),1)</f>
      </c>
    </row>
    <row r="131">
      <c r="A131" t="s">
        <v>259</v>
      </c>
      <c r="B131" s="79" t="n">
        <v>2050</v>
      </c>
      <c r="C131" t="s">
        <v>259</v>
      </c>
      <c r="D131" s="80" t="s">
        <v>409</v>
      </c>
      <c r="E131" s="81" t="s">
        <v>410</v>
      </c>
      <c r="F131" s="82" t="s">
        <v>262</v>
      </c>
      <c r="G131" s="83" t="s">
        <v>395</v>
      </c>
      <c r="H131" s="84" t="s">
        <v>386</v>
      </c>
      <c r="I131" s="85" t="n">
        <v>1</v>
      </c>
      <c r="J131" s="86" t="n">
        <v>1</v>
      </c>
      <c r="K131" s="87" t="n">
        <v>0.0077</v>
      </c>
      <c r="L131" s="88" t="n">
        <v>324044878.7212</v>
      </c>
      <c r="M131" s="89" t="n">
        <v>324013738.182479</v>
      </c>
      <c r="N131" s="90" t="str">
        <f>MIN(MAX((B131-'Calculation_Assumptions'!$B$5+1)/'Calculation_Assumptions'!$B$7,0),1)</f>
      </c>
      <c r="O131" s="91" t="str">
        <f>L131*I131</f>
      </c>
      <c r="P131" s="92" t="str">
        <f>M131*I131</f>
      </c>
      <c r="Q131" s="93" t="str">
        <f>P131*'Calculation_Assumptions'!$B$14*J131*K131</f>
      </c>
      <c r="R131" s="94" t="str">
        <f>O131*N131*J131*K131</f>
      </c>
      <c r="S131" s="95" t="str">
        <f>R131-Q131</f>
      </c>
      <c r="T131" s="96" t="str">
        <f>1/(1+'Calculation_Assumptions'!$B$8)^(B131-'Calculation_Assumptions'!$B$2)</f>
      </c>
      <c r="U131" s="97" t="str">
        <f>Q131*T131</f>
      </c>
      <c r="V131" s="98" t="str">
        <f>R131*T131</f>
      </c>
      <c r="W131" s="99" t="str">
        <f>S131*T131</f>
      </c>
      <c r="X131" t="n">
        <v>0</v>
      </c>
      <c r="Y131" s="100" t="n">
        <v>2017</v>
      </c>
      <c r="Z131" t="s">
        <v>389</v>
      </c>
      <c r="AA131" s="101" t="str">
        <f>IF(G131="shared-count-once",COUNTIFS($A$2:$A$807,A131,$B$2:$B$807,B131,$D$2:$D$807,D131),1)</f>
      </c>
    </row>
    <row r="132">
      <c r="A132" t="s">
        <v>171</v>
      </c>
      <c r="B132" s="79" t="n">
        <v>2025</v>
      </c>
      <c r="C132" t="s">
        <v>171</v>
      </c>
      <c r="D132" s="80" t="s">
        <v>382</v>
      </c>
      <c r="E132" s="81" t="s">
        <v>383</v>
      </c>
      <c r="F132" s="82" t="s">
        <v>179</v>
      </c>
      <c r="G132" s="83" t="s">
        <v>384</v>
      </c>
      <c r="H132" s="84" t="s">
        <v>386</v>
      </c>
      <c r="I132" s="85" t="n">
        <v>1</v>
      </c>
      <c r="J132" s="86" t="n">
        <v>1</v>
      </c>
      <c r="K132" s="87" t="n">
        <v>0.0056</v>
      </c>
      <c r="L132" s="88" t="n">
        <v>288000821.106462</v>
      </c>
      <c r="M132" s="89" t="n">
        <v>288000821.106462</v>
      </c>
      <c r="N132" s="90" t="str">
        <f>MIN(MAX((B132-'Calculation_Assumptions'!$B$5+1)/'Calculation_Assumptions'!$B$7,0),1)</f>
      </c>
      <c r="O132" s="91" t="str">
        <f>L132*I132</f>
      </c>
      <c r="P132" s="92" t="str">
        <f>M132*I132</f>
      </c>
      <c r="Q132" s="93" t="str">
        <f>P132*'Calculation_Assumptions'!$B$14*J132*K132</f>
      </c>
      <c r="R132" s="94" t="str">
        <f>O132*N132*J132*K132</f>
      </c>
      <c r="S132" s="95" t="str">
        <f>R132-Q132</f>
      </c>
      <c r="T132" s="96" t="str">
        <f>1/(1+'Calculation_Assumptions'!$B$8)^(B132-'Calculation_Assumptions'!$B$2)</f>
      </c>
      <c r="U132" s="97" t="str">
        <f>Q132*T132</f>
      </c>
      <c r="V132" s="98" t="str">
        <f>R132*T132</f>
      </c>
      <c r="W132" s="99" t="str">
        <f>S132*T132</f>
      </c>
      <c r="X132" t="n">
        <v>0</v>
      </c>
      <c r="Y132" s="100" t="n">
        <v>2017</v>
      </c>
      <c r="Z132" t="s">
        <v>389</v>
      </c>
      <c r="AA132" s="101" t="str">
        <f>IF(G132="shared-count-once",COUNTIFS($A$2:$A$807,A132,$B$2:$B$807,B132,$D$2:$D$807,D132),1)</f>
      </c>
    </row>
    <row r="133">
      <c r="A133" t="s">
        <v>171</v>
      </c>
      <c r="B133" s="79" t="n">
        <v>2026</v>
      </c>
      <c r="C133" t="s">
        <v>171</v>
      </c>
      <c r="D133" s="80" t="s">
        <v>382</v>
      </c>
      <c r="E133" s="81" t="s">
        <v>383</v>
      </c>
      <c r="F133" s="82" t="s">
        <v>179</v>
      </c>
      <c r="G133" s="83" t="s">
        <v>384</v>
      </c>
      <c r="H133" s="84" t="s">
        <v>386</v>
      </c>
      <c r="I133" s="85" t="n">
        <v>1</v>
      </c>
      <c r="J133" s="86" t="n">
        <v>1</v>
      </c>
      <c r="K133" s="87" t="n">
        <v>0.0056</v>
      </c>
      <c r="L133" s="88" t="n">
        <v>290123496.103219</v>
      </c>
      <c r="M133" s="89" t="n">
        <v>290123496.103219</v>
      </c>
      <c r="N133" s="90" t="str">
        <f>MIN(MAX((B133-'Calculation_Assumptions'!$B$5+1)/'Calculation_Assumptions'!$B$7,0),1)</f>
      </c>
      <c r="O133" s="91" t="str">
        <f>L133*I133</f>
      </c>
      <c r="P133" s="92" t="str">
        <f>M133*I133</f>
      </c>
      <c r="Q133" s="93" t="str">
        <f>P133*'Calculation_Assumptions'!$B$14*J133*K133</f>
      </c>
      <c r="R133" s="94" t="str">
        <f>O133*N133*J133*K133</f>
      </c>
      <c r="S133" s="95" t="str">
        <f>R133-Q133</f>
      </c>
      <c r="T133" s="96" t="str">
        <f>1/(1+'Calculation_Assumptions'!$B$8)^(B133-'Calculation_Assumptions'!$B$2)</f>
      </c>
      <c r="U133" s="97" t="str">
        <f>Q133*T133</f>
      </c>
      <c r="V133" s="98" t="str">
        <f>R133*T133</f>
      </c>
      <c r="W133" s="99" t="str">
        <f>S133*T133</f>
      </c>
      <c r="X133" t="n">
        <v>0</v>
      </c>
      <c r="Y133" s="100" t="n">
        <v>2017</v>
      </c>
      <c r="Z133" t="s">
        <v>389</v>
      </c>
      <c r="AA133" s="101" t="str">
        <f>IF(G133="shared-count-once",COUNTIFS($A$2:$A$807,A133,$B$2:$B$807,B133,$D$2:$D$807,D133),1)</f>
      </c>
    </row>
    <row r="134">
      <c r="A134" t="s">
        <v>171</v>
      </c>
      <c r="B134" s="79" t="n">
        <v>2027</v>
      </c>
      <c r="C134" t="s">
        <v>171</v>
      </c>
      <c r="D134" s="80" t="s">
        <v>382</v>
      </c>
      <c r="E134" s="81" t="s">
        <v>383</v>
      </c>
      <c r="F134" s="82" t="s">
        <v>179</v>
      </c>
      <c r="G134" s="83" t="s">
        <v>384</v>
      </c>
      <c r="H134" s="84" t="s">
        <v>386</v>
      </c>
      <c r="I134" s="85" t="n">
        <v>1</v>
      </c>
      <c r="J134" s="86" t="n">
        <v>1</v>
      </c>
      <c r="K134" s="87" t="n">
        <v>0.0056</v>
      </c>
      <c r="L134" s="88" t="n">
        <v>292252895.096956</v>
      </c>
      <c r="M134" s="89" t="n">
        <v>292252895.096956</v>
      </c>
      <c r="N134" s="90" t="str">
        <f>MIN(MAX((B134-'Calculation_Assumptions'!$B$5+1)/'Calculation_Assumptions'!$B$7,0),1)</f>
      </c>
      <c r="O134" s="91" t="str">
        <f>L134*I134</f>
      </c>
      <c r="P134" s="92" t="str">
        <f>M134*I134</f>
      </c>
      <c r="Q134" s="93" t="str">
        <f>P134*'Calculation_Assumptions'!$B$14*J134*K134</f>
      </c>
      <c r="R134" s="94" t="str">
        <f>O134*N134*J134*K134</f>
      </c>
      <c r="S134" s="95" t="str">
        <f>R134-Q134</f>
      </c>
      <c r="T134" s="96" t="str">
        <f>1/(1+'Calculation_Assumptions'!$B$8)^(B134-'Calculation_Assumptions'!$B$2)</f>
      </c>
      <c r="U134" s="97" t="str">
        <f>Q134*T134</f>
      </c>
      <c r="V134" s="98" t="str">
        <f>R134*T134</f>
      </c>
      <c r="W134" s="99" t="str">
        <f>S134*T134</f>
      </c>
      <c r="X134" t="n">
        <v>0</v>
      </c>
      <c r="Y134" s="100" t="n">
        <v>2017</v>
      </c>
      <c r="Z134" t="s">
        <v>389</v>
      </c>
      <c r="AA134" s="101" t="str">
        <f>IF(G134="shared-count-once",COUNTIFS($A$2:$A$807,A134,$B$2:$B$807,B134,$D$2:$D$807,D134),1)</f>
      </c>
    </row>
    <row r="135">
      <c r="A135" t="s">
        <v>171</v>
      </c>
      <c r="B135" s="79" t="n">
        <v>2028</v>
      </c>
      <c r="C135" t="s">
        <v>171</v>
      </c>
      <c r="D135" s="80" t="s">
        <v>382</v>
      </c>
      <c r="E135" s="81" t="s">
        <v>383</v>
      </c>
      <c r="F135" s="82" t="s">
        <v>179</v>
      </c>
      <c r="G135" s="83" t="s">
        <v>384</v>
      </c>
      <c r="H135" s="84" t="s">
        <v>386</v>
      </c>
      <c r="I135" s="85" t="n">
        <v>1</v>
      </c>
      <c r="J135" s="86" t="n">
        <v>1</v>
      </c>
      <c r="K135" s="87" t="n">
        <v>0.0056</v>
      </c>
      <c r="L135" s="88" t="n">
        <v>294440742.002945</v>
      </c>
      <c r="M135" s="89" t="n">
        <v>294314895.305465</v>
      </c>
      <c r="N135" s="90" t="str">
        <f>MIN(MAX((B135-'Calculation_Assumptions'!$B$5+1)/'Calculation_Assumptions'!$B$7,0),1)</f>
      </c>
      <c r="O135" s="91" t="str">
        <f>L135*I135</f>
      </c>
      <c r="P135" s="92" t="str">
        <f>M135*I135</f>
      </c>
      <c r="Q135" s="93" t="str">
        <f>P135*'Calculation_Assumptions'!$B$14*J135*K135</f>
      </c>
      <c r="R135" s="94" t="str">
        <f>O135*N135*J135*K135</f>
      </c>
      <c r="S135" s="95" t="str">
        <f>R135-Q135</f>
      </c>
      <c r="T135" s="96" t="str">
        <f>1/(1+'Calculation_Assumptions'!$B$8)^(B135-'Calculation_Assumptions'!$B$2)</f>
      </c>
      <c r="U135" s="97" t="str">
        <f>Q135*T135</f>
      </c>
      <c r="V135" s="98" t="str">
        <f>R135*T135</f>
      </c>
      <c r="W135" s="99" t="str">
        <f>S135*T135</f>
      </c>
      <c r="X135" t="n">
        <v>0</v>
      </c>
      <c r="Y135" s="100" t="n">
        <v>2017</v>
      </c>
      <c r="Z135" t="s">
        <v>389</v>
      </c>
      <c r="AA135" s="101" t="str">
        <f>IF(G135="shared-count-once",COUNTIFS($A$2:$A$807,A135,$B$2:$B$807,B135,$D$2:$D$807,D135),1)</f>
      </c>
    </row>
    <row r="136">
      <c r="A136" t="s">
        <v>171</v>
      </c>
      <c r="B136" s="79" t="n">
        <v>2029</v>
      </c>
      <c r="C136" t="s">
        <v>171</v>
      </c>
      <c r="D136" s="80" t="s">
        <v>382</v>
      </c>
      <c r="E136" s="81" t="s">
        <v>383</v>
      </c>
      <c r="F136" s="82" t="s">
        <v>179</v>
      </c>
      <c r="G136" s="83" t="s">
        <v>384</v>
      </c>
      <c r="H136" s="84" t="s">
        <v>386</v>
      </c>
      <c r="I136" s="85" t="n">
        <v>1</v>
      </c>
      <c r="J136" s="86" t="n">
        <v>1</v>
      </c>
      <c r="K136" s="87" t="n">
        <v>0.0056</v>
      </c>
      <c r="L136" s="88" t="n">
        <v>296341105.603259</v>
      </c>
      <c r="M136" s="89" t="n">
        <v>296341062.542853</v>
      </c>
      <c r="N136" s="90" t="str">
        <f>MIN(MAX((B136-'Calculation_Assumptions'!$B$5+1)/'Calculation_Assumptions'!$B$7,0),1)</f>
      </c>
      <c r="O136" s="91" t="str">
        <f>L136*I136</f>
      </c>
      <c r="P136" s="92" t="str">
        <f>M136*I136</f>
      </c>
      <c r="Q136" s="93" t="str">
        <f>P136*'Calculation_Assumptions'!$B$14*J136*K136</f>
      </c>
      <c r="R136" s="94" t="str">
        <f>O136*N136*J136*K136</f>
      </c>
      <c r="S136" s="95" t="str">
        <f>R136-Q136</f>
      </c>
      <c r="T136" s="96" t="str">
        <f>1/(1+'Calculation_Assumptions'!$B$8)^(B136-'Calculation_Assumptions'!$B$2)</f>
      </c>
      <c r="U136" s="97" t="str">
        <f>Q136*T136</f>
      </c>
      <c r="V136" s="98" t="str">
        <f>R136*T136</f>
      </c>
      <c r="W136" s="99" t="str">
        <f>S136*T136</f>
      </c>
      <c r="X136" t="n">
        <v>0</v>
      </c>
      <c r="Y136" s="100" t="n">
        <v>2017</v>
      </c>
      <c r="Z136" t="s">
        <v>389</v>
      </c>
      <c r="AA136" s="101" t="str">
        <f>IF(G136="shared-count-once",COUNTIFS($A$2:$A$807,A136,$B$2:$B$807,B136,$D$2:$D$807,D136),1)</f>
      </c>
    </row>
    <row r="137">
      <c r="A137" t="s">
        <v>171</v>
      </c>
      <c r="B137" s="79" t="n">
        <v>2030</v>
      </c>
      <c r="C137" t="s">
        <v>171</v>
      </c>
      <c r="D137" s="80" t="s">
        <v>382</v>
      </c>
      <c r="E137" s="81" t="s">
        <v>383</v>
      </c>
      <c r="F137" s="82" t="s">
        <v>179</v>
      </c>
      <c r="G137" s="83" t="s">
        <v>384</v>
      </c>
      <c r="H137" s="84" t="s">
        <v>386</v>
      </c>
      <c r="I137" s="85" t="n">
        <v>1</v>
      </c>
      <c r="J137" s="86" t="n">
        <v>1</v>
      </c>
      <c r="K137" s="87" t="n">
        <v>0.0056</v>
      </c>
      <c r="L137" s="88" t="n">
        <v>298222878.995093</v>
      </c>
      <c r="M137" s="89" t="n">
        <v>298280286.057263</v>
      </c>
      <c r="N137" s="90" t="str">
        <f>MIN(MAX((B137-'Calculation_Assumptions'!$B$5+1)/'Calculation_Assumptions'!$B$7,0),1)</f>
      </c>
      <c r="O137" s="91" t="str">
        <f>L137*I137</f>
      </c>
      <c r="P137" s="92" t="str">
        <f>M137*I137</f>
      </c>
      <c r="Q137" s="93" t="str">
        <f>P137*'Calculation_Assumptions'!$B$14*J137*K137</f>
      </c>
      <c r="R137" s="94" t="str">
        <f>O137*N137*J137*K137</f>
      </c>
      <c r="S137" s="95" t="str">
        <f>R137-Q137</f>
      </c>
      <c r="T137" s="96" t="str">
        <f>1/(1+'Calculation_Assumptions'!$B$8)^(B137-'Calculation_Assumptions'!$B$2)</f>
      </c>
      <c r="U137" s="97" t="str">
        <f>Q137*T137</f>
      </c>
      <c r="V137" s="98" t="str">
        <f>R137*T137</f>
      </c>
      <c r="W137" s="99" t="str">
        <f>S137*T137</f>
      </c>
      <c r="X137" t="n">
        <v>0</v>
      </c>
      <c r="Y137" s="100" t="n">
        <v>2017</v>
      </c>
      <c r="Z137" t="s">
        <v>389</v>
      </c>
      <c r="AA137" s="101" t="str">
        <f>IF(G137="shared-count-once",COUNTIFS($A$2:$A$807,A137,$B$2:$B$807,B137,$D$2:$D$807,D137),1)</f>
      </c>
    </row>
    <row r="138">
      <c r="A138" t="s">
        <v>171</v>
      </c>
      <c r="B138" s="79" t="n">
        <v>2031</v>
      </c>
      <c r="C138" t="s">
        <v>171</v>
      </c>
      <c r="D138" s="80" t="s">
        <v>382</v>
      </c>
      <c r="E138" s="81" t="s">
        <v>383</v>
      </c>
      <c r="F138" s="82" t="s">
        <v>179</v>
      </c>
      <c r="G138" s="83" t="s">
        <v>384</v>
      </c>
      <c r="H138" s="84" t="s">
        <v>386</v>
      </c>
      <c r="I138" s="85" t="n">
        <v>1</v>
      </c>
      <c r="J138" s="86" t="n">
        <v>1</v>
      </c>
      <c r="K138" s="87" t="n">
        <v>0.0056</v>
      </c>
      <c r="L138" s="88" t="n">
        <v>300087677.634875</v>
      </c>
      <c r="M138" s="89" t="n">
        <v>300152603.254782</v>
      </c>
      <c r="N138" s="90" t="str">
        <f>MIN(MAX((B138-'Calculation_Assumptions'!$B$5+1)/'Calculation_Assumptions'!$B$7,0),1)</f>
      </c>
      <c r="O138" s="91" t="str">
        <f>L138*I138</f>
      </c>
      <c r="P138" s="92" t="str">
        <f>M138*I138</f>
      </c>
      <c r="Q138" s="93" t="str">
        <f>P138*'Calculation_Assumptions'!$B$14*J138*K138</f>
      </c>
      <c r="R138" s="94" t="str">
        <f>O138*N138*J138*K138</f>
      </c>
      <c r="S138" s="95" t="str">
        <f>R138-Q138</f>
      </c>
      <c r="T138" s="96" t="str">
        <f>1/(1+'Calculation_Assumptions'!$B$8)^(B138-'Calculation_Assumptions'!$B$2)</f>
      </c>
      <c r="U138" s="97" t="str">
        <f>Q138*T138</f>
      </c>
      <c r="V138" s="98" t="str">
        <f>R138*T138</f>
      </c>
      <c r="W138" s="99" t="str">
        <f>S138*T138</f>
      </c>
      <c r="X138" t="n">
        <v>0</v>
      </c>
      <c r="Y138" s="100" t="n">
        <v>2017</v>
      </c>
      <c r="Z138" t="s">
        <v>389</v>
      </c>
      <c r="AA138" s="101" t="str">
        <f>IF(G138="shared-count-once",COUNTIFS($A$2:$A$807,A138,$B$2:$B$807,B138,$D$2:$D$807,D138),1)</f>
      </c>
    </row>
    <row r="139">
      <c r="A139" t="s">
        <v>171</v>
      </c>
      <c r="B139" s="79" t="n">
        <v>2032</v>
      </c>
      <c r="C139" t="s">
        <v>171</v>
      </c>
      <c r="D139" s="80" t="s">
        <v>382</v>
      </c>
      <c r="E139" s="81" t="s">
        <v>383</v>
      </c>
      <c r="F139" s="82" t="s">
        <v>179</v>
      </c>
      <c r="G139" s="83" t="s">
        <v>384</v>
      </c>
      <c r="H139" s="84" t="s">
        <v>386</v>
      </c>
      <c r="I139" s="85" t="n">
        <v>1</v>
      </c>
      <c r="J139" s="86" t="n">
        <v>1</v>
      </c>
      <c r="K139" s="87" t="n">
        <v>0.0056</v>
      </c>
      <c r="L139" s="88" t="n">
        <v>301886563.427366</v>
      </c>
      <c r="M139" s="89" t="n">
        <v>301959399.633888</v>
      </c>
      <c r="N139" s="90" t="str">
        <f>MIN(MAX((B139-'Calculation_Assumptions'!$B$5+1)/'Calculation_Assumptions'!$B$7,0),1)</f>
      </c>
      <c r="O139" s="91" t="str">
        <f>L139*I139</f>
      </c>
      <c r="P139" s="92" t="str">
        <f>M139*I139</f>
      </c>
      <c r="Q139" s="93" t="str">
        <f>P139*'Calculation_Assumptions'!$B$14*J139*K139</f>
      </c>
      <c r="R139" s="94" t="str">
        <f>O139*N139*J139*K139</f>
      </c>
      <c r="S139" s="95" t="str">
        <f>R139-Q139</f>
      </c>
      <c r="T139" s="96" t="str">
        <f>1/(1+'Calculation_Assumptions'!$B$8)^(B139-'Calculation_Assumptions'!$B$2)</f>
      </c>
      <c r="U139" s="97" t="str">
        <f>Q139*T139</f>
      </c>
      <c r="V139" s="98" t="str">
        <f>R139*T139</f>
      </c>
      <c r="W139" s="99" t="str">
        <f>S139*T139</f>
      </c>
      <c r="X139" t="n">
        <v>0</v>
      </c>
      <c r="Y139" s="100" t="n">
        <v>2017</v>
      </c>
      <c r="Z139" t="s">
        <v>389</v>
      </c>
      <c r="AA139" s="101" t="str">
        <f>IF(G139="shared-count-once",COUNTIFS($A$2:$A$807,A139,$B$2:$B$807,B139,$D$2:$D$807,D139),1)</f>
      </c>
    </row>
    <row r="140">
      <c r="A140" t="s">
        <v>171</v>
      </c>
      <c r="B140" s="79" t="n">
        <v>2033</v>
      </c>
      <c r="C140" t="s">
        <v>171</v>
      </c>
      <c r="D140" s="80" t="s">
        <v>382</v>
      </c>
      <c r="E140" s="81" t="s">
        <v>383</v>
      </c>
      <c r="F140" s="82" t="s">
        <v>179</v>
      </c>
      <c r="G140" s="83" t="s">
        <v>384</v>
      </c>
      <c r="H140" s="84" t="s">
        <v>386</v>
      </c>
      <c r="I140" s="85" t="n">
        <v>1</v>
      </c>
      <c r="J140" s="86" t="n">
        <v>1</v>
      </c>
      <c r="K140" s="87" t="n">
        <v>0.0056</v>
      </c>
      <c r="L140" s="88" t="n">
        <v>303619968.084206</v>
      </c>
      <c r="M140" s="89" t="n">
        <v>303701035.202051</v>
      </c>
      <c r="N140" s="90" t="str">
        <f>MIN(MAX((B140-'Calculation_Assumptions'!$B$5+1)/'Calculation_Assumptions'!$B$7,0),1)</f>
      </c>
      <c r="O140" s="91" t="str">
        <f>L140*I140</f>
      </c>
      <c r="P140" s="92" t="str">
        <f>M140*I140</f>
      </c>
      <c r="Q140" s="93" t="str">
        <f>P140*'Calculation_Assumptions'!$B$14*J140*K140</f>
      </c>
      <c r="R140" s="94" t="str">
        <f>O140*N140*J140*K140</f>
      </c>
      <c r="S140" s="95" t="str">
        <f>R140-Q140</f>
      </c>
      <c r="T140" s="96" t="str">
        <f>1/(1+'Calculation_Assumptions'!$B$8)^(B140-'Calculation_Assumptions'!$B$2)</f>
      </c>
      <c r="U140" s="97" t="str">
        <f>Q140*T140</f>
      </c>
      <c r="V140" s="98" t="str">
        <f>R140*T140</f>
      </c>
      <c r="W140" s="99" t="str">
        <f>S140*T140</f>
      </c>
      <c r="X140" t="n">
        <v>0</v>
      </c>
      <c r="Y140" s="100" t="n">
        <v>2017</v>
      </c>
      <c r="Z140" t="s">
        <v>389</v>
      </c>
      <c r="AA140" s="101" t="str">
        <f>IF(G140="shared-count-once",COUNTIFS($A$2:$A$807,A140,$B$2:$B$807,B140,$D$2:$D$807,D140),1)</f>
      </c>
    </row>
    <row r="141">
      <c r="A141" t="s">
        <v>171</v>
      </c>
      <c r="B141" s="79" t="n">
        <v>2034</v>
      </c>
      <c r="C141" t="s">
        <v>171</v>
      </c>
      <c r="D141" s="80" t="s">
        <v>382</v>
      </c>
      <c r="E141" s="81" t="s">
        <v>383</v>
      </c>
      <c r="F141" s="82" t="s">
        <v>179</v>
      </c>
      <c r="G141" s="83" t="s">
        <v>384</v>
      </c>
      <c r="H141" s="84" t="s">
        <v>386</v>
      </c>
      <c r="I141" s="85" t="n">
        <v>1</v>
      </c>
      <c r="J141" s="86" t="n">
        <v>1</v>
      </c>
      <c r="K141" s="87" t="n">
        <v>0.0056</v>
      </c>
      <c r="L141" s="88" t="n">
        <v>305288608.94922</v>
      </c>
      <c r="M141" s="89" t="n">
        <v>305377998.093319</v>
      </c>
      <c r="N141" s="90" t="str">
        <f>MIN(MAX((B141-'Calculation_Assumptions'!$B$5+1)/'Calculation_Assumptions'!$B$7,0),1)</f>
      </c>
      <c r="O141" s="91" t="str">
        <f>L141*I141</f>
      </c>
      <c r="P141" s="92" t="str">
        <f>M141*I141</f>
      </c>
      <c r="Q141" s="93" t="str">
        <f>P141*'Calculation_Assumptions'!$B$14*J141*K141</f>
      </c>
      <c r="R141" s="94" t="str">
        <f>O141*N141*J141*K141</f>
      </c>
      <c r="S141" s="95" t="str">
        <f>R141-Q141</f>
      </c>
      <c r="T141" s="96" t="str">
        <f>1/(1+'Calculation_Assumptions'!$B$8)^(B141-'Calculation_Assumptions'!$B$2)</f>
      </c>
      <c r="U141" s="97" t="str">
        <f>Q141*T141</f>
      </c>
      <c r="V141" s="98" t="str">
        <f>R141*T141</f>
      </c>
      <c r="W141" s="99" t="str">
        <f>S141*T141</f>
      </c>
      <c r="X141" t="n">
        <v>0</v>
      </c>
      <c r="Y141" s="100" t="n">
        <v>2017</v>
      </c>
      <c r="Z141" t="s">
        <v>389</v>
      </c>
      <c r="AA141" s="101" t="str">
        <f>IF(G141="shared-count-once",COUNTIFS($A$2:$A$807,A141,$B$2:$B$807,B141,$D$2:$D$807,D141),1)</f>
      </c>
    </row>
    <row r="142">
      <c r="A142" t="s">
        <v>171</v>
      </c>
      <c r="B142" s="79" t="n">
        <v>2035</v>
      </c>
      <c r="C142" t="s">
        <v>171</v>
      </c>
      <c r="D142" s="80" t="s">
        <v>382</v>
      </c>
      <c r="E142" s="81" t="s">
        <v>383</v>
      </c>
      <c r="F142" s="82" t="s">
        <v>179</v>
      </c>
      <c r="G142" s="83" t="s">
        <v>384</v>
      </c>
      <c r="H142" s="84" t="s">
        <v>386</v>
      </c>
      <c r="I142" s="85" t="n">
        <v>1</v>
      </c>
      <c r="J142" s="86" t="n">
        <v>1</v>
      </c>
      <c r="K142" s="87" t="n">
        <v>0.0056</v>
      </c>
      <c r="L142" s="88" t="n">
        <v>306891634.925271</v>
      </c>
      <c r="M142" s="89" t="n">
        <v>306989258.29407</v>
      </c>
      <c r="N142" s="90" t="str">
        <f>MIN(MAX((B142-'Calculation_Assumptions'!$B$5+1)/'Calculation_Assumptions'!$B$7,0),1)</f>
      </c>
      <c r="O142" s="91" t="str">
        <f>L142*I142</f>
      </c>
      <c r="P142" s="92" t="str">
        <f>M142*I142</f>
      </c>
      <c r="Q142" s="93" t="str">
        <f>P142*'Calculation_Assumptions'!$B$14*J142*K142</f>
      </c>
      <c r="R142" s="94" t="str">
        <f>O142*N142*J142*K142</f>
      </c>
      <c r="S142" s="95" t="str">
        <f>R142-Q142</f>
      </c>
      <c r="T142" s="96" t="str">
        <f>1/(1+'Calculation_Assumptions'!$B$8)^(B142-'Calculation_Assumptions'!$B$2)</f>
      </c>
      <c r="U142" s="97" t="str">
        <f>Q142*T142</f>
      </c>
      <c r="V142" s="98" t="str">
        <f>R142*T142</f>
      </c>
      <c r="W142" s="99" t="str">
        <f>S142*T142</f>
      </c>
      <c r="X142" t="n">
        <v>0</v>
      </c>
      <c r="Y142" s="100" t="n">
        <v>2017</v>
      </c>
      <c r="Z142" t="s">
        <v>389</v>
      </c>
      <c r="AA142" s="101" t="str">
        <f>IF(G142="shared-count-once",COUNTIFS($A$2:$A$807,A142,$B$2:$B$807,B142,$D$2:$D$807,D142),1)</f>
      </c>
    </row>
    <row r="143">
      <c r="A143" t="s">
        <v>171</v>
      </c>
      <c r="B143" s="79" t="n">
        <v>2036</v>
      </c>
      <c r="C143" t="s">
        <v>171</v>
      </c>
      <c r="D143" s="80" t="s">
        <v>382</v>
      </c>
      <c r="E143" s="81" t="s">
        <v>383</v>
      </c>
      <c r="F143" s="82" t="s">
        <v>179</v>
      </c>
      <c r="G143" s="83" t="s">
        <v>384</v>
      </c>
      <c r="H143" s="84" t="s">
        <v>386</v>
      </c>
      <c r="I143" s="85" t="n">
        <v>1</v>
      </c>
      <c r="J143" s="86" t="n">
        <v>1</v>
      </c>
      <c r="K143" s="87" t="n">
        <v>0.0056</v>
      </c>
      <c r="L143" s="88" t="n">
        <v>308431878.252205</v>
      </c>
      <c r="M143" s="89" t="n">
        <v>308537399.672094</v>
      </c>
      <c r="N143" s="90" t="str">
        <f>MIN(MAX((B143-'Calculation_Assumptions'!$B$5+1)/'Calculation_Assumptions'!$B$7,0),1)</f>
      </c>
      <c r="O143" s="91" t="str">
        <f>L143*I143</f>
      </c>
      <c r="P143" s="92" t="str">
        <f>M143*I143</f>
      </c>
      <c r="Q143" s="93" t="str">
        <f>P143*'Calculation_Assumptions'!$B$14*J143*K143</f>
      </c>
      <c r="R143" s="94" t="str">
        <f>O143*N143*J143*K143</f>
      </c>
      <c r="S143" s="95" t="str">
        <f>R143-Q143</f>
      </c>
      <c r="T143" s="96" t="str">
        <f>1/(1+'Calculation_Assumptions'!$B$8)^(B143-'Calculation_Assumptions'!$B$2)</f>
      </c>
      <c r="U143" s="97" t="str">
        <f>Q143*T143</f>
      </c>
      <c r="V143" s="98" t="str">
        <f>R143*T143</f>
      </c>
      <c r="W143" s="99" t="str">
        <f>S143*T143</f>
      </c>
      <c r="X143" t="n">
        <v>0</v>
      </c>
      <c r="Y143" s="100" t="n">
        <v>2017</v>
      </c>
      <c r="Z143" t="s">
        <v>389</v>
      </c>
      <c r="AA143" s="101" t="str">
        <f>IF(G143="shared-count-once",COUNTIFS($A$2:$A$807,A143,$B$2:$B$807,B143,$D$2:$D$807,D143),1)</f>
      </c>
    </row>
    <row r="144">
      <c r="A144" t="s">
        <v>171</v>
      </c>
      <c r="B144" s="79" t="n">
        <v>2037</v>
      </c>
      <c r="C144" t="s">
        <v>171</v>
      </c>
      <c r="D144" s="80" t="s">
        <v>382</v>
      </c>
      <c r="E144" s="81" t="s">
        <v>383</v>
      </c>
      <c r="F144" s="82" t="s">
        <v>179</v>
      </c>
      <c r="G144" s="83" t="s">
        <v>384</v>
      </c>
      <c r="H144" s="84" t="s">
        <v>386</v>
      </c>
      <c r="I144" s="85" t="n">
        <v>1</v>
      </c>
      <c r="J144" s="86" t="n">
        <v>1</v>
      </c>
      <c r="K144" s="87" t="n">
        <v>0.0056</v>
      </c>
      <c r="L144" s="88" t="n">
        <v>309910120.394439</v>
      </c>
      <c r="M144" s="89" t="n">
        <v>310023120.393472</v>
      </c>
      <c r="N144" s="90" t="str">
        <f>MIN(MAX((B144-'Calculation_Assumptions'!$B$5+1)/'Calculation_Assumptions'!$B$7,0),1)</f>
      </c>
      <c r="O144" s="91" t="str">
        <f>L144*I144</f>
      </c>
      <c r="P144" s="92" t="str">
        <f>M144*I144</f>
      </c>
      <c r="Q144" s="93" t="str">
        <f>P144*'Calculation_Assumptions'!$B$14*J144*K144</f>
      </c>
      <c r="R144" s="94" t="str">
        <f>O144*N144*J144*K144</f>
      </c>
      <c r="S144" s="95" t="str">
        <f>R144-Q144</f>
      </c>
      <c r="T144" s="96" t="str">
        <f>1/(1+'Calculation_Assumptions'!$B$8)^(B144-'Calculation_Assumptions'!$B$2)</f>
      </c>
      <c r="U144" s="97" t="str">
        <f>Q144*T144</f>
      </c>
      <c r="V144" s="98" t="str">
        <f>R144*T144</f>
      </c>
      <c r="W144" s="99" t="str">
        <f>S144*T144</f>
      </c>
      <c r="X144" t="n">
        <v>0</v>
      </c>
      <c r="Y144" s="100" t="n">
        <v>2017</v>
      </c>
      <c r="Z144" t="s">
        <v>389</v>
      </c>
      <c r="AA144" s="101" t="str">
        <f>IF(G144="shared-count-once",COUNTIFS($A$2:$A$807,A144,$B$2:$B$807,B144,$D$2:$D$807,D144),1)</f>
      </c>
    </row>
    <row r="145">
      <c r="A145" t="s">
        <v>171</v>
      </c>
      <c r="B145" s="79" t="n">
        <v>2038</v>
      </c>
      <c r="C145" t="s">
        <v>171</v>
      </c>
      <c r="D145" s="80" t="s">
        <v>382</v>
      </c>
      <c r="E145" s="81" t="s">
        <v>383</v>
      </c>
      <c r="F145" s="82" t="s">
        <v>179</v>
      </c>
      <c r="G145" s="83" t="s">
        <v>384</v>
      </c>
      <c r="H145" s="84" t="s">
        <v>386</v>
      </c>
      <c r="I145" s="85" t="n">
        <v>1</v>
      </c>
      <c r="J145" s="86" t="n">
        <v>1</v>
      </c>
      <c r="K145" s="87" t="n">
        <v>0.0056</v>
      </c>
      <c r="L145" s="88" t="n">
        <v>311326436.78484</v>
      </c>
      <c r="M145" s="89" t="n">
        <v>311445837.134625</v>
      </c>
      <c r="N145" s="90" t="str">
        <f>MIN(MAX((B145-'Calculation_Assumptions'!$B$5+1)/'Calculation_Assumptions'!$B$7,0),1)</f>
      </c>
      <c r="O145" s="91" t="str">
        <f>L145*I145</f>
      </c>
      <c r="P145" s="92" t="str">
        <f>M145*I145</f>
      </c>
      <c r="Q145" s="93" t="str">
        <f>P145*'Calculation_Assumptions'!$B$14*J145*K145</f>
      </c>
      <c r="R145" s="94" t="str">
        <f>O145*N145*J145*K145</f>
      </c>
      <c r="S145" s="95" t="str">
        <f>R145-Q145</f>
      </c>
      <c r="T145" s="96" t="str">
        <f>1/(1+'Calculation_Assumptions'!$B$8)^(B145-'Calculation_Assumptions'!$B$2)</f>
      </c>
      <c r="U145" s="97" t="str">
        <f>Q145*T145</f>
      </c>
      <c r="V145" s="98" t="str">
        <f>R145*T145</f>
      </c>
      <c r="W145" s="99" t="str">
        <f>S145*T145</f>
      </c>
      <c r="X145" t="n">
        <v>0</v>
      </c>
      <c r="Y145" s="100" t="n">
        <v>2017</v>
      </c>
      <c r="Z145" t="s">
        <v>389</v>
      </c>
      <c r="AA145" s="101" t="str">
        <f>IF(G145="shared-count-once",COUNTIFS($A$2:$A$807,A145,$B$2:$B$807,B145,$D$2:$D$807,D145),1)</f>
      </c>
    </row>
    <row r="146">
      <c r="A146" t="s">
        <v>171</v>
      </c>
      <c r="B146" s="79" t="n">
        <v>2039</v>
      </c>
      <c r="C146" t="s">
        <v>171</v>
      </c>
      <c r="D146" s="80" t="s">
        <v>382</v>
      </c>
      <c r="E146" s="81" t="s">
        <v>383</v>
      </c>
      <c r="F146" s="82" t="s">
        <v>179</v>
      </c>
      <c r="G146" s="83" t="s">
        <v>384</v>
      </c>
      <c r="H146" s="84" t="s">
        <v>386</v>
      </c>
      <c r="I146" s="85" t="n">
        <v>1</v>
      </c>
      <c r="J146" s="86" t="n">
        <v>1</v>
      </c>
      <c r="K146" s="87" t="n">
        <v>0.0056</v>
      </c>
      <c r="L146" s="88" t="n">
        <v>312682101.699485</v>
      </c>
      <c r="M146" s="89" t="n">
        <v>312806989.715685</v>
      </c>
      <c r="N146" s="90" t="str">
        <f>MIN(MAX((B146-'Calculation_Assumptions'!$B$5+1)/'Calculation_Assumptions'!$B$7,0),1)</f>
      </c>
      <c r="O146" s="91" t="str">
        <f>L146*I146</f>
      </c>
      <c r="P146" s="92" t="str">
        <f>M146*I146</f>
      </c>
      <c r="Q146" s="93" t="str">
        <f>P146*'Calculation_Assumptions'!$B$14*J146*K146</f>
      </c>
      <c r="R146" s="94" t="str">
        <f>O146*N146*J146*K146</f>
      </c>
      <c r="S146" s="95" t="str">
        <f>R146-Q146</f>
      </c>
      <c r="T146" s="96" t="str">
        <f>1/(1+'Calculation_Assumptions'!$B$8)^(B146-'Calculation_Assumptions'!$B$2)</f>
      </c>
      <c r="U146" s="97" t="str">
        <f>Q146*T146</f>
      </c>
      <c r="V146" s="98" t="str">
        <f>R146*T146</f>
      </c>
      <c r="W146" s="99" t="str">
        <f>S146*T146</f>
      </c>
      <c r="X146" t="n">
        <v>0</v>
      </c>
      <c r="Y146" s="100" t="n">
        <v>2017</v>
      </c>
      <c r="Z146" t="s">
        <v>389</v>
      </c>
      <c r="AA146" s="101" t="str">
        <f>IF(G146="shared-count-once",COUNTIFS($A$2:$A$807,A146,$B$2:$B$807,B146,$D$2:$D$807,D146),1)</f>
      </c>
    </row>
    <row r="147">
      <c r="A147" t="s">
        <v>171</v>
      </c>
      <c r="B147" s="79" t="n">
        <v>2040</v>
      </c>
      <c r="C147" t="s">
        <v>171</v>
      </c>
      <c r="D147" s="80" t="s">
        <v>382</v>
      </c>
      <c r="E147" s="81" t="s">
        <v>383</v>
      </c>
      <c r="F147" s="82" t="s">
        <v>179</v>
      </c>
      <c r="G147" s="83" t="s">
        <v>384</v>
      </c>
      <c r="H147" s="84" t="s">
        <v>386</v>
      </c>
      <c r="I147" s="85" t="n">
        <v>1</v>
      </c>
      <c r="J147" s="86" t="n">
        <v>1</v>
      </c>
      <c r="K147" s="87" t="n">
        <v>0.0056</v>
      </c>
      <c r="L147" s="88" t="n">
        <v>313979516.508825</v>
      </c>
      <c r="M147" s="89" t="n">
        <v>314109251.582649</v>
      </c>
      <c r="N147" s="90" t="str">
        <f>MIN(MAX((B147-'Calculation_Assumptions'!$B$5+1)/'Calculation_Assumptions'!$B$7,0),1)</f>
      </c>
      <c r="O147" s="91" t="str">
        <f>L147*I147</f>
      </c>
      <c r="P147" s="92" t="str">
        <f>M147*I147</f>
      </c>
      <c r="Q147" s="93" t="str">
        <f>P147*'Calculation_Assumptions'!$B$14*J147*K147</f>
      </c>
      <c r="R147" s="94" t="str">
        <f>O147*N147*J147*K147</f>
      </c>
      <c r="S147" s="95" t="str">
        <f>R147-Q147</f>
      </c>
      <c r="T147" s="96" t="str">
        <f>1/(1+'Calculation_Assumptions'!$B$8)^(B147-'Calculation_Assumptions'!$B$2)</f>
      </c>
      <c r="U147" s="97" t="str">
        <f>Q147*T147</f>
      </c>
      <c r="V147" s="98" t="str">
        <f>R147*T147</f>
      </c>
      <c r="W147" s="99" t="str">
        <f>S147*T147</f>
      </c>
      <c r="X147" t="n">
        <v>0</v>
      </c>
      <c r="Y147" s="100" t="n">
        <v>2017</v>
      </c>
      <c r="Z147" t="s">
        <v>389</v>
      </c>
      <c r="AA147" s="101" t="str">
        <f>IF(G147="shared-count-once",COUNTIFS($A$2:$A$807,A147,$B$2:$B$807,B147,$D$2:$D$807,D147),1)</f>
      </c>
    </row>
    <row r="148">
      <c r="A148" t="s">
        <v>171</v>
      </c>
      <c r="B148" s="79" t="n">
        <v>2041</v>
      </c>
      <c r="C148" t="s">
        <v>171</v>
      </c>
      <c r="D148" s="80" t="s">
        <v>382</v>
      </c>
      <c r="E148" s="81" t="s">
        <v>383</v>
      </c>
      <c r="F148" s="82" t="s">
        <v>179</v>
      </c>
      <c r="G148" s="83" t="s">
        <v>384</v>
      </c>
      <c r="H148" s="84" t="s">
        <v>386</v>
      </c>
      <c r="I148" s="85" t="n">
        <v>1</v>
      </c>
      <c r="J148" s="86" t="n">
        <v>1</v>
      </c>
      <c r="K148" s="87" t="n">
        <v>0.0056</v>
      </c>
      <c r="L148" s="88" t="n">
        <v>315217643.445614</v>
      </c>
      <c r="M148" s="89" t="n">
        <v>315352079.812423</v>
      </c>
      <c r="N148" s="90" t="str">
        <f>MIN(MAX((B148-'Calculation_Assumptions'!$B$5+1)/'Calculation_Assumptions'!$B$7,0),1)</f>
      </c>
      <c r="O148" s="91" t="str">
        <f>L148*I148</f>
      </c>
      <c r="P148" s="92" t="str">
        <f>M148*I148</f>
      </c>
      <c r="Q148" s="93" t="str">
        <f>P148*'Calculation_Assumptions'!$B$14*J148*K148</f>
      </c>
      <c r="R148" s="94" t="str">
        <f>O148*N148*J148*K148</f>
      </c>
      <c r="S148" s="95" t="str">
        <f>R148-Q148</f>
      </c>
      <c r="T148" s="96" t="str">
        <f>1/(1+'Calculation_Assumptions'!$B$8)^(B148-'Calculation_Assumptions'!$B$2)</f>
      </c>
      <c r="U148" s="97" t="str">
        <f>Q148*T148</f>
      </c>
      <c r="V148" s="98" t="str">
        <f>R148*T148</f>
      </c>
      <c r="W148" s="99" t="str">
        <f>S148*T148</f>
      </c>
      <c r="X148" t="n">
        <v>0</v>
      </c>
      <c r="Y148" s="100" t="n">
        <v>2017</v>
      </c>
      <c r="Z148" t="s">
        <v>389</v>
      </c>
      <c r="AA148" s="101" t="str">
        <f>IF(G148="shared-count-once",COUNTIFS($A$2:$A$807,A148,$B$2:$B$807,B148,$D$2:$D$807,D148),1)</f>
      </c>
    </row>
    <row r="149">
      <c r="A149" t="s">
        <v>171</v>
      </c>
      <c r="B149" s="79" t="n">
        <v>2042</v>
      </c>
      <c r="C149" t="s">
        <v>171</v>
      </c>
      <c r="D149" s="80" t="s">
        <v>382</v>
      </c>
      <c r="E149" s="81" t="s">
        <v>383</v>
      </c>
      <c r="F149" s="82" t="s">
        <v>179</v>
      </c>
      <c r="G149" s="83" t="s">
        <v>384</v>
      </c>
      <c r="H149" s="84" t="s">
        <v>386</v>
      </c>
      <c r="I149" s="85" t="n">
        <v>1</v>
      </c>
      <c r="J149" s="86" t="n">
        <v>1</v>
      </c>
      <c r="K149" s="87" t="n">
        <v>0.0056</v>
      </c>
      <c r="L149" s="88" t="n">
        <v>316397323.800149</v>
      </c>
      <c r="M149" s="89" t="n">
        <v>316395286.312016</v>
      </c>
      <c r="N149" s="90" t="str">
        <f>MIN(MAX((B149-'Calculation_Assumptions'!$B$5+1)/'Calculation_Assumptions'!$B$7,0),1)</f>
      </c>
      <c r="O149" s="91" t="str">
        <f>L149*I149</f>
      </c>
      <c r="P149" s="92" t="str">
        <f>M149*I149</f>
      </c>
      <c r="Q149" s="93" t="str">
        <f>P149*'Calculation_Assumptions'!$B$14*J149*K149</f>
      </c>
      <c r="R149" s="94" t="str">
        <f>O149*N149*J149*K149</f>
      </c>
      <c r="S149" s="95" t="str">
        <f>R149-Q149</f>
      </c>
      <c r="T149" s="96" t="str">
        <f>1/(1+'Calculation_Assumptions'!$B$8)^(B149-'Calculation_Assumptions'!$B$2)</f>
      </c>
      <c r="U149" s="97" t="str">
        <f>Q149*T149</f>
      </c>
      <c r="V149" s="98" t="str">
        <f>R149*T149</f>
      </c>
      <c r="W149" s="99" t="str">
        <f>S149*T149</f>
      </c>
      <c r="X149" t="n">
        <v>0</v>
      </c>
      <c r="Y149" s="100" t="n">
        <v>2017</v>
      </c>
      <c r="Z149" t="s">
        <v>389</v>
      </c>
      <c r="AA149" s="101" t="str">
        <f>IF(G149="shared-count-once",COUNTIFS($A$2:$A$807,A149,$B$2:$B$807,B149,$D$2:$D$807,D149),1)</f>
      </c>
    </row>
    <row r="150">
      <c r="A150" t="s">
        <v>171</v>
      </c>
      <c r="B150" s="79" t="n">
        <v>2043</v>
      </c>
      <c r="C150" t="s">
        <v>171</v>
      </c>
      <c r="D150" s="80" t="s">
        <v>382</v>
      </c>
      <c r="E150" s="81" t="s">
        <v>383</v>
      </c>
      <c r="F150" s="82" t="s">
        <v>179</v>
      </c>
      <c r="G150" s="83" t="s">
        <v>384</v>
      </c>
      <c r="H150" s="84" t="s">
        <v>386</v>
      </c>
      <c r="I150" s="85" t="n">
        <v>1</v>
      </c>
      <c r="J150" s="86" t="n">
        <v>1</v>
      </c>
      <c r="K150" s="87" t="n">
        <v>0.0056</v>
      </c>
      <c r="L150" s="88" t="n">
        <v>317621990.669202</v>
      </c>
      <c r="M150" s="89" t="n">
        <v>317619735.688289</v>
      </c>
      <c r="N150" s="90" t="str">
        <f>MIN(MAX((B150-'Calculation_Assumptions'!$B$5+1)/'Calculation_Assumptions'!$B$7,0),1)</f>
      </c>
      <c r="O150" s="91" t="str">
        <f>L150*I150</f>
      </c>
      <c r="P150" s="92" t="str">
        <f>M150*I150</f>
      </c>
      <c r="Q150" s="93" t="str">
        <f>P150*'Calculation_Assumptions'!$B$14*J150*K150</f>
      </c>
      <c r="R150" s="94" t="str">
        <f>O150*N150*J150*K150</f>
      </c>
      <c r="S150" s="95" t="str">
        <f>R150-Q150</f>
      </c>
      <c r="T150" s="96" t="str">
        <f>1/(1+'Calculation_Assumptions'!$B$8)^(B150-'Calculation_Assumptions'!$B$2)</f>
      </c>
      <c r="U150" s="97" t="str">
        <f>Q150*T150</f>
      </c>
      <c r="V150" s="98" t="str">
        <f>R150*T150</f>
      </c>
      <c r="W150" s="99" t="str">
        <f>S150*T150</f>
      </c>
      <c r="X150" t="n">
        <v>0</v>
      </c>
      <c r="Y150" s="100" t="n">
        <v>2017</v>
      </c>
      <c r="Z150" t="s">
        <v>389</v>
      </c>
      <c r="AA150" s="101" t="str">
        <f>IF(G150="shared-count-once",COUNTIFS($A$2:$A$807,A150,$B$2:$B$807,B150,$D$2:$D$807,D150),1)</f>
      </c>
    </row>
    <row r="151">
      <c r="A151" t="s">
        <v>171</v>
      </c>
      <c r="B151" s="79" t="n">
        <v>2044</v>
      </c>
      <c r="C151" t="s">
        <v>171</v>
      </c>
      <c r="D151" s="80" t="s">
        <v>382</v>
      </c>
      <c r="E151" s="81" t="s">
        <v>383</v>
      </c>
      <c r="F151" s="82" t="s">
        <v>179</v>
      </c>
      <c r="G151" s="83" t="s">
        <v>384</v>
      </c>
      <c r="H151" s="84" t="s">
        <v>386</v>
      </c>
      <c r="I151" s="85" t="n">
        <v>1</v>
      </c>
      <c r="J151" s="86" t="n">
        <v>1</v>
      </c>
      <c r="K151" s="87" t="n">
        <v>0.0056</v>
      </c>
      <c r="L151" s="88" t="n">
        <v>318699585.516727</v>
      </c>
      <c r="M151" s="89" t="n">
        <v>318697135.863652</v>
      </c>
      <c r="N151" s="90" t="str">
        <f>MIN(MAX((B151-'Calculation_Assumptions'!$B$5+1)/'Calculation_Assumptions'!$B$7,0),1)</f>
      </c>
      <c r="O151" s="91" t="str">
        <f>L151*I151</f>
      </c>
      <c r="P151" s="92" t="str">
        <f>M151*I151</f>
      </c>
      <c r="Q151" s="93" t="str">
        <f>P151*'Calculation_Assumptions'!$B$14*J151*K151</f>
      </c>
      <c r="R151" s="94" t="str">
        <f>O151*N151*J151*K151</f>
      </c>
      <c r="S151" s="95" t="str">
        <f>R151-Q151</f>
      </c>
      <c r="T151" s="96" t="str">
        <f>1/(1+'Calculation_Assumptions'!$B$8)^(B151-'Calculation_Assumptions'!$B$2)</f>
      </c>
      <c r="U151" s="97" t="str">
        <f>Q151*T151</f>
      </c>
      <c r="V151" s="98" t="str">
        <f>R151*T151</f>
      </c>
      <c r="W151" s="99" t="str">
        <f>S151*T151</f>
      </c>
      <c r="X151" t="n">
        <v>0</v>
      </c>
      <c r="Y151" s="100" t="n">
        <v>2017</v>
      </c>
      <c r="Z151" t="s">
        <v>389</v>
      </c>
      <c r="AA151" s="101" t="str">
        <f>IF(G151="shared-count-once",COUNTIFS($A$2:$A$807,A151,$B$2:$B$807,B151,$D$2:$D$807,D151),1)</f>
      </c>
    </row>
    <row r="152">
      <c r="A152" t="s">
        <v>171</v>
      </c>
      <c r="B152" s="79" t="n">
        <v>2045</v>
      </c>
      <c r="C152" t="s">
        <v>171</v>
      </c>
      <c r="D152" s="80" t="s">
        <v>382</v>
      </c>
      <c r="E152" s="81" t="s">
        <v>383</v>
      </c>
      <c r="F152" s="82" t="s">
        <v>179</v>
      </c>
      <c r="G152" s="83" t="s">
        <v>384</v>
      </c>
      <c r="H152" s="84" t="s">
        <v>386</v>
      </c>
      <c r="I152" s="85" t="n">
        <v>1</v>
      </c>
      <c r="J152" s="86" t="n">
        <v>1</v>
      </c>
      <c r="K152" s="87" t="n">
        <v>0.0056</v>
      </c>
      <c r="L152" s="88" t="n">
        <v>319720484.123974</v>
      </c>
      <c r="M152" s="89" t="n">
        <v>319717840.85179</v>
      </c>
      <c r="N152" s="90" t="str">
        <f>MIN(MAX((B152-'Calculation_Assumptions'!$B$5+1)/'Calculation_Assumptions'!$B$7,0),1)</f>
      </c>
      <c r="O152" s="91" t="str">
        <f>L152*I152</f>
      </c>
      <c r="P152" s="92" t="str">
        <f>M152*I152</f>
      </c>
      <c r="Q152" s="93" t="str">
        <f>P152*'Calculation_Assumptions'!$B$14*J152*K152</f>
      </c>
      <c r="R152" s="94" t="str">
        <f>O152*N152*J152*K152</f>
      </c>
      <c r="S152" s="95" t="str">
        <f>R152-Q152</f>
      </c>
      <c r="T152" s="96" t="str">
        <f>1/(1+'Calculation_Assumptions'!$B$8)^(B152-'Calculation_Assumptions'!$B$2)</f>
      </c>
      <c r="U152" s="97" t="str">
        <f>Q152*T152</f>
      </c>
      <c r="V152" s="98" t="str">
        <f>R152*T152</f>
      </c>
      <c r="W152" s="99" t="str">
        <f>S152*T152</f>
      </c>
      <c r="X152" t="n">
        <v>0</v>
      </c>
      <c r="Y152" s="100" t="n">
        <v>2017</v>
      </c>
      <c r="Z152" t="s">
        <v>389</v>
      </c>
      <c r="AA152" s="101" t="str">
        <f>IF(G152="shared-count-once",COUNTIFS($A$2:$A$807,A152,$B$2:$B$807,B152,$D$2:$D$807,D152),1)</f>
      </c>
    </row>
    <row r="153">
      <c r="A153" t="s">
        <v>171</v>
      </c>
      <c r="B153" s="79" t="n">
        <v>2046</v>
      </c>
      <c r="C153" t="s">
        <v>171</v>
      </c>
      <c r="D153" s="80" t="s">
        <v>382</v>
      </c>
      <c r="E153" s="81" t="s">
        <v>383</v>
      </c>
      <c r="F153" s="82" t="s">
        <v>179</v>
      </c>
      <c r="G153" s="83" t="s">
        <v>384</v>
      </c>
      <c r="H153" s="84" t="s">
        <v>386</v>
      </c>
      <c r="I153" s="85" t="n">
        <v>1</v>
      </c>
      <c r="J153" s="86" t="n">
        <v>1</v>
      </c>
      <c r="K153" s="87" t="n">
        <v>0.0056</v>
      </c>
      <c r="L153" s="88" t="n">
        <v>320525487.141295</v>
      </c>
      <c r="M153" s="89" t="n">
        <v>320683879.806276</v>
      </c>
      <c r="N153" s="90" t="str">
        <f>MIN(MAX((B153-'Calculation_Assumptions'!$B$5+1)/'Calculation_Assumptions'!$B$7,0),1)</f>
      </c>
      <c r="O153" s="91" t="str">
        <f>L153*I153</f>
      </c>
      <c r="P153" s="92" t="str">
        <f>M153*I153</f>
      </c>
      <c r="Q153" s="93" t="str">
        <f>P153*'Calculation_Assumptions'!$B$14*J153*K153</f>
      </c>
      <c r="R153" s="94" t="str">
        <f>O153*N153*J153*K153</f>
      </c>
      <c r="S153" s="95" t="str">
        <f>R153-Q153</f>
      </c>
      <c r="T153" s="96" t="str">
        <f>1/(1+'Calculation_Assumptions'!$B$8)^(B153-'Calculation_Assumptions'!$B$2)</f>
      </c>
      <c r="U153" s="97" t="str">
        <f>Q153*T153</f>
      </c>
      <c r="V153" s="98" t="str">
        <f>R153*T153</f>
      </c>
      <c r="W153" s="99" t="str">
        <f>S153*T153</f>
      </c>
      <c r="X153" t="n">
        <v>0</v>
      </c>
      <c r="Y153" s="100" t="n">
        <v>2017</v>
      </c>
      <c r="Z153" t="s">
        <v>389</v>
      </c>
      <c r="AA153" s="101" t="str">
        <f>IF(G153="shared-count-once",COUNTIFS($A$2:$A$807,A153,$B$2:$B$807,B153,$D$2:$D$807,D153),1)</f>
      </c>
    </row>
    <row r="154">
      <c r="A154" t="s">
        <v>171</v>
      </c>
      <c r="B154" s="79" t="n">
        <v>2047</v>
      </c>
      <c r="C154" t="s">
        <v>171</v>
      </c>
      <c r="D154" s="80" t="s">
        <v>382</v>
      </c>
      <c r="E154" s="81" t="s">
        <v>383</v>
      </c>
      <c r="F154" s="82" t="s">
        <v>179</v>
      </c>
      <c r="G154" s="83" t="s">
        <v>384</v>
      </c>
      <c r="H154" s="84" t="s">
        <v>386</v>
      </c>
      <c r="I154" s="85" t="n">
        <v>1</v>
      </c>
      <c r="J154" s="86" t="n">
        <v>1</v>
      </c>
      <c r="K154" s="87" t="n">
        <v>0.0056</v>
      </c>
      <c r="L154" s="88" t="n">
        <v>321429181.256485</v>
      </c>
      <c r="M154" s="89" t="n">
        <v>321595541.389526</v>
      </c>
      <c r="N154" s="90" t="str">
        <f>MIN(MAX((B154-'Calculation_Assumptions'!$B$5+1)/'Calculation_Assumptions'!$B$7,0),1)</f>
      </c>
      <c r="O154" s="91" t="str">
        <f>L154*I154</f>
      </c>
      <c r="P154" s="92" t="str">
        <f>M154*I154</f>
      </c>
      <c r="Q154" s="93" t="str">
        <f>P154*'Calculation_Assumptions'!$B$14*J154*K154</f>
      </c>
      <c r="R154" s="94" t="str">
        <f>O154*N154*J154*K154</f>
      </c>
      <c r="S154" s="95" t="str">
        <f>R154-Q154</f>
      </c>
      <c r="T154" s="96" t="str">
        <f>1/(1+'Calculation_Assumptions'!$B$8)^(B154-'Calculation_Assumptions'!$B$2)</f>
      </c>
      <c r="U154" s="97" t="str">
        <f>Q154*T154</f>
      </c>
      <c r="V154" s="98" t="str">
        <f>R154*T154</f>
      </c>
      <c r="W154" s="99" t="str">
        <f>S154*T154</f>
      </c>
      <c r="X154" t="n">
        <v>0</v>
      </c>
      <c r="Y154" s="100" t="n">
        <v>2017</v>
      </c>
      <c r="Z154" t="s">
        <v>389</v>
      </c>
      <c r="AA154" s="101" t="str">
        <f>IF(G154="shared-count-once",COUNTIFS($A$2:$A$807,A154,$B$2:$B$807,B154,$D$2:$D$807,D154),1)</f>
      </c>
    </row>
    <row r="155">
      <c r="A155" t="s">
        <v>171</v>
      </c>
      <c r="B155" s="79" t="n">
        <v>2048</v>
      </c>
      <c r="C155" t="s">
        <v>171</v>
      </c>
      <c r="D155" s="80" t="s">
        <v>382</v>
      </c>
      <c r="E155" s="81" t="s">
        <v>383</v>
      </c>
      <c r="F155" s="82" t="s">
        <v>179</v>
      </c>
      <c r="G155" s="83" t="s">
        <v>384</v>
      </c>
      <c r="H155" s="84" t="s">
        <v>386</v>
      </c>
      <c r="I155" s="85" t="n">
        <v>1</v>
      </c>
      <c r="J155" s="86" t="n">
        <v>1</v>
      </c>
      <c r="K155" s="87" t="n">
        <v>0.0056</v>
      </c>
      <c r="L155" s="88" t="n">
        <v>322278321.168754</v>
      </c>
      <c r="M155" s="89" t="n">
        <v>322453622.669464</v>
      </c>
      <c r="N155" s="90" t="str">
        <f>MIN(MAX((B155-'Calculation_Assumptions'!$B$5+1)/'Calculation_Assumptions'!$B$7,0),1)</f>
      </c>
      <c r="O155" s="91" t="str">
        <f>L155*I155</f>
      </c>
      <c r="P155" s="92" t="str">
        <f>M155*I155</f>
      </c>
      <c r="Q155" s="93" t="str">
        <f>P155*'Calculation_Assumptions'!$B$14*J155*K155</f>
      </c>
      <c r="R155" s="94" t="str">
        <f>O155*N155*J155*K155</f>
      </c>
      <c r="S155" s="95" t="str">
        <f>R155-Q155</f>
      </c>
      <c r="T155" s="96" t="str">
        <f>1/(1+'Calculation_Assumptions'!$B$8)^(B155-'Calculation_Assumptions'!$B$2)</f>
      </c>
      <c r="U155" s="97" t="str">
        <f>Q155*T155</f>
      </c>
      <c r="V155" s="98" t="str">
        <f>R155*T155</f>
      </c>
      <c r="W155" s="99" t="str">
        <f>S155*T155</f>
      </c>
      <c r="X155" t="n">
        <v>0</v>
      </c>
      <c r="Y155" s="100" t="n">
        <v>2017</v>
      </c>
      <c r="Z155" t="s">
        <v>389</v>
      </c>
      <c r="AA155" s="101" t="str">
        <f>IF(G155="shared-count-once",COUNTIFS($A$2:$A$807,A155,$B$2:$B$807,B155,$D$2:$D$807,D155),1)</f>
      </c>
    </row>
    <row r="156">
      <c r="A156" t="s">
        <v>171</v>
      </c>
      <c r="B156" s="79" t="n">
        <v>2049</v>
      </c>
      <c r="C156" t="s">
        <v>171</v>
      </c>
      <c r="D156" s="80" t="s">
        <v>382</v>
      </c>
      <c r="E156" s="81" t="s">
        <v>383</v>
      </c>
      <c r="F156" s="82" t="s">
        <v>179</v>
      </c>
      <c r="G156" s="83" t="s">
        <v>384</v>
      </c>
      <c r="H156" s="84" t="s">
        <v>386</v>
      </c>
      <c r="I156" s="85" t="n">
        <v>1</v>
      </c>
      <c r="J156" s="86" t="n">
        <v>1</v>
      </c>
      <c r="K156" s="87" t="n">
        <v>0.0056</v>
      </c>
      <c r="L156" s="88" t="n">
        <v>323074152.799326</v>
      </c>
      <c r="M156" s="89" t="n">
        <v>323259246.716719</v>
      </c>
      <c r="N156" s="90" t="str">
        <f>MIN(MAX((B156-'Calculation_Assumptions'!$B$5+1)/'Calculation_Assumptions'!$B$7,0),1)</f>
      </c>
      <c r="O156" s="91" t="str">
        <f>L156*I156</f>
      </c>
      <c r="P156" s="92" t="str">
        <f>M156*I156</f>
      </c>
      <c r="Q156" s="93" t="str">
        <f>P156*'Calculation_Assumptions'!$B$14*J156*K156</f>
      </c>
      <c r="R156" s="94" t="str">
        <f>O156*N156*J156*K156</f>
      </c>
      <c r="S156" s="95" t="str">
        <f>R156-Q156</f>
      </c>
      <c r="T156" s="96" t="str">
        <f>1/(1+'Calculation_Assumptions'!$B$8)^(B156-'Calculation_Assumptions'!$B$2)</f>
      </c>
      <c r="U156" s="97" t="str">
        <f>Q156*T156</f>
      </c>
      <c r="V156" s="98" t="str">
        <f>R156*T156</f>
      </c>
      <c r="W156" s="99" t="str">
        <f>S156*T156</f>
      </c>
      <c r="X156" t="n">
        <v>0</v>
      </c>
      <c r="Y156" s="100" t="n">
        <v>2017</v>
      </c>
      <c r="Z156" t="s">
        <v>389</v>
      </c>
      <c r="AA156" s="101" t="str">
        <f>IF(G156="shared-count-once",COUNTIFS($A$2:$A$807,A156,$B$2:$B$807,B156,$D$2:$D$807,D156),1)</f>
      </c>
    </row>
    <row r="157">
      <c r="A157" t="s">
        <v>171</v>
      </c>
      <c r="B157" s="79" t="n">
        <v>2050</v>
      </c>
      <c r="C157" t="s">
        <v>171</v>
      </c>
      <c r="D157" s="80" t="s">
        <v>382</v>
      </c>
      <c r="E157" s="81" t="s">
        <v>383</v>
      </c>
      <c r="F157" s="82" t="s">
        <v>179</v>
      </c>
      <c r="G157" s="83" t="s">
        <v>384</v>
      </c>
      <c r="H157" s="84" t="s">
        <v>386</v>
      </c>
      <c r="I157" s="85" t="n">
        <v>1</v>
      </c>
      <c r="J157" s="86" t="n">
        <v>1</v>
      </c>
      <c r="K157" s="87" t="n">
        <v>0.0056</v>
      </c>
      <c r="L157" s="88" t="n">
        <v>323818128.131879</v>
      </c>
      <c r="M157" s="89" t="n">
        <v>324013738.182479</v>
      </c>
      <c r="N157" s="90" t="str">
        <f>MIN(MAX((B157-'Calculation_Assumptions'!$B$5+1)/'Calculation_Assumptions'!$B$7,0),1)</f>
      </c>
      <c r="O157" s="91" t="str">
        <f>L157*I157</f>
      </c>
      <c r="P157" s="92" t="str">
        <f>M157*I157</f>
      </c>
      <c r="Q157" s="93" t="str">
        <f>P157*'Calculation_Assumptions'!$B$14*J157*K157</f>
      </c>
      <c r="R157" s="94" t="str">
        <f>O157*N157*J157*K157</f>
      </c>
      <c r="S157" s="95" t="str">
        <f>R157-Q157</f>
      </c>
      <c r="T157" s="96" t="str">
        <f>1/(1+'Calculation_Assumptions'!$B$8)^(B157-'Calculation_Assumptions'!$B$2)</f>
      </c>
      <c r="U157" s="97" t="str">
        <f>Q157*T157</f>
      </c>
      <c r="V157" s="98" t="str">
        <f>R157*T157</f>
      </c>
      <c r="W157" s="99" t="str">
        <f>S157*T157</f>
      </c>
      <c r="X157" t="n">
        <v>0</v>
      </c>
      <c r="Y157" s="100" t="n">
        <v>2017</v>
      </c>
      <c r="Z157" t="s">
        <v>389</v>
      </c>
      <c r="AA157" s="101" t="str">
        <f>IF(G157="shared-count-once",COUNTIFS($A$2:$A$807,A157,$B$2:$B$807,B157,$D$2:$D$807,D157),1)</f>
      </c>
    </row>
    <row r="158">
      <c r="A158" t="s">
        <v>226</v>
      </c>
      <c r="B158" s="79" t="n">
        <v>2025</v>
      </c>
      <c r="C158" t="s">
        <v>226</v>
      </c>
      <c r="D158" s="80" t="s">
        <v>401</v>
      </c>
      <c r="E158" s="81" t="s">
        <v>402</v>
      </c>
      <c r="F158" s="82" t="s">
        <v>229</v>
      </c>
      <c r="G158" s="83" t="s">
        <v>395</v>
      </c>
      <c r="H158" s="84" t="s">
        <v>386</v>
      </c>
      <c r="I158" s="85" t="n">
        <v>1</v>
      </c>
      <c r="J158" s="86" t="n">
        <v>1</v>
      </c>
      <c r="K158" s="87" t="n">
        <v>0.008775</v>
      </c>
      <c r="L158" s="88" t="n">
        <v>288000821.106462</v>
      </c>
      <c r="M158" s="89" t="n">
        <v>288000821.106462</v>
      </c>
      <c r="N158" s="90" t="str">
        <f>MIN(MAX((B158-'Calculation_Assumptions'!$B$5+1)/'Calculation_Assumptions'!$B$7,0),1)</f>
      </c>
      <c r="O158" s="91" t="str">
        <f>L158*I158</f>
      </c>
      <c r="P158" s="92" t="str">
        <f>M158*I158</f>
      </c>
      <c r="Q158" s="93" t="str">
        <f>P158*'Calculation_Assumptions'!$B$14*J158*K158</f>
      </c>
      <c r="R158" s="94" t="str">
        <f>O158*N158*J158*K158</f>
      </c>
      <c r="S158" s="95" t="str">
        <f>R158-Q158</f>
      </c>
      <c r="T158" s="96" t="str">
        <f>1/(1+'Calculation_Assumptions'!$B$8)^(B158-'Calculation_Assumptions'!$B$2)</f>
      </c>
      <c r="U158" s="97" t="str">
        <f>Q158*T158</f>
      </c>
      <c r="V158" s="98" t="str">
        <f>R158*T158</f>
      </c>
      <c r="W158" s="99" t="str">
        <f>S158*T158</f>
      </c>
      <c r="X158" t="n">
        <v>0</v>
      </c>
      <c r="Y158" s="100" t="n">
        <v>2017</v>
      </c>
      <c r="Z158" t="s">
        <v>389</v>
      </c>
      <c r="AA158" s="101" t="str">
        <f>IF(G158="shared-count-once",COUNTIFS($A$2:$A$807,A158,$B$2:$B$807,B158,$D$2:$D$807,D158),1)</f>
      </c>
    </row>
    <row r="159">
      <c r="A159" t="s">
        <v>226</v>
      </c>
      <c r="B159" s="79" t="n">
        <v>2026</v>
      </c>
      <c r="C159" t="s">
        <v>226</v>
      </c>
      <c r="D159" s="80" t="s">
        <v>401</v>
      </c>
      <c r="E159" s="81" t="s">
        <v>402</v>
      </c>
      <c r="F159" s="82" t="s">
        <v>229</v>
      </c>
      <c r="G159" s="83" t="s">
        <v>395</v>
      </c>
      <c r="H159" s="84" t="s">
        <v>386</v>
      </c>
      <c r="I159" s="85" t="n">
        <v>1</v>
      </c>
      <c r="J159" s="86" t="n">
        <v>1</v>
      </c>
      <c r="K159" s="87" t="n">
        <v>0.008775</v>
      </c>
      <c r="L159" s="88" t="n">
        <v>290123496.103219</v>
      </c>
      <c r="M159" s="89" t="n">
        <v>290123496.103219</v>
      </c>
      <c r="N159" s="90" t="str">
        <f>MIN(MAX((B159-'Calculation_Assumptions'!$B$5+1)/'Calculation_Assumptions'!$B$7,0),1)</f>
      </c>
      <c r="O159" s="91" t="str">
        <f>L159*I159</f>
      </c>
      <c r="P159" s="92" t="str">
        <f>M159*I159</f>
      </c>
      <c r="Q159" s="93" t="str">
        <f>P159*'Calculation_Assumptions'!$B$14*J159*K159</f>
      </c>
      <c r="R159" s="94" t="str">
        <f>O159*N159*J159*K159</f>
      </c>
      <c r="S159" s="95" t="str">
        <f>R159-Q159</f>
      </c>
      <c r="T159" s="96" t="str">
        <f>1/(1+'Calculation_Assumptions'!$B$8)^(B159-'Calculation_Assumptions'!$B$2)</f>
      </c>
      <c r="U159" s="97" t="str">
        <f>Q159*T159</f>
      </c>
      <c r="V159" s="98" t="str">
        <f>R159*T159</f>
      </c>
      <c r="W159" s="99" t="str">
        <f>S159*T159</f>
      </c>
      <c r="X159" t="n">
        <v>0</v>
      </c>
      <c r="Y159" s="100" t="n">
        <v>2017</v>
      </c>
      <c r="Z159" t="s">
        <v>389</v>
      </c>
      <c r="AA159" s="101" t="str">
        <f>IF(G159="shared-count-once",COUNTIFS($A$2:$A$807,A159,$B$2:$B$807,B159,$D$2:$D$807,D159),1)</f>
      </c>
    </row>
    <row r="160">
      <c r="A160" t="s">
        <v>226</v>
      </c>
      <c r="B160" s="79" t="n">
        <v>2027</v>
      </c>
      <c r="C160" t="s">
        <v>226</v>
      </c>
      <c r="D160" s="80" t="s">
        <v>401</v>
      </c>
      <c r="E160" s="81" t="s">
        <v>402</v>
      </c>
      <c r="F160" s="82" t="s">
        <v>229</v>
      </c>
      <c r="G160" s="83" t="s">
        <v>395</v>
      </c>
      <c r="H160" s="84" t="s">
        <v>386</v>
      </c>
      <c r="I160" s="85" t="n">
        <v>1</v>
      </c>
      <c r="J160" s="86" t="n">
        <v>1</v>
      </c>
      <c r="K160" s="87" t="n">
        <v>0.008775</v>
      </c>
      <c r="L160" s="88" t="n">
        <v>292252895.096956</v>
      </c>
      <c r="M160" s="89" t="n">
        <v>292252895.096956</v>
      </c>
      <c r="N160" s="90" t="str">
        <f>MIN(MAX((B160-'Calculation_Assumptions'!$B$5+1)/'Calculation_Assumptions'!$B$7,0),1)</f>
      </c>
      <c r="O160" s="91" t="str">
        <f>L160*I160</f>
      </c>
      <c r="P160" s="92" t="str">
        <f>M160*I160</f>
      </c>
      <c r="Q160" s="93" t="str">
        <f>P160*'Calculation_Assumptions'!$B$14*J160*K160</f>
      </c>
      <c r="R160" s="94" t="str">
        <f>O160*N160*J160*K160</f>
      </c>
      <c r="S160" s="95" t="str">
        <f>R160-Q160</f>
      </c>
      <c r="T160" s="96" t="str">
        <f>1/(1+'Calculation_Assumptions'!$B$8)^(B160-'Calculation_Assumptions'!$B$2)</f>
      </c>
      <c r="U160" s="97" t="str">
        <f>Q160*T160</f>
      </c>
      <c r="V160" s="98" t="str">
        <f>R160*T160</f>
      </c>
      <c r="W160" s="99" t="str">
        <f>S160*T160</f>
      </c>
      <c r="X160" t="n">
        <v>0</v>
      </c>
      <c r="Y160" s="100" t="n">
        <v>2017</v>
      </c>
      <c r="Z160" t="s">
        <v>389</v>
      </c>
      <c r="AA160" s="101" t="str">
        <f>IF(G160="shared-count-once",COUNTIFS($A$2:$A$807,A160,$B$2:$B$807,B160,$D$2:$D$807,D160),1)</f>
      </c>
    </row>
    <row r="161">
      <c r="A161" t="s">
        <v>226</v>
      </c>
      <c r="B161" s="79" t="n">
        <v>2028</v>
      </c>
      <c r="C161" t="s">
        <v>226</v>
      </c>
      <c r="D161" s="80" t="s">
        <v>401</v>
      </c>
      <c r="E161" s="81" t="s">
        <v>402</v>
      </c>
      <c r="F161" s="82" t="s">
        <v>229</v>
      </c>
      <c r="G161" s="83" t="s">
        <v>395</v>
      </c>
      <c r="H161" s="84" t="s">
        <v>386</v>
      </c>
      <c r="I161" s="85" t="n">
        <v>1</v>
      </c>
      <c r="J161" s="86" t="n">
        <v>1</v>
      </c>
      <c r="K161" s="87" t="n">
        <v>0.008775</v>
      </c>
      <c r="L161" s="88" t="n">
        <v>294316087.587376</v>
      </c>
      <c r="M161" s="89" t="n">
        <v>294314895.305465</v>
      </c>
      <c r="N161" s="90" t="str">
        <f>MIN(MAX((B161-'Calculation_Assumptions'!$B$5+1)/'Calculation_Assumptions'!$B$7,0),1)</f>
      </c>
      <c r="O161" s="91" t="str">
        <f>L161*I161</f>
      </c>
      <c r="P161" s="92" t="str">
        <f>M161*I161</f>
      </c>
      <c r="Q161" s="93" t="str">
        <f>P161*'Calculation_Assumptions'!$B$14*J161*K161</f>
      </c>
      <c r="R161" s="94" t="str">
        <f>O161*N161*J161*K161</f>
      </c>
      <c r="S161" s="95" t="str">
        <f>R161-Q161</f>
      </c>
      <c r="T161" s="96" t="str">
        <f>1/(1+'Calculation_Assumptions'!$B$8)^(B161-'Calculation_Assumptions'!$B$2)</f>
      </c>
      <c r="U161" s="97" t="str">
        <f>Q161*T161</f>
      </c>
      <c r="V161" s="98" t="str">
        <f>R161*T161</f>
      </c>
      <c r="W161" s="99" t="str">
        <f>S161*T161</f>
      </c>
      <c r="X161" t="n">
        <v>0</v>
      </c>
      <c r="Y161" s="100" t="n">
        <v>2017</v>
      </c>
      <c r="Z161" t="s">
        <v>389</v>
      </c>
      <c r="AA161" s="101" t="str">
        <f>IF(G161="shared-count-once",COUNTIFS($A$2:$A$807,A161,$B$2:$B$807,B161,$D$2:$D$807,D161),1)</f>
      </c>
    </row>
    <row r="162">
      <c r="A162" t="s">
        <v>226</v>
      </c>
      <c r="B162" s="79" t="n">
        <v>2029</v>
      </c>
      <c r="C162" t="s">
        <v>226</v>
      </c>
      <c r="D162" s="80" t="s">
        <v>401</v>
      </c>
      <c r="E162" s="81" t="s">
        <v>402</v>
      </c>
      <c r="F162" s="82" t="s">
        <v>229</v>
      </c>
      <c r="G162" s="83" t="s">
        <v>395</v>
      </c>
      <c r="H162" s="84" t="s">
        <v>386</v>
      </c>
      <c r="I162" s="85" t="n">
        <v>1</v>
      </c>
      <c r="J162" s="86" t="n">
        <v>1</v>
      </c>
      <c r="K162" s="87" t="n">
        <v>0.008775</v>
      </c>
      <c r="L162" s="88" t="n">
        <v>296345383.254321</v>
      </c>
      <c r="M162" s="89" t="n">
        <v>296341062.542853</v>
      </c>
      <c r="N162" s="90" t="str">
        <f>MIN(MAX((B162-'Calculation_Assumptions'!$B$5+1)/'Calculation_Assumptions'!$B$7,0),1)</f>
      </c>
      <c r="O162" s="91" t="str">
        <f>L162*I162</f>
      </c>
      <c r="P162" s="92" t="str">
        <f>M162*I162</f>
      </c>
      <c r="Q162" s="93" t="str">
        <f>P162*'Calculation_Assumptions'!$B$14*J162*K162</f>
      </c>
      <c r="R162" s="94" t="str">
        <f>O162*N162*J162*K162</f>
      </c>
      <c r="S162" s="95" t="str">
        <f>R162-Q162</f>
      </c>
      <c r="T162" s="96" t="str">
        <f>1/(1+'Calculation_Assumptions'!$B$8)^(B162-'Calculation_Assumptions'!$B$2)</f>
      </c>
      <c r="U162" s="97" t="str">
        <f>Q162*T162</f>
      </c>
      <c r="V162" s="98" t="str">
        <f>R162*T162</f>
      </c>
      <c r="W162" s="99" t="str">
        <f>S162*T162</f>
      </c>
      <c r="X162" t="n">
        <v>0</v>
      </c>
      <c r="Y162" s="100" t="n">
        <v>2017</v>
      </c>
      <c r="Z162" t="s">
        <v>389</v>
      </c>
      <c r="AA162" s="101" t="str">
        <f>IF(G162="shared-count-once",COUNTIFS($A$2:$A$807,A162,$B$2:$B$807,B162,$D$2:$D$807,D162),1)</f>
      </c>
    </row>
    <row r="163">
      <c r="A163" t="s">
        <v>226</v>
      </c>
      <c r="B163" s="79" t="n">
        <v>2030</v>
      </c>
      <c r="C163" t="s">
        <v>226</v>
      </c>
      <c r="D163" s="80" t="s">
        <v>401</v>
      </c>
      <c r="E163" s="81" t="s">
        <v>402</v>
      </c>
      <c r="F163" s="82" t="s">
        <v>229</v>
      </c>
      <c r="G163" s="83" t="s">
        <v>395</v>
      </c>
      <c r="H163" s="84" t="s">
        <v>386</v>
      </c>
      <c r="I163" s="85" t="n">
        <v>1</v>
      </c>
      <c r="J163" s="86" t="n">
        <v>1</v>
      </c>
      <c r="K163" s="87" t="n">
        <v>0.008775</v>
      </c>
      <c r="L163" s="88" t="n">
        <v>298232615.44325</v>
      </c>
      <c r="M163" s="89" t="n">
        <v>298280286.057263</v>
      </c>
      <c r="N163" s="90" t="str">
        <f>MIN(MAX((B163-'Calculation_Assumptions'!$B$5+1)/'Calculation_Assumptions'!$B$7,0),1)</f>
      </c>
      <c r="O163" s="91" t="str">
        <f>L163*I163</f>
      </c>
      <c r="P163" s="92" t="str">
        <f>M163*I163</f>
      </c>
      <c r="Q163" s="93" t="str">
        <f>P163*'Calculation_Assumptions'!$B$14*J163*K163</f>
      </c>
      <c r="R163" s="94" t="str">
        <f>O163*N163*J163*K163</f>
      </c>
      <c r="S163" s="95" t="str">
        <f>R163-Q163</f>
      </c>
      <c r="T163" s="96" t="str">
        <f>1/(1+'Calculation_Assumptions'!$B$8)^(B163-'Calculation_Assumptions'!$B$2)</f>
      </c>
      <c r="U163" s="97" t="str">
        <f>Q163*T163</f>
      </c>
      <c r="V163" s="98" t="str">
        <f>R163*T163</f>
      </c>
      <c r="W163" s="99" t="str">
        <f>S163*T163</f>
      </c>
      <c r="X163" t="n">
        <v>0</v>
      </c>
      <c r="Y163" s="100" t="n">
        <v>2017</v>
      </c>
      <c r="Z163" t="s">
        <v>389</v>
      </c>
      <c r="AA163" s="101" t="str">
        <f>IF(G163="shared-count-once",COUNTIFS($A$2:$A$807,A163,$B$2:$B$807,B163,$D$2:$D$807,D163),1)</f>
      </c>
    </row>
    <row r="164">
      <c r="A164" t="s">
        <v>226</v>
      </c>
      <c r="B164" s="79" t="n">
        <v>2031</v>
      </c>
      <c r="C164" t="s">
        <v>226</v>
      </c>
      <c r="D164" s="80" t="s">
        <v>401</v>
      </c>
      <c r="E164" s="81" t="s">
        <v>402</v>
      </c>
      <c r="F164" s="82" t="s">
        <v>229</v>
      </c>
      <c r="G164" s="83" t="s">
        <v>395</v>
      </c>
      <c r="H164" s="84" t="s">
        <v>386</v>
      </c>
      <c r="I164" s="85" t="n">
        <v>1</v>
      </c>
      <c r="J164" s="86" t="n">
        <v>1</v>
      </c>
      <c r="K164" s="87" t="n">
        <v>0.008775</v>
      </c>
      <c r="L164" s="88" t="n">
        <v>300105794.673447</v>
      </c>
      <c r="M164" s="89" t="n">
        <v>300152603.254782</v>
      </c>
      <c r="N164" s="90" t="str">
        <f>MIN(MAX((B164-'Calculation_Assumptions'!$B$5+1)/'Calculation_Assumptions'!$B$7,0),1)</f>
      </c>
      <c r="O164" s="91" t="str">
        <f>L164*I164</f>
      </c>
      <c r="P164" s="92" t="str">
        <f>M164*I164</f>
      </c>
      <c r="Q164" s="93" t="str">
        <f>P164*'Calculation_Assumptions'!$B$14*J164*K164</f>
      </c>
      <c r="R164" s="94" t="str">
        <f>O164*N164*J164*K164</f>
      </c>
      <c r="S164" s="95" t="str">
        <f>R164-Q164</f>
      </c>
      <c r="T164" s="96" t="str">
        <f>1/(1+'Calculation_Assumptions'!$B$8)^(B164-'Calculation_Assumptions'!$B$2)</f>
      </c>
      <c r="U164" s="97" t="str">
        <f>Q164*T164</f>
      </c>
      <c r="V164" s="98" t="str">
        <f>R164*T164</f>
      </c>
      <c r="W164" s="99" t="str">
        <f>S164*T164</f>
      </c>
      <c r="X164" t="n">
        <v>0</v>
      </c>
      <c r="Y164" s="100" t="n">
        <v>2017</v>
      </c>
      <c r="Z164" t="s">
        <v>389</v>
      </c>
      <c r="AA164" s="101" t="str">
        <f>IF(G164="shared-count-once",COUNTIFS($A$2:$A$807,A164,$B$2:$B$807,B164,$D$2:$D$807,D164),1)</f>
      </c>
    </row>
    <row r="165">
      <c r="A165" t="s">
        <v>226</v>
      </c>
      <c r="B165" s="79" t="n">
        <v>2032</v>
      </c>
      <c r="C165" t="s">
        <v>226</v>
      </c>
      <c r="D165" s="80" t="s">
        <v>401</v>
      </c>
      <c r="E165" s="81" t="s">
        <v>402</v>
      </c>
      <c r="F165" s="82" t="s">
        <v>229</v>
      </c>
      <c r="G165" s="83" t="s">
        <v>395</v>
      </c>
      <c r="H165" s="84" t="s">
        <v>386</v>
      </c>
      <c r="I165" s="85" t="n">
        <v>1</v>
      </c>
      <c r="J165" s="86" t="n">
        <v>1</v>
      </c>
      <c r="K165" s="87" t="n">
        <v>0.008775</v>
      </c>
      <c r="L165" s="88" t="n">
        <v>301916308.76819</v>
      </c>
      <c r="M165" s="89" t="n">
        <v>301959399.633888</v>
      </c>
      <c r="N165" s="90" t="str">
        <f>MIN(MAX((B165-'Calculation_Assumptions'!$B$5+1)/'Calculation_Assumptions'!$B$7,0),1)</f>
      </c>
      <c r="O165" s="91" t="str">
        <f>L165*I165</f>
      </c>
      <c r="P165" s="92" t="str">
        <f>M165*I165</f>
      </c>
      <c r="Q165" s="93" t="str">
        <f>P165*'Calculation_Assumptions'!$B$14*J165*K165</f>
      </c>
      <c r="R165" s="94" t="str">
        <f>O165*N165*J165*K165</f>
      </c>
      <c r="S165" s="95" t="str">
        <f>R165-Q165</f>
      </c>
      <c r="T165" s="96" t="str">
        <f>1/(1+'Calculation_Assumptions'!$B$8)^(B165-'Calculation_Assumptions'!$B$2)</f>
      </c>
      <c r="U165" s="97" t="str">
        <f>Q165*T165</f>
      </c>
      <c r="V165" s="98" t="str">
        <f>R165*T165</f>
      </c>
      <c r="W165" s="99" t="str">
        <f>S165*T165</f>
      </c>
      <c r="X165" t="n">
        <v>0</v>
      </c>
      <c r="Y165" s="100" t="n">
        <v>2017</v>
      </c>
      <c r="Z165" t="s">
        <v>389</v>
      </c>
      <c r="AA165" s="101" t="str">
        <f>IF(G165="shared-count-once",COUNTIFS($A$2:$A$807,A165,$B$2:$B$807,B165,$D$2:$D$807,D165),1)</f>
      </c>
    </row>
    <row r="166">
      <c r="A166" t="s">
        <v>226</v>
      </c>
      <c r="B166" s="79" t="n">
        <v>2033</v>
      </c>
      <c r="C166" t="s">
        <v>226</v>
      </c>
      <c r="D166" s="80" t="s">
        <v>401</v>
      </c>
      <c r="E166" s="81" t="s">
        <v>402</v>
      </c>
      <c r="F166" s="82" t="s">
        <v>229</v>
      </c>
      <c r="G166" s="83" t="s">
        <v>395</v>
      </c>
      <c r="H166" s="84" t="s">
        <v>386</v>
      </c>
      <c r="I166" s="85" t="n">
        <v>1</v>
      </c>
      <c r="J166" s="86" t="n">
        <v>1</v>
      </c>
      <c r="K166" s="87" t="n">
        <v>0.008775</v>
      </c>
      <c r="L166" s="88" t="n">
        <v>303663537.020324</v>
      </c>
      <c r="M166" s="89" t="n">
        <v>303701035.202051</v>
      </c>
      <c r="N166" s="90" t="str">
        <f>MIN(MAX((B166-'Calculation_Assumptions'!$B$5+1)/'Calculation_Assumptions'!$B$7,0),1)</f>
      </c>
      <c r="O166" s="91" t="str">
        <f>L166*I166</f>
      </c>
      <c r="P166" s="92" t="str">
        <f>M166*I166</f>
      </c>
      <c r="Q166" s="93" t="str">
        <f>P166*'Calculation_Assumptions'!$B$14*J166*K166</f>
      </c>
      <c r="R166" s="94" t="str">
        <f>O166*N166*J166*K166</f>
      </c>
      <c r="S166" s="95" t="str">
        <f>R166-Q166</f>
      </c>
      <c r="T166" s="96" t="str">
        <f>1/(1+'Calculation_Assumptions'!$B$8)^(B166-'Calculation_Assumptions'!$B$2)</f>
      </c>
      <c r="U166" s="97" t="str">
        <f>Q166*T166</f>
      </c>
      <c r="V166" s="98" t="str">
        <f>R166*T166</f>
      </c>
      <c r="W166" s="99" t="str">
        <f>S166*T166</f>
      </c>
      <c r="X166" t="n">
        <v>0</v>
      </c>
      <c r="Y166" s="100" t="n">
        <v>2017</v>
      </c>
      <c r="Z166" t="s">
        <v>389</v>
      </c>
      <c r="AA166" s="101" t="str">
        <f>IF(G166="shared-count-once",COUNTIFS($A$2:$A$807,A166,$B$2:$B$807,B166,$D$2:$D$807,D166),1)</f>
      </c>
    </row>
    <row r="167">
      <c r="A167" t="s">
        <v>226</v>
      </c>
      <c r="B167" s="79" t="n">
        <v>2034</v>
      </c>
      <c r="C167" t="s">
        <v>226</v>
      </c>
      <c r="D167" s="80" t="s">
        <v>401</v>
      </c>
      <c r="E167" s="81" t="s">
        <v>402</v>
      </c>
      <c r="F167" s="82" t="s">
        <v>229</v>
      </c>
      <c r="G167" s="83" t="s">
        <v>395</v>
      </c>
      <c r="H167" s="84" t="s">
        <v>386</v>
      </c>
      <c r="I167" s="85" t="n">
        <v>1</v>
      </c>
      <c r="J167" s="86" t="n">
        <v>1</v>
      </c>
      <c r="K167" s="87" t="n">
        <v>0.008775</v>
      </c>
      <c r="L167" s="88" t="n">
        <v>305347684.168736</v>
      </c>
      <c r="M167" s="89" t="n">
        <v>305377998.093319</v>
      </c>
      <c r="N167" s="90" t="str">
        <f>MIN(MAX((B167-'Calculation_Assumptions'!$B$5+1)/'Calculation_Assumptions'!$B$7,0),1)</f>
      </c>
      <c r="O167" s="91" t="str">
        <f>L167*I167</f>
      </c>
      <c r="P167" s="92" t="str">
        <f>M167*I167</f>
      </c>
      <c r="Q167" s="93" t="str">
        <f>P167*'Calculation_Assumptions'!$B$14*J167*K167</f>
      </c>
      <c r="R167" s="94" t="str">
        <f>O167*N167*J167*K167</f>
      </c>
      <c r="S167" s="95" t="str">
        <f>R167-Q167</f>
      </c>
      <c r="T167" s="96" t="str">
        <f>1/(1+'Calculation_Assumptions'!$B$8)^(B167-'Calculation_Assumptions'!$B$2)</f>
      </c>
      <c r="U167" s="97" t="str">
        <f>Q167*T167</f>
      </c>
      <c r="V167" s="98" t="str">
        <f>R167*T167</f>
      </c>
      <c r="W167" s="99" t="str">
        <f>S167*T167</f>
      </c>
      <c r="X167" t="n">
        <v>0</v>
      </c>
      <c r="Y167" s="100" t="n">
        <v>2017</v>
      </c>
      <c r="Z167" t="s">
        <v>389</v>
      </c>
      <c r="AA167" s="101" t="str">
        <f>IF(G167="shared-count-once",COUNTIFS($A$2:$A$807,A167,$B$2:$B$807,B167,$D$2:$D$807,D167),1)</f>
      </c>
    </row>
    <row r="168">
      <c r="A168" t="s">
        <v>226</v>
      </c>
      <c r="B168" s="79" t="n">
        <v>2035</v>
      </c>
      <c r="C168" t="s">
        <v>226</v>
      </c>
      <c r="D168" s="80" t="s">
        <v>401</v>
      </c>
      <c r="E168" s="81" t="s">
        <v>402</v>
      </c>
      <c r="F168" s="82" t="s">
        <v>229</v>
      </c>
      <c r="G168" s="83" t="s">
        <v>395</v>
      </c>
      <c r="H168" s="84" t="s">
        <v>386</v>
      </c>
      <c r="I168" s="85" t="n">
        <v>1</v>
      </c>
      <c r="J168" s="86" t="n">
        <v>1</v>
      </c>
      <c r="K168" s="87" t="n">
        <v>0.008775</v>
      </c>
      <c r="L168" s="88" t="n">
        <v>306967561.259629</v>
      </c>
      <c r="M168" s="89" t="n">
        <v>306989258.29407</v>
      </c>
      <c r="N168" s="90" t="str">
        <f>MIN(MAX((B168-'Calculation_Assumptions'!$B$5+1)/'Calculation_Assumptions'!$B$7,0),1)</f>
      </c>
      <c r="O168" s="91" t="str">
        <f>L168*I168</f>
      </c>
      <c r="P168" s="92" t="str">
        <f>M168*I168</f>
      </c>
      <c r="Q168" s="93" t="str">
        <f>P168*'Calculation_Assumptions'!$B$14*J168*K168</f>
      </c>
      <c r="R168" s="94" t="str">
        <f>O168*N168*J168*K168</f>
      </c>
      <c r="S168" s="95" t="str">
        <f>R168-Q168</f>
      </c>
      <c r="T168" s="96" t="str">
        <f>1/(1+'Calculation_Assumptions'!$B$8)^(B168-'Calculation_Assumptions'!$B$2)</f>
      </c>
      <c r="U168" s="97" t="str">
        <f>Q168*T168</f>
      </c>
      <c r="V168" s="98" t="str">
        <f>R168*T168</f>
      </c>
      <c r="W168" s="99" t="str">
        <f>S168*T168</f>
      </c>
      <c r="X168" t="n">
        <v>0</v>
      </c>
      <c r="Y168" s="100" t="n">
        <v>2017</v>
      </c>
      <c r="Z168" t="s">
        <v>389</v>
      </c>
      <c r="AA168" s="101" t="str">
        <f>IF(G168="shared-count-once",COUNTIFS($A$2:$A$807,A168,$B$2:$B$807,B168,$D$2:$D$807,D168),1)</f>
      </c>
    </row>
    <row r="169">
      <c r="A169" t="s">
        <v>226</v>
      </c>
      <c r="B169" s="79" t="n">
        <v>2036</v>
      </c>
      <c r="C169" t="s">
        <v>226</v>
      </c>
      <c r="D169" s="80" t="s">
        <v>401</v>
      </c>
      <c r="E169" s="81" t="s">
        <v>402</v>
      </c>
      <c r="F169" s="82" t="s">
        <v>229</v>
      </c>
      <c r="G169" s="83" t="s">
        <v>395</v>
      </c>
      <c r="H169" s="84" t="s">
        <v>386</v>
      </c>
      <c r="I169" s="85" t="n">
        <v>1</v>
      </c>
      <c r="J169" s="86" t="n">
        <v>1</v>
      </c>
      <c r="K169" s="87" t="n">
        <v>0.008775</v>
      </c>
      <c r="L169" s="88" t="n">
        <v>308525742.312293</v>
      </c>
      <c r="M169" s="89" t="n">
        <v>308537399.672094</v>
      </c>
      <c r="N169" s="90" t="str">
        <f>MIN(MAX((B169-'Calculation_Assumptions'!$B$5+1)/'Calculation_Assumptions'!$B$7,0),1)</f>
      </c>
      <c r="O169" s="91" t="str">
        <f>L169*I169</f>
      </c>
      <c r="P169" s="92" t="str">
        <f>M169*I169</f>
      </c>
      <c r="Q169" s="93" t="str">
        <f>P169*'Calculation_Assumptions'!$B$14*J169*K169</f>
      </c>
      <c r="R169" s="94" t="str">
        <f>O169*N169*J169*K169</f>
      </c>
      <c r="S169" s="95" t="str">
        <f>R169-Q169</f>
      </c>
      <c r="T169" s="96" t="str">
        <f>1/(1+'Calculation_Assumptions'!$B$8)^(B169-'Calculation_Assumptions'!$B$2)</f>
      </c>
      <c r="U169" s="97" t="str">
        <f>Q169*T169</f>
      </c>
      <c r="V169" s="98" t="str">
        <f>R169*T169</f>
      </c>
      <c r="W169" s="99" t="str">
        <f>S169*T169</f>
      </c>
      <c r="X169" t="n">
        <v>0</v>
      </c>
      <c r="Y169" s="100" t="n">
        <v>2017</v>
      </c>
      <c r="Z169" t="s">
        <v>389</v>
      </c>
      <c r="AA169" s="101" t="str">
        <f>IF(G169="shared-count-once",COUNTIFS($A$2:$A$807,A169,$B$2:$B$807,B169,$D$2:$D$807,D169),1)</f>
      </c>
    </row>
    <row r="170">
      <c r="A170" t="s">
        <v>226</v>
      </c>
      <c r="B170" s="79" t="n">
        <v>2037</v>
      </c>
      <c r="C170" t="s">
        <v>226</v>
      </c>
      <c r="D170" s="80" t="s">
        <v>401</v>
      </c>
      <c r="E170" s="81" t="s">
        <v>402</v>
      </c>
      <c r="F170" s="82" t="s">
        <v>229</v>
      </c>
      <c r="G170" s="83" t="s">
        <v>395</v>
      </c>
      <c r="H170" s="84" t="s">
        <v>386</v>
      </c>
      <c r="I170" s="85" t="n">
        <v>1</v>
      </c>
      <c r="J170" s="86" t="n">
        <v>1</v>
      </c>
      <c r="K170" s="87" t="n">
        <v>0.008775</v>
      </c>
      <c r="L170" s="88" t="n">
        <v>310022803.830936</v>
      </c>
      <c r="M170" s="89" t="n">
        <v>310023120.393472</v>
      </c>
      <c r="N170" s="90" t="str">
        <f>MIN(MAX((B170-'Calculation_Assumptions'!$B$5+1)/'Calculation_Assumptions'!$B$7,0),1)</f>
      </c>
      <c r="O170" s="91" t="str">
        <f>L170*I170</f>
      </c>
      <c r="P170" s="92" t="str">
        <f>M170*I170</f>
      </c>
      <c r="Q170" s="93" t="str">
        <f>P170*'Calculation_Assumptions'!$B$14*J170*K170</f>
      </c>
      <c r="R170" s="94" t="str">
        <f>O170*N170*J170*K170</f>
      </c>
      <c r="S170" s="95" t="str">
        <f>R170-Q170</f>
      </c>
      <c r="T170" s="96" t="str">
        <f>1/(1+'Calculation_Assumptions'!$B$8)^(B170-'Calculation_Assumptions'!$B$2)</f>
      </c>
      <c r="U170" s="97" t="str">
        <f>Q170*T170</f>
      </c>
      <c r="V170" s="98" t="str">
        <f>R170*T170</f>
      </c>
      <c r="W170" s="99" t="str">
        <f>S170*T170</f>
      </c>
      <c r="X170" t="n">
        <v>0</v>
      </c>
      <c r="Y170" s="100" t="n">
        <v>2017</v>
      </c>
      <c r="Z170" t="s">
        <v>389</v>
      </c>
      <c r="AA170" s="101" t="str">
        <f>IF(G170="shared-count-once",COUNTIFS($A$2:$A$807,A170,$B$2:$B$807,B170,$D$2:$D$807,D170),1)</f>
      </c>
    </row>
    <row r="171">
      <c r="A171" t="s">
        <v>226</v>
      </c>
      <c r="B171" s="79" t="n">
        <v>2038</v>
      </c>
      <c r="C171" t="s">
        <v>226</v>
      </c>
      <c r="D171" s="80" t="s">
        <v>401</v>
      </c>
      <c r="E171" s="81" t="s">
        <v>402</v>
      </c>
      <c r="F171" s="82" t="s">
        <v>229</v>
      </c>
      <c r="G171" s="83" t="s">
        <v>395</v>
      </c>
      <c r="H171" s="84" t="s">
        <v>386</v>
      </c>
      <c r="I171" s="85" t="n">
        <v>1</v>
      </c>
      <c r="J171" s="86" t="n">
        <v>1</v>
      </c>
      <c r="K171" s="87" t="n">
        <v>0.008775</v>
      </c>
      <c r="L171" s="88" t="n">
        <v>311458654.251329</v>
      </c>
      <c r="M171" s="89" t="n">
        <v>311445837.134625</v>
      </c>
      <c r="N171" s="90" t="str">
        <f>MIN(MAX((B171-'Calculation_Assumptions'!$B$5+1)/'Calculation_Assumptions'!$B$7,0),1)</f>
      </c>
      <c r="O171" s="91" t="str">
        <f>L171*I171</f>
      </c>
      <c r="P171" s="92" t="str">
        <f>M171*I171</f>
      </c>
      <c r="Q171" s="93" t="str">
        <f>P171*'Calculation_Assumptions'!$B$14*J171*K171</f>
      </c>
      <c r="R171" s="94" t="str">
        <f>O171*N171*J171*K171</f>
      </c>
      <c r="S171" s="95" t="str">
        <f>R171-Q171</f>
      </c>
      <c r="T171" s="96" t="str">
        <f>1/(1+'Calculation_Assumptions'!$B$8)^(B171-'Calculation_Assumptions'!$B$2)</f>
      </c>
      <c r="U171" s="97" t="str">
        <f>Q171*T171</f>
      </c>
      <c r="V171" s="98" t="str">
        <f>R171*T171</f>
      </c>
      <c r="W171" s="99" t="str">
        <f>S171*T171</f>
      </c>
      <c r="X171" t="n">
        <v>0</v>
      </c>
      <c r="Y171" s="100" t="n">
        <v>2017</v>
      </c>
      <c r="Z171" t="s">
        <v>389</v>
      </c>
      <c r="AA171" s="101" t="str">
        <f>IF(G171="shared-count-once",COUNTIFS($A$2:$A$807,A171,$B$2:$B$807,B171,$D$2:$D$807,D171),1)</f>
      </c>
    </row>
    <row r="172">
      <c r="A172" t="s">
        <v>226</v>
      </c>
      <c r="B172" s="79" t="n">
        <v>2039</v>
      </c>
      <c r="C172" t="s">
        <v>226</v>
      </c>
      <c r="D172" s="80" t="s">
        <v>401</v>
      </c>
      <c r="E172" s="81" t="s">
        <v>402</v>
      </c>
      <c r="F172" s="82" t="s">
        <v>229</v>
      </c>
      <c r="G172" s="83" t="s">
        <v>395</v>
      </c>
      <c r="H172" s="84" t="s">
        <v>386</v>
      </c>
      <c r="I172" s="85" t="n">
        <v>1</v>
      </c>
      <c r="J172" s="86" t="n">
        <v>1</v>
      </c>
      <c r="K172" s="87" t="n">
        <v>0.008775</v>
      </c>
      <c r="L172" s="88" t="n">
        <v>312834418.832739</v>
      </c>
      <c r="M172" s="89" t="n">
        <v>312806989.715685</v>
      </c>
      <c r="N172" s="90" t="str">
        <f>MIN(MAX((B172-'Calculation_Assumptions'!$B$5+1)/'Calculation_Assumptions'!$B$7,0),1)</f>
      </c>
      <c r="O172" s="91" t="str">
        <f>L172*I172</f>
      </c>
      <c r="P172" s="92" t="str">
        <f>M172*I172</f>
      </c>
      <c r="Q172" s="93" t="str">
        <f>P172*'Calculation_Assumptions'!$B$14*J172*K172</f>
      </c>
      <c r="R172" s="94" t="str">
        <f>O172*N172*J172*K172</f>
      </c>
      <c r="S172" s="95" t="str">
        <f>R172-Q172</f>
      </c>
      <c r="T172" s="96" t="str">
        <f>1/(1+'Calculation_Assumptions'!$B$8)^(B172-'Calculation_Assumptions'!$B$2)</f>
      </c>
      <c r="U172" s="97" t="str">
        <f>Q172*T172</f>
      </c>
      <c r="V172" s="98" t="str">
        <f>R172*T172</f>
      </c>
      <c r="W172" s="99" t="str">
        <f>S172*T172</f>
      </c>
      <c r="X172" t="n">
        <v>0</v>
      </c>
      <c r="Y172" s="100" t="n">
        <v>2017</v>
      </c>
      <c r="Z172" t="s">
        <v>389</v>
      </c>
      <c r="AA172" s="101" t="str">
        <f>IF(G172="shared-count-once",COUNTIFS($A$2:$A$807,A172,$B$2:$B$807,B172,$D$2:$D$807,D172),1)</f>
      </c>
    </row>
    <row r="173">
      <c r="A173" t="s">
        <v>226</v>
      </c>
      <c r="B173" s="79" t="n">
        <v>2040</v>
      </c>
      <c r="C173" t="s">
        <v>226</v>
      </c>
      <c r="D173" s="80" t="s">
        <v>401</v>
      </c>
      <c r="E173" s="81" t="s">
        <v>402</v>
      </c>
      <c r="F173" s="82" t="s">
        <v>229</v>
      </c>
      <c r="G173" s="83" t="s">
        <v>395</v>
      </c>
      <c r="H173" s="84" t="s">
        <v>386</v>
      </c>
      <c r="I173" s="85" t="n">
        <v>1</v>
      </c>
      <c r="J173" s="86" t="n">
        <v>1</v>
      </c>
      <c r="K173" s="87" t="n">
        <v>0.008775</v>
      </c>
      <c r="L173" s="88" t="n">
        <v>314152348.275062</v>
      </c>
      <c r="M173" s="89" t="n">
        <v>314109251.582649</v>
      </c>
      <c r="N173" s="90" t="str">
        <f>MIN(MAX((B173-'Calculation_Assumptions'!$B$5+1)/'Calculation_Assumptions'!$B$7,0),1)</f>
      </c>
      <c r="O173" s="91" t="str">
        <f>L173*I173</f>
      </c>
      <c r="P173" s="92" t="str">
        <f>M173*I173</f>
      </c>
      <c r="Q173" s="93" t="str">
        <f>P173*'Calculation_Assumptions'!$B$14*J173*K173</f>
      </c>
      <c r="R173" s="94" t="str">
        <f>O173*N173*J173*K173</f>
      </c>
      <c r="S173" s="95" t="str">
        <f>R173-Q173</f>
      </c>
      <c r="T173" s="96" t="str">
        <f>1/(1+'Calculation_Assumptions'!$B$8)^(B173-'Calculation_Assumptions'!$B$2)</f>
      </c>
      <c r="U173" s="97" t="str">
        <f>Q173*T173</f>
      </c>
      <c r="V173" s="98" t="str">
        <f>R173*T173</f>
      </c>
      <c r="W173" s="99" t="str">
        <f>S173*T173</f>
      </c>
      <c r="X173" t="n">
        <v>0</v>
      </c>
      <c r="Y173" s="100" t="n">
        <v>2017</v>
      </c>
      <c r="Z173" t="s">
        <v>389</v>
      </c>
      <c r="AA173" s="101" t="str">
        <f>IF(G173="shared-count-once",COUNTIFS($A$2:$A$807,A173,$B$2:$B$807,B173,$D$2:$D$807,D173),1)</f>
      </c>
    </row>
    <row r="174">
      <c r="A174" t="s">
        <v>226</v>
      </c>
      <c r="B174" s="79" t="n">
        <v>2041</v>
      </c>
      <c r="C174" t="s">
        <v>226</v>
      </c>
      <c r="D174" s="80" t="s">
        <v>401</v>
      </c>
      <c r="E174" s="81" t="s">
        <v>402</v>
      </c>
      <c r="F174" s="82" t="s">
        <v>229</v>
      </c>
      <c r="G174" s="83" t="s">
        <v>395</v>
      </c>
      <c r="H174" s="84" t="s">
        <v>386</v>
      </c>
      <c r="I174" s="85" t="n">
        <v>1</v>
      </c>
      <c r="J174" s="86" t="n">
        <v>1</v>
      </c>
      <c r="K174" s="87" t="n">
        <v>0.008775</v>
      </c>
      <c r="L174" s="88" t="n">
        <v>315411317.461238</v>
      </c>
      <c r="M174" s="89" t="n">
        <v>315352079.812423</v>
      </c>
      <c r="N174" s="90" t="str">
        <f>MIN(MAX((B174-'Calculation_Assumptions'!$B$5+1)/'Calculation_Assumptions'!$B$7,0),1)</f>
      </c>
      <c r="O174" s="91" t="str">
        <f>L174*I174</f>
      </c>
      <c r="P174" s="92" t="str">
        <f>M174*I174</f>
      </c>
      <c r="Q174" s="93" t="str">
        <f>P174*'Calculation_Assumptions'!$B$14*J174*K174</f>
      </c>
      <c r="R174" s="94" t="str">
        <f>O174*N174*J174*K174</f>
      </c>
      <c r="S174" s="95" t="str">
        <f>R174-Q174</f>
      </c>
      <c r="T174" s="96" t="str">
        <f>1/(1+'Calculation_Assumptions'!$B$8)^(B174-'Calculation_Assumptions'!$B$2)</f>
      </c>
      <c r="U174" s="97" t="str">
        <f>Q174*T174</f>
      </c>
      <c r="V174" s="98" t="str">
        <f>R174*T174</f>
      </c>
      <c r="W174" s="99" t="str">
        <f>S174*T174</f>
      </c>
      <c r="X174" t="n">
        <v>0</v>
      </c>
      <c r="Y174" s="100" t="n">
        <v>2017</v>
      </c>
      <c r="Z174" t="s">
        <v>389</v>
      </c>
      <c r="AA174" s="101" t="str">
        <f>IF(G174="shared-count-once",COUNTIFS($A$2:$A$807,A174,$B$2:$B$807,B174,$D$2:$D$807,D174),1)</f>
      </c>
    </row>
    <row r="175">
      <c r="A175" t="s">
        <v>226</v>
      </c>
      <c r="B175" s="79" t="n">
        <v>2042</v>
      </c>
      <c r="C175" t="s">
        <v>226</v>
      </c>
      <c r="D175" s="80" t="s">
        <v>401</v>
      </c>
      <c r="E175" s="81" t="s">
        <v>402</v>
      </c>
      <c r="F175" s="82" t="s">
        <v>229</v>
      </c>
      <c r="G175" s="83" t="s">
        <v>395</v>
      </c>
      <c r="H175" s="84" t="s">
        <v>386</v>
      </c>
      <c r="I175" s="85" t="n">
        <v>1</v>
      </c>
      <c r="J175" s="86" t="n">
        <v>1</v>
      </c>
      <c r="K175" s="87" t="n">
        <v>0.008775</v>
      </c>
      <c r="L175" s="88" t="n">
        <v>316612061.242443</v>
      </c>
      <c r="M175" s="89" t="n">
        <v>316395286.312016</v>
      </c>
      <c r="N175" s="90" t="str">
        <f>MIN(MAX((B175-'Calculation_Assumptions'!$B$5+1)/'Calculation_Assumptions'!$B$7,0),1)</f>
      </c>
      <c r="O175" s="91" t="str">
        <f>L175*I175</f>
      </c>
      <c r="P175" s="92" t="str">
        <f>M175*I175</f>
      </c>
      <c r="Q175" s="93" t="str">
        <f>P175*'Calculation_Assumptions'!$B$14*J175*K175</f>
      </c>
      <c r="R175" s="94" t="str">
        <f>O175*N175*J175*K175</f>
      </c>
      <c r="S175" s="95" t="str">
        <f>R175-Q175</f>
      </c>
      <c r="T175" s="96" t="str">
        <f>1/(1+'Calculation_Assumptions'!$B$8)^(B175-'Calculation_Assumptions'!$B$2)</f>
      </c>
      <c r="U175" s="97" t="str">
        <f>Q175*T175</f>
      </c>
      <c r="V175" s="98" t="str">
        <f>R175*T175</f>
      </c>
      <c r="W175" s="99" t="str">
        <f>S175*T175</f>
      </c>
      <c r="X175" t="n">
        <v>0</v>
      </c>
      <c r="Y175" s="100" t="n">
        <v>2017</v>
      </c>
      <c r="Z175" t="s">
        <v>389</v>
      </c>
      <c r="AA175" s="101" t="str">
        <f>IF(G175="shared-count-once",COUNTIFS($A$2:$A$807,A175,$B$2:$B$807,B175,$D$2:$D$807,D175),1)</f>
      </c>
    </row>
    <row r="176">
      <c r="A176" t="s">
        <v>226</v>
      </c>
      <c r="B176" s="79" t="n">
        <v>2043</v>
      </c>
      <c r="C176" t="s">
        <v>226</v>
      </c>
      <c r="D176" s="80" t="s">
        <v>401</v>
      </c>
      <c r="E176" s="81" t="s">
        <v>402</v>
      </c>
      <c r="F176" s="82" t="s">
        <v>229</v>
      </c>
      <c r="G176" s="83" t="s">
        <v>395</v>
      </c>
      <c r="H176" s="84" t="s">
        <v>386</v>
      </c>
      <c r="I176" s="85" t="n">
        <v>1</v>
      </c>
      <c r="J176" s="86" t="n">
        <v>1</v>
      </c>
      <c r="K176" s="87" t="n">
        <v>0.008775</v>
      </c>
      <c r="L176" s="88" t="n">
        <v>317860726.367868</v>
      </c>
      <c r="M176" s="89" t="n">
        <v>317619735.688289</v>
      </c>
      <c r="N176" s="90" t="str">
        <f>MIN(MAX((B176-'Calculation_Assumptions'!$B$5+1)/'Calculation_Assumptions'!$B$7,0),1)</f>
      </c>
      <c r="O176" s="91" t="str">
        <f>L176*I176</f>
      </c>
      <c r="P176" s="92" t="str">
        <f>M176*I176</f>
      </c>
      <c r="Q176" s="93" t="str">
        <f>P176*'Calculation_Assumptions'!$B$14*J176*K176</f>
      </c>
      <c r="R176" s="94" t="str">
        <f>O176*N176*J176*K176</f>
      </c>
      <c r="S176" s="95" t="str">
        <f>R176-Q176</f>
      </c>
      <c r="T176" s="96" t="str">
        <f>1/(1+'Calculation_Assumptions'!$B$8)^(B176-'Calculation_Assumptions'!$B$2)</f>
      </c>
      <c r="U176" s="97" t="str">
        <f>Q176*T176</f>
      </c>
      <c r="V176" s="98" t="str">
        <f>R176*T176</f>
      </c>
      <c r="W176" s="99" t="str">
        <f>S176*T176</f>
      </c>
      <c r="X176" t="n">
        <v>0</v>
      </c>
      <c r="Y176" s="100" t="n">
        <v>2017</v>
      </c>
      <c r="Z176" t="s">
        <v>389</v>
      </c>
      <c r="AA176" s="101" t="str">
        <f>IF(G176="shared-count-once",COUNTIFS($A$2:$A$807,A176,$B$2:$B$807,B176,$D$2:$D$807,D176),1)</f>
      </c>
    </row>
    <row r="177">
      <c r="A177" t="s">
        <v>226</v>
      </c>
      <c r="B177" s="79" t="n">
        <v>2044</v>
      </c>
      <c r="C177" t="s">
        <v>226</v>
      </c>
      <c r="D177" s="80" t="s">
        <v>401</v>
      </c>
      <c r="E177" s="81" t="s">
        <v>402</v>
      </c>
      <c r="F177" s="82" t="s">
        <v>229</v>
      </c>
      <c r="G177" s="83" t="s">
        <v>395</v>
      </c>
      <c r="H177" s="84" t="s">
        <v>386</v>
      </c>
      <c r="I177" s="85" t="n">
        <v>1</v>
      </c>
      <c r="J177" s="86" t="n">
        <v>1</v>
      </c>
      <c r="K177" s="87" t="n">
        <v>0.008775</v>
      </c>
      <c r="L177" s="88" t="n">
        <v>318959877.837218</v>
      </c>
      <c r="M177" s="89" t="n">
        <v>318697135.863652</v>
      </c>
      <c r="N177" s="90" t="str">
        <f>MIN(MAX((B177-'Calculation_Assumptions'!$B$5+1)/'Calculation_Assumptions'!$B$7,0),1)</f>
      </c>
      <c r="O177" s="91" t="str">
        <f>L177*I177</f>
      </c>
      <c r="P177" s="92" t="str">
        <f>M177*I177</f>
      </c>
      <c r="Q177" s="93" t="str">
        <f>P177*'Calculation_Assumptions'!$B$14*J177*K177</f>
      </c>
      <c r="R177" s="94" t="str">
        <f>O177*N177*J177*K177</f>
      </c>
      <c r="S177" s="95" t="str">
        <f>R177-Q177</f>
      </c>
      <c r="T177" s="96" t="str">
        <f>1/(1+'Calculation_Assumptions'!$B$8)^(B177-'Calculation_Assumptions'!$B$2)</f>
      </c>
      <c r="U177" s="97" t="str">
        <f>Q177*T177</f>
      </c>
      <c r="V177" s="98" t="str">
        <f>R177*T177</f>
      </c>
      <c r="W177" s="99" t="str">
        <f>S177*T177</f>
      </c>
      <c r="X177" t="n">
        <v>0</v>
      </c>
      <c r="Y177" s="100" t="n">
        <v>2017</v>
      </c>
      <c r="Z177" t="s">
        <v>389</v>
      </c>
      <c r="AA177" s="101" t="str">
        <f>IF(G177="shared-count-once",COUNTIFS($A$2:$A$807,A177,$B$2:$B$807,B177,$D$2:$D$807,D177),1)</f>
      </c>
    </row>
    <row r="178">
      <c r="A178" t="s">
        <v>226</v>
      </c>
      <c r="B178" s="79" t="n">
        <v>2045</v>
      </c>
      <c r="C178" t="s">
        <v>226</v>
      </c>
      <c r="D178" s="80" t="s">
        <v>401</v>
      </c>
      <c r="E178" s="81" t="s">
        <v>402</v>
      </c>
      <c r="F178" s="82" t="s">
        <v>229</v>
      </c>
      <c r="G178" s="83" t="s">
        <v>395</v>
      </c>
      <c r="H178" s="84" t="s">
        <v>386</v>
      </c>
      <c r="I178" s="85" t="n">
        <v>1</v>
      </c>
      <c r="J178" s="86" t="n">
        <v>1</v>
      </c>
      <c r="K178" s="87" t="n">
        <v>0.008775</v>
      </c>
      <c r="L178" s="88" t="n">
        <v>320002322.177641</v>
      </c>
      <c r="M178" s="89" t="n">
        <v>319717840.85179</v>
      </c>
      <c r="N178" s="90" t="str">
        <f>MIN(MAX((B178-'Calculation_Assumptions'!$B$5+1)/'Calculation_Assumptions'!$B$7,0),1)</f>
      </c>
      <c r="O178" s="91" t="str">
        <f>L178*I178</f>
      </c>
      <c r="P178" s="92" t="str">
        <f>M178*I178</f>
      </c>
      <c r="Q178" s="93" t="str">
        <f>P178*'Calculation_Assumptions'!$B$14*J178*K178</f>
      </c>
      <c r="R178" s="94" t="str">
        <f>O178*N178*J178*K178</f>
      </c>
      <c r="S178" s="95" t="str">
        <f>R178-Q178</f>
      </c>
      <c r="T178" s="96" t="str">
        <f>1/(1+'Calculation_Assumptions'!$B$8)^(B178-'Calculation_Assumptions'!$B$2)</f>
      </c>
      <c r="U178" s="97" t="str">
        <f>Q178*T178</f>
      </c>
      <c r="V178" s="98" t="str">
        <f>R178*T178</f>
      </c>
      <c r="W178" s="99" t="str">
        <f>S178*T178</f>
      </c>
      <c r="X178" t="n">
        <v>0</v>
      </c>
      <c r="Y178" s="100" t="n">
        <v>2017</v>
      </c>
      <c r="Z178" t="s">
        <v>389</v>
      </c>
      <c r="AA178" s="101" t="str">
        <f>IF(G178="shared-count-once",COUNTIFS($A$2:$A$807,A178,$B$2:$B$807,B178,$D$2:$D$807,D178),1)</f>
      </c>
    </row>
    <row r="179">
      <c r="A179" t="s">
        <v>226</v>
      </c>
      <c r="B179" s="79" t="n">
        <v>2046</v>
      </c>
      <c r="C179" t="s">
        <v>226</v>
      </c>
      <c r="D179" s="80" t="s">
        <v>401</v>
      </c>
      <c r="E179" s="81" t="s">
        <v>402</v>
      </c>
      <c r="F179" s="82" t="s">
        <v>229</v>
      </c>
      <c r="G179" s="83" t="s">
        <v>395</v>
      </c>
      <c r="H179" s="84" t="s">
        <v>386</v>
      </c>
      <c r="I179" s="85" t="n">
        <v>1</v>
      </c>
      <c r="J179" s="86" t="n">
        <v>1</v>
      </c>
      <c r="K179" s="87" t="n">
        <v>0.008775</v>
      </c>
      <c r="L179" s="88" t="n">
        <v>320990034.746796</v>
      </c>
      <c r="M179" s="89" t="n">
        <v>320683879.806276</v>
      </c>
      <c r="N179" s="90" t="str">
        <f>MIN(MAX((B179-'Calculation_Assumptions'!$B$5+1)/'Calculation_Assumptions'!$B$7,0),1)</f>
      </c>
      <c r="O179" s="91" t="str">
        <f>L179*I179</f>
      </c>
      <c r="P179" s="92" t="str">
        <f>M179*I179</f>
      </c>
      <c r="Q179" s="93" t="str">
        <f>P179*'Calculation_Assumptions'!$B$14*J179*K179</f>
      </c>
      <c r="R179" s="94" t="str">
        <f>O179*N179*J179*K179</f>
      </c>
      <c r="S179" s="95" t="str">
        <f>R179-Q179</f>
      </c>
      <c r="T179" s="96" t="str">
        <f>1/(1+'Calculation_Assumptions'!$B$8)^(B179-'Calculation_Assumptions'!$B$2)</f>
      </c>
      <c r="U179" s="97" t="str">
        <f>Q179*T179</f>
      </c>
      <c r="V179" s="98" t="str">
        <f>R179*T179</f>
      </c>
      <c r="W179" s="99" t="str">
        <f>S179*T179</f>
      </c>
      <c r="X179" t="n">
        <v>0</v>
      </c>
      <c r="Y179" s="100" t="n">
        <v>2017</v>
      </c>
      <c r="Z179" t="s">
        <v>389</v>
      </c>
      <c r="AA179" s="101" t="str">
        <f>IF(G179="shared-count-once",COUNTIFS($A$2:$A$807,A179,$B$2:$B$807,B179,$D$2:$D$807,D179),1)</f>
      </c>
    </row>
    <row r="180">
      <c r="A180" t="s">
        <v>226</v>
      </c>
      <c r="B180" s="79" t="n">
        <v>2047</v>
      </c>
      <c r="C180" t="s">
        <v>226</v>
      </c>
      <c r="D180" s="80" t="s">
        <v>401</v>
      </c>
      <c r="E180" s="81" t="s">
        <v>402</v>
      </c>
      <c r="F180" s="82" t="s">
        <v>229</v>
      </c>
      <c r="G180" s="83" t="s">
        <v>395</v>
      </c>
      <c r="H180" s="84" t="s">
        <v>386</v>
      </c>
      <c r="I180" s="85" t="n">
        <v>1</v>
      </c>
      <c r="J180" s="86" t="n">
        <v>1</v>
      </c>
      <c r="K180" s="87" t="n">
        <v>0.008775</v>
      </c>
      <c r="L180" s="88" t="n">
        <v>321923221.535641</v>
      </c>
      <c r="M180" s="89" t="n">
        <v>321595541.389526</v>
      </c>
      <c r="N180" s="90" t="str">
        <f>MIN(MAX((B180-'Calculation_Assumptions'!$B$5+1)/'Calculation_Assumptions'!$B$7,0),1)</f>
      </c>
      <c r="O180" s="91" t="str">
        <f>L180*I180</f>
      </c>
      <c r="P180" s="92" t="str">
        <f>M180*I180</f>
      </c>
      <c r="Q180" s="93" t="str">
        <f>P180*'Calculation_Assumptions'!$B$14*J180*K180</f>
      </c>
      <c r="R180" s="94" t="str">
        <f>O180*N180*J180*K180</f>
      </c>
      <c r="S180" s="95" t="str">
        <f>R180-Q180</f>
      </c>
      <c r="T180" s="96" t="str">
        <f>1/(1+'Calculation_Assumptions'!$B$8)^(B180-'Calculation_Assumptions'!$B$2)</f>
      </c>
      <c r="U180" s="97" t="str">
        <f>Q180*T180</f>
      </c>
      <c r="V180" s="98" t="str">
        <f>R180*T180</f>
      </c>
      <c r="W180" s="99" t="str">
        <f>S180*T180</f>
      </c>
      <c r="X180" t="n">
        <v>0</v>
      </c>
      <c r="Y180" s="100" t="n">
        <v>2017</v>
      </c>
      <c r="Z180" t="s">
        <v>389</v>
      </c>
      <c r="AA180" s="101" t="str">
        <f>IF(G180="shared-count-once",COUNTIFS($A$2:$A$807,A180,$B$2:$B$807,B180,$D$2:$D$807,D180),1)</f>
      </c>
    </row>
    <row r="181">
      <c r="A181" t="s">
        <v>226</v>
      </c>
      <c r="B181" s="79" t="n">
        <v>2048</v>
      </c>
      <c r="C181" t="s">
        <v>226</v>
      </c>
      <c r="D181" s="80" t="s">
        <v>401</v>
      </c>
      <c r="E181" s="81" t="s">
        <v>402</v>
      </c>
      <c r="F181" s="82" t="s">
        <v>229</v>
      </c>
      <c r="G181" s="83" t="s">
        <v>395</v>
      </c>
      <c r="H181" s="84" t="s">
        <v>386</v>
      </c>
      <c r="I181" s="85" t="n">
        <v>1</v>
      </c>
      <c r="J181" s="86" t="n">
        <v>1</v>
      </c>
      <c r="K181" s="87" t="n">
        <v>0.008775</v>
      </c>
      <c r="L181" s="88" t="n">
        <v>322802605.412204</v>
      </c>
      <c r="M181" s="89" t="n">
        <v>322453622.669464</v>
      </c>
      <c r="N181" s="90" t="str">
        <f>MIN(MAX((B181-'Calculation_Assumptions'!$B$5+1)/'Calculation_Assumptions'!$B$7,0),1)</f>
      </c>
      <c r="O181" s="91" t="str">
        <f>L181*I181</f>
      </c>
      <c r="P181" s="92" t="str">
        <f>M181*I181</f>
      </c>
      <c r="Q181" s="93" t="str">
        <f>P181*'Calculation_Assumptions'!$B$14*J181*K181</f>
      </c>
      <c r="R181" s="94" t="str">
        <f>O181*N181*J181*K181</f>
      </c>
      <c r="S181" s="95" t="str">
        <f>R181-Q181</f>
      </c>
      <c r="T181" s="96" t="str">
        <f>1/(1+'Calculation_Assumptions'!$B$8)^(B181-'Calculation_Assumptions'!$B$2)</f>
      </c>
      <c r="U181" s="97" t="str">
        <f>Q181*T181</f>
      </c>
      <c r="V181" s="98" t="str">
        <f>R181*T181</f>
      </c>
      <c r="W181" s="99" t="str">
        <f>S181*T181</f>
      </c>
      <c r="X181" t="n">
        <v>0</v>
      </c>
      <c r="Y181" s="100" t="n">
        <v>2017</v>
      </c>
      <c r="Z181" t="s">
        <v>389</v>
      </c>
      <c r="AA181" s="101" t="str">
        <f>IF(G181="shared-count-once",COUNTIFS($A$2:$A$807,A181,$B$2:$B$807,B181,$D$2:$D$807,D181),1)</f>
      </c>
    </row>
    <row r="182">
      <c r="A182" t="s">
        <v>226</v>
      </c>
      <c r="B182" s="79" t="n">
        <v>2049</v>
      </c>
      <c r="C182" t="s">
        <v>226</v>
      </c>
      <c r="D182" s="80" t="s">
        <v>401</v>
      </c>
      <c r="E182" s="81" t="s">
        <v>402</v>
      </c>
      <c r="F182" s="82" t="s">
        <v>229</v>
      </c>
      <c r="G182" s="83" t="s">
        <v>395</v>
      </c>
      <c r="H182" s="84" t="s">
        <v>386</v>
      </c>
      <c r="I182" s="85" t="n">
        <v>1</v>
      </c>
      <c r="J182" s="86" t="n">
        <v>1</v>
      </c>
      <c r="K182" s="87" t="n">
        <v>0.008775</v>
      </c>
      <c r="L182" s="88" t="n">
        <v>323629242.171302</v>
      </c>
      <c r="M182" s="89" t="n">
        <v>323259246.716719</v>
      </c>
      <c r="N182" s="90" t="str">
        <f>MIN(MAX((B182-'Calculation_Assumptions'!$B$5+1)/'Calculation_Assumptions'!$B$7,0),1)</f>
      </c>
      <c r="O182" s="91" t="str">
        <f>L182*I182</f>
      </c>
      <c r="P182" s="92" t="str">
        <f>M182*I182</f>
      </c>
      <c r="Q182" s="93" t="str">
        <f>P182*'Calculation_Assumptions'!$B$14*J182*K182</f>
      </c>
      <c r="R182" s="94" t="str">
        <f>O182*N182*J182*K182</f>
      </c>
      <c r="S182" s="95" t="str">
        <f>R182-Q182</f>
      </c>
      <c r="T182" s="96" t="str">
        <f>1/(1+'Calculation_Assumptions'!$B$8)^(B182-'Calculation_Assumptions'!$B$2)</f>
      </c>
      <c r="U182" s="97" t="str">
        <f>Q182*T182</f>
      </c>
      <c r="V182" s="98" t="str">
        <f>R182*T182</f>
      </c>
      <c r="W182" s="99" t="str">
        <f>S182*T182</f>
      </c>
      <c r="X182" t="n">
        <v>0</v>
      </c>
      <c r="Y182" s="100" t="n">
        <v>2017</v>
      </c>
      <c r="Z182" t="s">
        <v>389</v>
      </c>
      <c r="AA182" s="101" t="str">
        <f>IF(G182="shared-count-once",COUNTIFS($A$2:$A$807,A182,$B$2:$B$807,B182,$D$2:$D$807,D182),1)</f>
      </c>
    </row>
    <row r="183">
      <c r="A183" t="s">
        <v>226</v>
      </c>
      <c r="B183" s="79" t="n">
        <v>2050</v>
      </c>
      <c r="C183" t="s">
        <v>226</v>
      </c>
      <c r="D183" s="80" t="s">
        <v>401</v>
      </c>
      <c r="E183" s="81" t="s">
        <v>402</v>
      </c>
      <c r="F183" s="82" t="s">
        <v>229</v>
      </c>
      <c r="G183" s="83" t="s">
        <v>395</v>
      </c>
      <c r="H183" s="84" t="s">
        <v>386</v>
      </c>
      <c r="I183" s="85" t="n">
        <v>1</v>
      </c>
      <c r="J183" s="86" t="n">
        <v>1</v>
      </c>
      <c r="K183" s="87" t="n">
        <v>0.008775</v>
      </c>
      <c r="L183" s="88" t="n">
        <v>324404391.309263</v>
      </c>
      <c r="M183" s="89" t="n">
        <v>324013738.182479</v>
      </c>
      <c r="N183" s="90" t="str">
        <f>MIN(MAX((B183-'Calculation_Assumptions'!$B$5+1)/'Calculation_Assumptions'!$B$7,0),1)</f>
      </c>
      <c r="O183" s="91" t="str">
        <f>L183*I183</f>
      </c>
      <c r="P183" s="92" t="str">
        <f>M183*I183</f>
      </c>
      <c r="Q183" s="93" t="str">
        <f>P183*'Calculation_Assumptions'!$B$14*J183*K183</f>
      </c>
      <c r="R183" s="94" t="str">
        <f>O183*N183*J183*K183</f>
      </c>
      <c r="S183" s="95" t="str">
        <f>R183-Q183</f>
      </c>
      <c r="T183" s="96" t="str">
        <f>1/(1+'Calculation_Assumptions'!$B$8)^(B183-'Calculation_Assumptions'!$B$2)</f>
      </c>
      <c r="U183" s="97" t="str">
        <f>Q183*T183</f>
      </c>
      <c r="V183" s="98" t="str">
        <f>R183*T183</f>
      </c>
      <c r="W183" s="99" t="str">
        <f>S183*T183</f>
      </c>
      <c r="X183" t="n">
        <v>0</v>
      </c>
      <c r="Y183" s="100" t="n">
        <v>2017</v>
      </c>
      <c r="Z183" t="s">
        <v>389</v>
      </c>
      <c r="AA183" s="101" t="str">
        <f>IF(G183="shared-count-once",COUNTIFS($A$2:$A$807,A183,$B$2:$B$807,B183,$D$2:$D$807,D183),1)</f>
      </c>
    </row>
    <row r="184">
      <c r="A184" t="s">
        <v>212</v>
      </c>
      <c r="B184" s="79" t="n">
        <v>2025</v>
      </c>
      <c r="C184" t="s">
        <v>212</v>
      </c>
      <c r="D184" s="80" t="s">
        <v>397</v>
      </c>
      <c r="E184" s="81" t="s">
        <v>398</v>
      </c>
      <c r="F184" s="82" t="s">
        <v>215</v>
      </c>
      <c r="G184" s="83" t="s">
        <v>395</v>
      </c>
      <c r="H184" s="84" t="s">
        <v>386</v>
      </c>
      <c r="I184" s="85" t="n">
        <v>1</v>
      </c>
      <c r="J184" s="86" t="n">
        <v>1</v>
      </c>
      <c r="K184" s="87" t="n">
        <v>0.008775</v>
      </c>
      <c r="L184" s="88" t="n">
        <v>288000821.106462</v>
      </c>
      <c r="M184" s="89" t="n">
        <v>288000821.106462</v>
      </c>
      <c r="N184" s="90" t="str">
        <f>MIN(MAX((B184-'Calculation_Assumptions'!$B$5+1)/'Calculation_Assumptions'!$B$7,0),1)</f>
      </c>
      <c r="O184" s="91" t="str">
        <f>L184*I184</f>
      </c>
      <c r="P184" s="92" t="str">
        <f>M184*I184</f>
      </c>
      <c r="Q184" s="93" t="str">
        <f>P184*'Calculation_Assumptions'!$B$14*J184*K184</f>
      </c>
      <c r="R184" s="94" t="str">
        <f>O184*N184*J184*K184</f>
      </c>
      <c r="S184" s="95" t="str">
        <f>R184-Q184</f>
      </c>
      <c r="T184" s="96" t="str">
        <f>1/(1+'Calculation_Assumptions'!$B$8)^(B184-'Calculation_Assumptions'!$B$2)</f>
      </c>
      <c r="U184" s="97" t="str">
        <f>Q184*T184</f>
      </c>
      <c r="V184" s="98" t="str">
        <f>R184*T184</f>
      </c>
      <c r="W184" s="99" t="str">
        <f>S184*T184</f>
      </c>
      <c r="X184" t="n">
        <v>0</v>
      </c>
      <c r="Y184" s="100" t="n">
        <v>2017</v>
      </c>
      <c r="Z184" t="s">
        <v>389</v>
      </c>
      <c r="AA184" s="101" t="str">
        <f>IF(G184="shared-count-once",COUNTIFS($A$2:$A$807,A184,$B$2:$B$807,B184,$D$2:$D$807,D184),1)</f>
      </c>
    </row>
    <row r="185">
      <c r="A185" t="s">
        <v>212</v>
      </c>
      <c r="B185" s="79" t="n">
        <v>2026</v>
      </c>
      <c r="C185" t="s">
        <v>212</v>
      </c>
      <c r="D185" s="80" t="s">
        <v>397</v>
      </c>
      <c r="E185" s="81" t="s">
        <v>398</v>
      </c>
      <c r="F185" s="82" t="s">
        <v>215</v>
      </c>
      <c r="G185" s="83" t="s">
        <v>395</v>
      </c>
      <c r="H185" s="84" t="s">
        <v>386</v>
      </c>
      <c r="I185" s="85" t="n">
        <v>1</v>
      </c>
      <c r="J185" s="86" t="n">
        <v>1</v>
      </c>
      <c r="K185" s="87" t="n">
        <v>0.008775</v>
      </c>
      <c r="L185" s="88" t="n">
        <v>290123496.103219</v>
      </c>
      <c r="M185" s="89" t="n">
        <v>290123496.103219</v>
      </c>
      <c r="N185" s="90" t="str">
        <f>MIN(MAX((B185-'Calculation_Assumptions'!$B$5+1)/'Calculation_Assumptions'!$B$7,0),1)</f>
      </c>
      <c r="O185" s="91" t="str">
        <f>L185*I185</f>
      </c>
      <c r="P185" s="92" t="str">
        <f>M185*I185</f>
      </c>
      <c r="Q185" s="93" t="str">
        <f>P185*'Calculation_Assumptions'!$B$14*J185*K185</f>
      </c>
      <c r="R185" s="94" t="str">
        <f>O185*N185*J185*K185</f>
      </c>
      <c r="S185" s="95" t="str">
        <f>R185-Q185</f>
      </c>
      <c r="T185" s="96" t="str">
        <f>1/(1+'Calculation_Assumptions'!$B$8)^(B185-'Calculation_Assumptions'!$B$2)</f>
      </c>
      <c r="U185" s="97" t="str">
        <f>Q185*T185</f>
      </c>
      <c r="V185" s="98" t="str">
        <f>R185*T185</f>
      </c>
      <c r="W185" s="99" t="str">
        <f>S185*T185</f>
      </c>
      <c r="X185" t="n">
        <v>0</v>
      </c>
      <c r="Y185" s="100" t="n">
        <v>2017</v>
      </c>
      <c r="Z185" t="s">
        <v>389</v>
      </c>
      <c r="AA185" s="101" t="str">
        <f>IF(G185="shared-count-once",COUNTIFS($A$2:$A$807,A185,$B$2:$B$807,B185,$D$2:$D$807,D185),1)</f>
      </c>
    </row>
    <row r="186">
      <c r="A186" t="s">
        <v>212</v>
      </c>
      <c r="B186" s="79" t="n">
        <v>2027</v>
      </c>
      <c r="C186" t="s">
        <v>212</v>
      </c>
      <c r="D186" s="80" t="s">
        <v>397</v>
      </c>
      <c r="E186" s="81" t="s">
        <v>398</v>
      </c>
      <c r="F186" s="82" t="s">
        <v>215</v>
      </c>
      <c r="G186" s="83" t="s">
        <v>395</v>
      </c>
      <c r="H186" s="84" t="s">
        <v>386</v>
      </c>
      <c r="I186" s="85" t="n">
        <v>1</v>
      </c>
      <c r="J186" s="86" t="n">
        <v>1</v>
      </c>
      <c r="K186" s="87" t="n">
        <v>0.008775</v>
      </c>
      <c r="L186" s="88" t="n">
        <v>292252895.096956</v>
      </c>
      <c r="M186" s="89" t="n">
        <v>292252895.096956</v>
      </c>
      <c r="N186" s="90" t="str">
        <f>MIN(MAX((B186-'Calculation_Assumptions'!$B$5+1)/'Calculation_Assumptions'!$B$7,0),1)</f>
      </c>
      <c r="O186" s="91" t="str">
        <f>L186*I186</f>
      </c>
      <c r="P186" s="92" t="str">
        <f>M186*I186</f>
      </c>
      <c r="Q186" s="93" t="str">
        <f>P186*'Calculation_Assumptions'!$B$14*J186*K186</f>
      </c>
      <c r="R186" s="94" t="str">
        <f>O186*N186*J186*K186</f>
      </c>
      <c r="S186" s="95" t="str">
        <f>R186-Q186</f>
      </c>
      <c r="T186" s="96" t="str">
        <f>1/(1+'Calculation_Assumptions'!$B$8)^(B186-'Calculation_Assumptions'!$B$2)</f>
      </c>
      <c r="U186" s="97" t="str">
        <f>Q186*T186</f>
      </c>
      <c r="V186" s="98" t="str">
        <f>R186*T186</f>
      </c>
      <c r="W186" s="99" t="str">
        <f>S186*T186</f>
      </c>
      <c r="X186" t="n">
        <v>0</v>
      </c>
      <c r="Y186" s="100" t="n">
        <v>2017</v>
      </c>
      <c r="Z186" t="s">
        <v>389</v>
      </c>
      <c r="AA186" s="101" t="str">
        <f>IF(G186="shared-count-once",COUNTIFS($A$2:$A$807,A186,$B$2:$B$807,B186,$D$2:$D$807,D186),1)</f>
      </c>
    </row>
    <row r="187">
      <c r="A187" t="s">
        <v>212</v>
      </c>
      <c r="B187" s="79" t="n">
        <v>2028</v>
      </c>
      <c r="C187" t="s">
        <v>212</v>
      </c>
      <c r="D187" s="80" t="s">
        <v>397</v>
      </c>
      <c r="E187" s="81" t="s">
        <v>398</v>
      </c>
      <c r="F187" s="82" t="s">
        <v>215</v>
      </c>
      <c r="G187" s="83" t="s">
        <v>395</v>
      </c>
      <c r="H187" s="84" t="s">
        <v>386</v>
      </c>
      <c r="I187" s="85" t="n">
        <v>1</v>
      </c>
      <c r="J187" s="86" t="n">
        <v>1</v>
      </c>
      <c r="K187" s="87" t="n">
        <v>0.008775</v>
      </c>
      <c r="L187" s="88" t="n">
        <v>294441340.789564</v>
      </c>
      <c r="M187" s="89" t="n">
        <v>294314895.305465</v>
      </c>
      <c r="N187" s="90" t="str">
        <f>MIN(MAX((B187-'Calculation_Assumptions'!$B$5+1)/'Calculation_Assumptions'!$B$7,0),1)</f>
      </c>
      <c r="O187" s="91" t="str">
        <f>L187*I187</f>
      </c>
      <c r="P187" s="92" t="str">
        <f>M187*I187</f>
      </c>
      <c r="Q187" s="93" t="str">
        <f>P187*'Calculation_Assumptions'!$B$14*J187*K187</f>
      </c>
      <c r="R187" s="94" t="str">
        <f>O187*N187*J187*K187</f>
      </c>
      <c r="S187" s="95" t="str">
        <f>R187-Q187</f>
      </c>
      <c r="T187" s="96" t="str">
        <f>1/(1+'Calculation_Assumptions'!$B$8)^(B187-'Calculation_Assumptions'!$B$2)</f>
      </c>
      <c r="U187" s="97" t="str">
        <f>Q187*T187</f>
      </c>
      <c r="V187" s="98" t="str">
        <f>R187*T187</f>
      </c>
      <c r="W187" s="99" t="str">
        <f>S187*T187</f>
      </c>
      <c r="X187" t="n">
        <v>0</v>
      </c>
      <c r="Y187" s="100" t="n">
        <v>2017</v>
      </c>
      <c r="Z187" t="s">
        <v>389</v>
      </c>
      <c r="AA187" s="101" t="str">
        <f>IF(G187="shared-count-once",COUNTIFS($A$2:$A$807,A187,$B$2:$B$807,B187,$D$2:$D$807,D187),1)</f>
      </c>
    </row>
    <row r="188">
      <c r="A188" t="s">
        <v>212</v>
      </c>
      <c r="B188" s="79" t="n">
        <v>2029</v>
      </c>
      <c r="C188" t="s">
        <v>212</v>
      </c>
      <c r="D188" s="80" t="s">
        <v>397</v>
      </c>
      <c r="E188" s="81" t="s">
        <v>398</v>
      </c>
      <c r="F188" s="82" t="s">
        <v>215</v>
      </c>
      <c r="G188" s="83" t="s">
        <v>395</v>
      </c>
      <c r="H188" s="84" t="s">
        <v>386</v>
      </c>
      <c r="I188" s="85" t="n">
        <v>1</v>
      </c>
      <c r="J188" s="86" t="n">
        <v>1</v>
      </c>
      <c r="K188" s="87" t="n">
        <v>0.008775</v>
      </c>
      <c r="L188" s="88" t="n">
        <v>296177518.102168</v>
      </c>
      <c r="M188" s="89" t="n">
        <v>296341062.542853</v>
      </c>
      <c r="N188" s="90" t="str">
        <f>MIN(MAX((B188-'Calculation_Assumptions'!$B$5+1)/'Calculation_Assumptions'!$B$7,0),1)</f>
      </c>
      <c r="O188" s="91" t="str">
        <f>L188*I188</f>
      </c>
      <c r="P188" s="92" t="str">
        <f>M188*I188</f>
      </c>
      <c r="Q188" s="93" t="str">
        <f>P188*'Calculation_Assumptions'!$B$14*J188*K188</f>
      </c>
      <c r="R188" s="94" t="str">
        <f>O188*N188*J188*K188</f>
      </c>
      <c r="S188" s="95" t="str">
        <f>R188-Q188</f>
      </c>
      <c r="T188" s="96" t="str">
        <f>1/(1+'Calculation_Assumptions'!$B$8)^(B188-'Calculation_Assumptions'!$B$2)</f>
      </c>
      <c r="U188" s="97" t="str">
        <f>Q188*T188</f>
      </c>
      <c r="V188" s="98" t="str">
        <f>R188*T188</f>
      </c>
      <c r="W188" s="99" t="str">
        <f>S188*T188</f>
      </c>
      <c r="X188" t="n">
        <v>0</v>
      </c>
      <c r="Y188" s="100" t="n">
        <v>2017</v>
      </c>
      <c r="Z188" t="s">
        <v>389</v>
      </c>
      <c r="AA188" s="101" t="str">
        <f>IF(G188="shared-count-once",COUNTIFS($A$2:$A$807,A188,$B$2:$B$807,B188,$D$2:$D$807,D188),1)</f>
      </c>
    </row>
    <row r="189">
      <c r="A189" t="s">
        <v>212</v>
      </c>
      <c r="B189" s="79" t="n">
        <v>2030</v>
      </c>
      <c r="C189" t="s">
        <v>212</v>
      </c>
      <c r="D189" s="80" t="s">
        <v>397</v>
      </c>
      <c r="E189" s="81" t="s">
        <v>398</v>
      </c>
      <c r="F189" s="82" t="s">
        <v>215</v>
      </c>
      <c r="G189" s="83" t="s">
        <v>395</v>
      </c>
      <c r="H189" s="84" t="s">
        <v>386</v>
      </c>
      <c r="I189" s="85" t="n">
        <v>1</v>
      </c>
      <c r="J189" s="86" t="n">
        <v>1</v>
      </c>
      <c r="K189" s="87" t="n">
        <v>0.008775</v>
      </c>
      <c r="L189" s="88" t="n">
        <v>297983924.025817</v>
      </c>
      <c r="M189" s="89" t="n">
        <v>298280286.057263</v>
      </c>
      <c r="N189" s="90" t="str">
        <f>MIN(MAX((B189-'Calculation_Assumptions'!$B$5+1)/'Calculation_Assumptions'!$B$7,0),1)</f>
      </c>
      <c r="O189" s="91" t="str">
        <f>L189*I189</f>
      </c>
      <c r="P189" s="92" t="str">
        <f>M189*I189</f>
      </c>
      <c r="Q189" s="93" t="str">
        <f>P189*'Calculation_Assumptions'!$B$14*J189*K189</f>
      </c>
      <c r="R189" s="94" t="str">
        <f>O189*N189*J189*K189</f>
      </c>
      <c r="S189" s="95" t="str">
        <f>R189-Q189</f>
      </c>
      <c r="T189" s="96" t="str">
        <f>1/(1+'Calculation_Assumptions'!$B$8)^(B189-'Calculation_Assumptions'!$B$2)</f>
      </c>
      <c r="U189" s="97" t="str">
        <f>Q189*T189</f>
      </c>
      <c r="V189" s="98" t="str">
        <f>R189*T189</f>
      </c>
      <c r="W189" s="99" t="str">
        <f>S189*T189</f>
      </c>
      <c r="X189" t="n">
        <v>0</v>
      </c>
      <c r="Y189" s="100" t="n">
        <v>2017</v>
      </c>
      <c r="Z189" t="s">
        <v>389</v>
      </c>
      <c r="AA189" s="101" t="str">
        <f>IF(G189="shared-count-once",COUNTIFS($A$2:$A$807,A189,$B$2:$B$807,B189,$D$2:$D$807,D189),1)</f>
      </c>
    </row>
    <row r="190">
      <c r="A190" t="s">
        <v>212</v>
      </c>
      <c r="B190" s="79" t="n">
        <v>2031</v>
      </c>
      <c r="C190" t="s">
        <v>212</v>
      </c>
      <c r="D190" s="80" t="s">
        <v>397</v>
      </c>
      <c r="E190" s="81" t="s">
        <v>398</v>
      </c>
      <c r="F190" s="82" t="s">
        <v>215</v>
      </c>
      <c r="G190" s="83" t="s">
        <v>395</v>
      </c>
      <c r="H190" s="84" t="s">
        <v>386</v>
      </c>
      <c r="I190" s="85" t="n">
        <v>1</v>
      </c>
      <c r="J190" s="86" t="n">
        <v>1</v>
      </c>
      <c r="K190" s="87" t="n">
        <v>0.008775</v>
      </c>
      <c r="L190" s="88" t="n">
        <v>299871600.254864</v>
      </c>
      <c r="M190" s="89" t="n">
        <v>300152603.254782</v>
      </c>
      <c r="N190" s="90" t="str">
        <f>MIN(MAX((B190-'Calculation_Assumptions'!$B$5+1)/'Calculation_Assumptions'!$B$7,0),1)</f>
      </c>
      <c r="O190" s="91" t="str">
        <f>L190*I190</f>
      </c>
      <c r="P190" s="92" t="str">
        <f>M190*I190</f>
      </c>
      <c r="Q190" s="93" t="str">
        <f>P190*'Calculation_Assumptions'!$B$14*J190*K190</f>
      </c>
      <c r="R190" s="94" t="str">
        <f>O190*N190*J190*K190</f>
      </c>
      <c r="S190" s="95" t="str">
        <f>R190-Q190</f>
      </c>
      <c r="T190" s="96" t="str">
        <f>1/(1+'Calculation_Assumptions'!$B$8)^(B190-'Calculation_Assumptions'!$B$2)</f>
      </c>
      <c r="U190" s="97" t="str">
        <f>Q190*T190</f>
      </c>
      <c r="V190" s="98" t="str">
        <f>R190*T190</f>
      </c>
      <c r="W190" s="99" t="str">
        <f>S190*T190</f>
      </c>
      <c r="X190" t="n">
        <v>0</v>
      </c>
      <c r="Y190" s="100" t="n">
        <v>2017</v>
      </c>
      <c r="Z190" t="s">
        <v>389</v>
      </c>
      <c r="AA190" s="101" t="str">
        <f>IF(G190="shared-count-once",COUNTIFS($A$2:$A$807,A190,$B$2:$B$807,B190,$D$2:$D$807,D190),1)</f>
      </c>
    </row>
    <row r="191">
      <c r="A191" t="s">
        <v>212</v>
      </c>
      <c r="B191" s="79" t="n">
        <v>2032</v>
      </c>
      <c r="C191" t="s">
        <v>212</v>
      </c>
      <c r="D191" s="80" t="s">
        <v>397</v>
      </c>
      <c r="E191" s="81" t="s">
        <v>398</v>
      </c>
      <c r="F191" s="82" t="s">
        <v>215</v>
      </c>
      <c r="G191" s="83" t="s">
        <v>395</v>
      </c>
      <c r="H191" s="84" t="s">
        <v>386</v>
      </c>
      <c r="I191" s="85" t="n">
        <v>1</v>
      </c>
      <c r="J191" s="86" t="n">
        <v>1</v>
      </c>
      <c r="K191" s="87" t="n">
        <v>0.008775</v>
      </c>
      <c r="L191" s="88" t="n">
        <v>301694490.028545</v>
      </c>
      <c r="M191" s="89" t="n">
        <v>301959399.633888</v>
      </c>
      <c r="N191" s="90" t="str">
        <f>MIN(MAX((B191-'Calculation_Assumptions'!$B$5+1)/'Calculation_Assumptions'!$B$7,0),1)</f>
      </c>
      <c r="O191" s="91" t="str">
        <f>L191*I191</f>
      </c>
      <c r="P191" s="92" t="str">
        <f>M191*I191</f>
      </c>
      <c r="Q191" s="93" t="str">
        <f>P191*'Calculation_Assumptions'!$B$14*J191*K191</f>
      </c>
      <c r="R191" s="94" t="str">
        <f>O191*N191*J191*K191</f>
      </c>
      <c r="S191" s="95" t="str">
        <f>R191-Q191</f>
      </c>
      <c r="T191" s="96" t="str">
        <f>1/(1+'Calculation_Assumptions'!$B$8)^(B191-'Calculation_Assumptions'!$B$2)</f>
      </c>
      <c r="U191" s="97" t="str">
        <f>Q191*T191</f>
      </c>
      <c r="V191" s="98" t="str">
        <f>R191*T191</f>
      </c>
      <c r="W191" s="99" t="str">
        <f>S191*T191</f>
      </c>
      <c r="X191" t="n">
        <v>0</v>
      </c>
      <c r="Y191" s="100" t="n">
        <v>2017</v>
      </c>
      <c r="Z191" t="s">
        <v>389</v>
      </c>
      <c r="AA191" s="101" t="str">
        <f>IF(G191="shared-count-once",COUNTIFS($A$2:$A$807,A191,$B$2:$B$807,B191,$D$2:$D$807,D191),1)</f>
      </c>
    </row>
    <row r="192">
      <c r="A192" t="s">
        <v>212</v>
      </c>
      <c r="B192" s="79" t="n">
        <v>2033</v>
      </c>
      <c r="C192" t="s">
        <v>212</v>
      </c>
      <c r="D192" s="80" t="s">
        <v>397</v>
      </c>
      <c r="E192" s="81" t="s">
        <v>398</v>
      </c>
      <c r="F192" s="82" t="s">
        <v>215</v>
      </c>
      <c r="G192" s="83" t="s">
        <v>395</v>
      </c>
      <c r="H192" s="84" t="s">
        <v>386</v>
      </c>
      <c r="I192" s="85" t="n">
        <v>1</v>
      </c>
      <c r="J192" s="86" t="n">
        <v>1</v>
      </c>
      <c r="K192" s="87" t="n">
        <v>0.008775</v>
      </c>
      <c r="L192" s="88" t="n">
        <v>303452587.824031</v>
      </c>
      <c r="M192" s="89" t="n">
        <v>303701035.202051</v>
      </c>
      <c r="N192" s="90" t="str">
        <f>MIN(MAX((B192-'Calculation_Assumptions'!$B$5+1)/'Calculation_Assumptions'!$B$7,0),1)</f>
      </c>
      <c r="O192" s="91" t="str">
        <f>L192*I192</f>
      </c>
      <c r="P192" s="92" t="str">
        <f>M192*I192</f>
      </c>
      <c r="Q192" s="93" t="str">
        <f>P192*'Calculation_Assumptions'!$B$14*J192*K192</f>
      </c>
      <c r="R192" s="94" t="str">
        <f>O192*N192*J192*K192</f>
      </c>
      <c r="S192" s="95" t="str">
        <f>R192-Q192</f>
      </c>
      <c r="T192" s="96" t="str">
        <f>1/(1+'Calculation_Assumptions'!$B$8)^(B192-'Calculation_Assumptions'!$B$2)</f>
      </c>
      <c r="U192" s="97" t="str">
        <f>Q192*T192</f>
      </c>
      <c r="V192" s="98" t="str">
        <f>R192*T192</f>
      </c>
      <c r="W192" s="99" t="str">
        <f>S192*T192</f>
      </c>
      <c r="X192" t="n">
        <v>0</v>
      </c>
      <c r="Y192" s="100" t="n">
        <v>2017</v>
      </c>
      <c r="Z192" t="s">
        <v>389</v>
      </c>
      <c r="AA192" s="101" t="str">
        <f>IF(G192="shared-count-once",COUNTIFS($A$2:$A$807,A192,$B$2:$B$807,B192,$D$2:$D$807,D192),1)</f>
      </c>
    </row>
    <row r="193">
      <c r="A193" t="s">
        <v>212</v>
      </c>
      <c r="B193" s="79" t="n">
        <v>2034</v>
      </c>
      <c r="C193" t="s">
        <v>212</v>
      </c>
      <c r="D193" s="80" t="s">
        <v>397</v>
      </c>
      <c r="E193" s="81" t="s">
        <v>398</v>
      </c>
      <c r="F193" s="82" t="s">
        <v>215</v>
      </c>
      <c r="G193" s="83" t="s">
        <v>395</v>
      </c>
      <c r="H193" s="84" t="s">
        <v>386</v>
      </c>
      <c r="I193" s="85" t="n">
        <v>1</v>
      </c>
      <c r="J193" s="86" t="n">
        <v>1</v>
      </c>
      <c r="K193" s="87" t="n">
        <v>0.008775</v>
      </c>
      <c r="L193" s="88" t="n">
        <v>305146262.95182</v>
      </c>
      <c r="M193" s="89" t="n">
        <v>305377998.093319</v>
      </c>
      <c r="N193" s="90" t="str">
        <f>MIN(MAX((B193-'Calculation_Assumptions'!$B$5+1)/'Calculation_Assumptions'!$B$7,0),1)</f>
      </c>
      <c r="O193" s="91" t="str">
        <f>L193*I193</f>
      </c>
      <c r="P193" s="92" t="str">
        <f>M193*I193</f>
      </c>
      <c r="Q193" s="93" t="str">
        <f>P193*'Calculation_Assumptions'!$B$14*J193*K193</f>
      </c>
      <c r="R193" s="94" t="str">
        <f>O193*N193*J193*K193</f>
      </c>
      <c r="S193" s="95" t="str">
        <f>R193-Q193</f>
      </c>
      <c r="T193" s="96" t="str">
        <f>1/(1+'Calculation_Assumptions'!$B$8)^(B193-'Calculation_Assumptions'!$B$2)</f>
      </c>
      <c r="U193" s="97" t="str">
        <f>Q193*T193</f>
      </c>
      <c r="V193" s="98" t="str">
        <f>R193*T193</f>
      </c>
      <c r="W193" s="99" t="str">
        <f>S193*T193</f>
      </c>
      <c r="X193" t="n">
        <v>0</v>
      </c>
      <c r="Y193" s="100" t="n">
        <v>2017</v>
      </c>
      <c r="Z193" t="s">
        <v>389</v>
      </c>
      <c r="AA193" s="101" t="str">
        <f>IF(G193="shared-count-once",COUNTIFS($A$2:$A$807,A193,$B$2:$B$807,B193,$D$2:$D$807,D193),1)</f>
      </c>
    </row>
    <row r="194">
      <c r="A194" t="s">
        <v>212</v>
      </c>
      <c r="B194" s="79" t="n">
        <v>2035</v>
      </c>
      <c r="C194" t="s">
        <v>212</v>
      </c>
      <c r="D194" s="80" t="s">
        <v>397</v>
      </c>
      <c r="E194" s="81" t="s">
        <v>398</v>
      </c>
      <c r="F194" s="82" t="s">
        <v>215</v>
      </c>
      <c r="G194" s="83" t="s">
        <v>395</v>
      </c>
      <c r="H194" s="84" t="s">
        <v>386</v>
      </c>
      <c r="I194" s="85" t="n">
        <v>1</v>
      </c>
      <c r="J194" s="86" t="n">
        <v>1</v>
      </c>
      <c r="K194" s="87" t="n">
        <v>0.008775</v>
      </c>
      <c r="L194" s="88" t="n">
        <v>306776044.484829</v>
      </c>
      <c r="M194" s="89" t="n">
        <v>306989258.29407</v>
      </c>
      <c r="N194" s="90" t="str">
        <f>MIN(MAX((B194-'Calculation_Assumptions'!$B$5+1)/'Calculation_Assumptions'!$B$7,0),1)</f>
      </c>
      <c r="O194" s="91" t="str">
        <f>L194*I194</f>
      </c>
      <c r="P194" s="92" t="str">
        <f>M194*I194</f>
      </c>
      <c r="Q194" s="93" t="str">
        <f>P194*'Calculation_Assumptions'!$B$14*J194*K194</f>
      </c>
      <c r="R194" s="94" t="str">
        <f>O194*N194*J194*K194</f>
      </c>
      <c r="S194" s="95" t="str">
        <f>R194-Q194</f>
      </c>
      <c r="T194" s="96" t="str">
        <f>1/(1+'Calculation_Assumptions'!$B$8)^(B194-'Calculation_Assumptions'!$B$2)</f>
      </c>
      <c r="U194" s="97" t="str">
        <f>Q194*T194</f>
      </c>
      <c r="V194" s="98" t="str">
        <f>R194*T194</f>
      </c>
      <c r="W194" s="99" t="str">
        <f>S194*T194</f>
      </c>
      <c r="X194" t="n">
        <v>0</v>
      </c>
      <c r="Y194" s="100" t="n">
        <v>2017</v>
      </c>
      <c r="Z194" t="s">
        <v>389</v>
      </c>
      <c r="AA194" s="101" t="str">
        <f>IF(G194="shared-count-once",COUNTIFS($A$2:$A$807,A194,$B$2:$B$807,B194,$D$2:$D$807,D194),1)</f>
      </c>
    </row>
    <row r="195">
      <c r="A195" t="s">
        <v>212</v>
      </c>
      <c r="B195" s="79" t="n">
        <v>2036</v>
      </c>
      <c r="C195" t="s">
        <v>212</v>
      </c>
      <c r="D195" s="80" t="s">
        <v>397</v>
      </c>
      <c r="E195" s="81" t="s">
        <v>398</v>
      </c>
      <c r="F195" s="82" t="s">
        <v>215</v>
      </c>
      <c r="G195" s="83" t="s">
        <v>395</v>
      </c>
      <c r="H195" s="84" t="s">
        <v>386</v>
      </c>
      <c r="I195" s="85" t="n">
        <v>1</v>
      </c>
      <c r="J195" s="86" t="n">
        <v>1</v>
      </c>
      <c r="K195" s="87" t="n">
        <v>0.008775</v>
      </c>
      <c r="L195" s="88" t="n">
        <v>308342436.075553</v>
      </c>
      <c r="M195" s="89" t="n">
        <v>308537399.672094</v>
      </c>
      <c r="N195" s="90" t="str">
        <f>MIN(MAX((B195-'Calculation_Assumptions'!$B$5+1)/'Calculation_Assumptions'!$B$7,0),1)</f>
      </c>
      <c r="O195" s="91" t="str">
        <f>L195*I195</f>
      </c>
      <c r="P195" s="92" t="str">
        <f>M195*I195</f>
      </c>
      <c r="Q195" s="93" t="str">
        <f>P195*'Calculation_Assumptions'!$B$14*J195*K195</f>
      </c>
      <c r="R195" s="94" t="str">
        <f>O195*N195*J195*K195</f>
      </c>
      <c r="S195" s="95" t="str">
        <f>R195-Q195</f>
      </c>
      <c r="T195" s="96" t="str">
        <f>1/(1+'Calculation_Assumptions'!$B$8)^(B195-'Calculation_Assumptions'!$B$2)</f>
      </c>
      <c r="U195" s="97" t="str">
        <f>Q195*T195</f>
      </c>
      <c r="V195" s="98" t="str">
        <f>R195*T195</f>
      </c>
      <c r="W195" s="99" t="str">
        <f>S195*T195</f>
      </c>
      <c r="X195" t="n">
        <v>0</v>
      </c>
      <c r="Y195" s="100" t="n">
        <v>2017</v>
      </c>
      <c r="Z195" t="s">
        <v>389</v>
      </c>
      <c r="AA195" s="101" t="str">
        <f>IF(G195="shared-count-once",COUNTIFS($A$2:$A$807,A195,$B$2:$B$807,B195,$D$2:$D$807,D195),1)</f>
      </c>
    </row>
    <row r="196">
      <c r="A196" t="s">
        <v>212</v>
      </c>
      <c r="B196" s="79" t="n">
        <v>2037</v>
      </c>
      <c r="C196" t="s">
        <v>212</v>
      </c>
      <c r="D196" s="80" t="s">
        <v>397</v>
      </c>
      <c r="E196" s="81" t="s">
        <v>398</v>
      </c>
      <c r="F196" s="82" t="s">
        <v>215</v>
      </c>
      <c r="G196" s="83" t="s">
        <v>395</v>
      </c>
      <c r="H196" s="84" t="s">
        <v>386</v>
      </c>
      <c r="I196" s="85" t="n">
        <v>1</v>
      </c>
      <c r="J196" s="86" t="n">
        <v>1</v>
      </c>
      <c r="K196" s="87" t="n">
        <v>0.008775</v>
      </c>
      <c r="L196" s="88" t="n">
        <v>309846087.893843</v>
      </c>
      <c r="M196" s="89" t="n">
        <v>310023120.393472</v>
      </c>
      <c r="N196" s="90" t="str">
        <f>MIN(MAX((B196-'Calculation_Assumptions'!$B$5+1)/'Calculation_Assumptions'!$B$7,0),1)</f>
      </c>
      <c r="O196" s="91" t="str">
        <f>L196*I196</f>
      </c>
      <c r="P196" s="92" t="str">
        <f>M196*I196</f>
      </c>
      <c r="Q196" s="93" t="str">
        <f>P196*'Calculation_Assumptions'!$B$14*J196*K196</f>
      </c>
      <c r="R196" s="94" t="str">
        <f>O196*N196*J196*K196</f>
      </c>
      <c r="S196" s="95" t="str">
        <f>R196-Q196</f>
      </c>
      <c r="T196" s="96" t="str">
        <f>1/(1+'Calculation_Assumptions'!$B$8)^(B196-'Calculation_Assumptions'!$B$2)</f>
      </c>
      <c r="U196" s="97" t="str">
        <f>Q196*T196</f>
      </c>
      <c r="V196" s="98" t="str">
        <f>R196*T196</f>
      </c>
      <c r="W196" s="99" t="str">
        <f>S196*T196</f>
      </c>
      <c r="X196" t="n">
        <v>0</v>
      </c>
      <c r="Y196" s="100" t="n">
        <v>2017</v>
      </c>
      <c r="Z196" t="s">
        <v>389</v>
      </c>
      <c r="AA196" s="101" t="str">
        <f>IF(G196="shared-count-once",COUNTIFS($A$2:$A$807,A196,$B$2:$B$807,B196,$D$2:$D$807,D196),1)</f>
      </c>
    </row>
    <row r="197">
      <c r="A197" t="s">
        <v>212</v>
      </c>
      <c r="B197" s="79" t="n">
        <v>2038</v>
      </c>
      <c r="C197" t="s">
        <v>212</v>
      </c>
      <c r="D197" s="80" t="s">
        <v>397</v>
      </c>
      <c r="E197" s="81" t="s">
        <v>398</v>
      </c>
      <c r="F197" s="82" t="s">
        <v>215</v>
      </c>
      <c r="G197" s="83" t="s">
        <v>395</v>
      </c>
      <c r="H197" s="84" t="s">
        <v>386</v>
      </c>
      <c r="I197" s="85" t="n">
        <v>1</v>
      </c>
      <c r="J197" s="86" t="n">
        <v>1</v>
      </c>
      <c r="K197" s="87" t="n">
        <v>0.008775</v>
      </c>
      <c r="L197" s="88" t="n">
        <v>311287841.901792</v>
      </c>
      <c r="M197" s="89" t="n">
        <v>311445837.134625</v>
      </c>
      <c r="N197" s="90" t="str">
        <f>MIN(MAX((B197-'Calculation_Assumptions'!$B$5+1)/'Calculation_Assumptions'!$B$7,0),1)</f>
      </c>
      <c r="O197" s="91" t="str">
        <f>L197*I197</f>
      </c>
      <c r="P197" s="92" t="str">
        <f>M197*I197</f>
      </c>
      <c r="Q197" s="93" t="str">
        <f>P197*'Calculation_Assumptions'!$B$14*J197*K197</f>
      </c>
      <c r="R197" s="94" t="str">
        <f>O197*N197*J197*K197</f>
      </c>
      <c r="S197" s="95" t="str">
        <f>R197-Q197</f>
      </c>
      <c r="T197" s="96" t="str">
        <f>1/(1+'Calculation_Assumptions'!$B$8)^(B197-'Calculation_Assumptions'!$B$2)</f>
      </c>
      <c r="U197" s="97" t="str">
        <f>Q197*T197</f>
      </c>
      <c r="V197" s="98" t="str">
        <f>R197*T197</f>
      </c>
      <c r="W197" s="99" t="str">
        <f>S197*T197</f>
      </c>
      <c r="X197" t="n">
        <v>0</v>
      </c>
      <c r="Y197" s="100" t="n">
        <v>2017</v>
      </c>
      <c r="Z197" t="s">
        <v>389</v>
      </c>
      <c r="AA197" s="101" t="str">
        <f>IF(G197="shared-count-once",COUNTIFS($A$2:$A$807,A197,$B$2:$B$807,B197,$D$2:$D$807,D197),1)</f>
      </c>
    </row>
    <row r="198">
      <c r="A198" t="s">
        <v>212</v>
      </c>
      <c r="B198" s="79" t="n">
        <v>2039</v>
      </c>
      <c r="C198" t="s">
        <v>212</v>
      </c>
      <c r="D198" s="80" t="s">
        <v>397</v>
      </c>
      <c r="E198" s="81" t="s">
        <v>398</v>
      </c>
      <c r="F198" s="82" t="s">
        <v>215</v>
      </c>
      <c r="G198" s="83" t="s">
        <v>395</v>
      </c>
      <c r="H198" s="84" t="s">
        <v>386</v>
      </c>
      <c r="I198" s="85" t="n">
        <v>1</v>
      </c>
      <c r="J198" s="86" t="n">
        <v>1</v>
      </c>
      <c r="K198" s="87" t="n">
        <v>0.008775</v>
      </c>
      <c r="L198" s="88" t="n">
        <v>312668552.219236</v>
      </c>
      <c r="M198" s="89" t="n">
        <v>312806989.715685</v>
      </c>
      <c r="N198" s="90" t="str">
        <f>MIN(MAX((B198-'Calculation_Assumptions'!$B$5+1)/'Calculation_Assumptions'!$B$7,0),1)</f>
      </c>
      <c r="O198" s="91" t="str">
        <f>L198*I198</f>
      </c>
      <c r="P198" s="92" t="str">
        <f>M198*I198</f>
      </c>
      <c r="Q198" s="93" t="str">
        <f>P198*'Calculation_Assumptions'!$B$14*J198*K198</f>
      </c>
      <c r="R198" s="94" t="str">
        <f>O198*N198*J198*K198</f>
      </c>
      <c r="S198" s="95" t="str">
        <f>R198-Q198</f>
      </c>
      <c r="T198" s="96" t="str">
        <f>1/(1+'Calculation_Assumptions'!$B$8)^(B198-'Calculation_Assumptions'!$B$2)</f>
      </c>
      <c r="U198" s="97" t="str">
        <f>Q198*T198</f>
      </c>
      <c r="V198" s="98" t="str">
        <f>R198*T198</f>
      </c>
      <c r="W198" s="99" t="str">
        <f>S198*T198</f>
      </c>
      <c r="X198" t="n">
        <v>0</v>
      </c>
      <c r="Y198" s="100" t="n">
        <v>2017</v>
      </c>
      <c r="Z198" t="s">
        <v>389</v>
      </c>
      <c r="AA198" s="101" t="str">
        <f>IF(G198="shared-count-once",COUNTIFS($A$2:$A$807,A198,$B$2:$B$807,B198,$D$2:$D$807,D198),1)</f>
      </c>
    </row>
    <row r="199">
      <c r="A199" t="s">
        <v>212</v>
      </c>
      <c r="B199" s="79" t="n">
        <v>2040</v>
      </c>
      <c r="C199" t="s">
        <v>212</v>
      </c>
      <c r="D199" s="80" t="s">
        <v>397</v>
      </c>
      <c r="E199" s="81" t="s">
        <v>398</v>
      </c>
      <c r="F199" s="82" t="s">
        <v>215</v>
      </c>
      <c r="G199" s="83" t="s">
        <v>395</v>
      </c>
      <c r="H199" s="84" t="s">
        <v>386</v>
      </c>
      <c r="I199" s="85" t="n">
        <v>1</v>
      </c>
      <c r="J199" s="86" t="n">
        <v>1</v>
      </c>
      <c r="K199" s="87" t="n">
        <v>0.008775</v>
      </c>
      <c r="L199" s="88" t="n">
        <v>313988919.446497</v>
      </c>
      <c r="M199" s="89" t="n">
        <v>314109251.582649</v>
      </c>
      <c r="N199" s="90" t="str">
        <f>MIN(MAX((B199-'Calculation_Assumptions'!$B$5+1)/'Calculation_Assumptions'!$B$7,0),1)</f>
      </c>
      <c r="O199" s="91" t="str">
        <f>L199*I199</f>
      </c>
      <c r="P199" s="92" t="str">
        <f>M199*I199</f>
      </c>
      <c r="Q199" s="93" t="str">
        <f>P199*'Calculation_Assumptions'!$B$14*J199*K199</f>
      </c>
      <c r="R199" s="94" t="str">
        <f>O199*N199*J199*K199</f>
      </c>
      <c r="S199" s="95" t="str">
        <f>R199-Q199</f>
      </c>
      <c r="T199" s="96" t="str">
        <f>1/(1+'Calculation_Assumptions'!$B$8)^(B199-'Calculation_Assumptions'!$B$2)</f>
      </c>
      <c r="U199" s="97" t="str">
        <f>Q199*T199</f>
      </c>
      <c r="V199" s="98" t="str">
        <f>R199*T199</f>
      </c>
      <c r="W199" s="99" t="str">
        <f>S199*T199</f>
      </c>
      <c r="X199" t="n">
        <v>0</v>
      </c>
      <c r="Y199" s="100" t="n">
        <v>2017</v>
      </c>
      <c r="Z199" t="s">
        <v>389</v>
      </c>
      <c r="AA199" s="101" t="str">
        <f>IF(G199="shared-count-once",COUNTIFS($A$2:$A$807,A199,$B$2:$B$807,B199,$D$2:$D$807,D199),1)</f>
      </c>
    </row>
    <row r="200">
      <c r="A200" t="s">
        <v>212</v>
      </c>
      <c r="B200" s="79" t="n">
        <v>2041</v>
      </c>
      <c r="C200" t="s">
        <v>212</v>
      </c>
      <c r="D200" s="80" t="s">
        <v>397</v>
      </c>
      <c r="E200" s="81" t="s">
        <v>398</v>
      </c>
      <c r="F200" s="82" t="s">
        <v>215</v>
      </c>
      <c r="G200" s="83" t="s">
        <v>395</v>
      </c>
      <c r="H200" s="84" t="s">
        <v>386</v>
      </c>
      <c r="I200" s="85" t="n">
        <v>1</v>
      </c>
      <c r="J200" s="86" t="n">
        <v>1</v>
      </c>
      <c r="K200" s="87" t="n">
        <v>0.008775</v>
      </c>
      <c r="L200" s="88" t="n">
        <v>315249651.443611</v>
      </c>
      <c r="M200" s="89" t="n">
        <v>315352079.812423</v>
      </c>
      <c r="N200" s="90" t="str">
        <f>MIN(MAX((B200-'Calculation_Assumptions'!$B$5+1)/'Calculation_Assumptions'!$B$7,0),1)</f>
      </c>
      <c r="O200" s="91" t="str">
        <f>L200*I200</f>
      </c>
      <c r="P200" s="92" t="str">
        <f>M200*I200</f>
      </c>
      <c r="Q200" s="93" t="str">
        <f>P200*'Calculation_Assumptions'!$B$14*J200*K200</f>
      </c>
      <c r="R200" s="94" t="str">
        <f>O200*N200*J200*K200</f>
      </c>
      <c r="S200" s="95" t="str">
        <f>R200-Q200</f>
      </c>
      <c r="T200" s="96" t="str">
        <f>1/(1+'Calculation_Assumptions'!$B$8)^(B200-'Calculation_Assumptions'!$B$2)</f>
      </c>
      <c r="U200" s="97" t="str">
        <f>Q200*T200</f>
      </c>
      <c r="V200" s="98" t="str">
        <f>R200*T200</f>
      </c>
      <c r="W200" s="99" t="str">
        <f>S200*T200</f>
      </c>
      <c r="X200" t="n">
        <v>0</v>
      </c>
      <c r="Y200" s="100" t="n">
        <v>2017</v>
      </c>
      <c r="Z200" t="s">
        <v>389</v>
      </c>
      <c r="AA200" s="101" t="str">
        <f>IF(G200="shared-count-once",COUNTIFS($A$2:$A$807,A200,$B$2:$B$807,B200,$D$2:$D$807,D200),1)</f>
      </c>
    </row>
    <row r="201">
      <c r="A201" t="s">
        <v>212</v>
      </c>
      <c r="B201" s="79" t="n">
        <v>2042</v>
      </c>
      <c r="C201" t="s">
        <v>212</v>
      </c>
      <c r="D201" s="80" t="s">
        <v>397</v>
      </c>
      <c r="E201" s="81" t="s">
        <v>398</v>
      </c>
      <c r="F201" s="82" t="s">
        <v>215</v>
      </c>
      <c r="G201" s="83" t="s">
        <v>395</v>
      </c>
      <c r="H201" s="84" t="s">
        <v>386</v>
      </c>
      <c r="I201" s="85" t="n">
        <v>1</v>
      </c>
      <c r="J201" s="86" t="n">
        <v>1</v>
      </c>
      <c r="K201" s="87" t="n">
        <v>0.008775</v>
      </c>
      <c r="L201" s="88" t="n">
        <v>316451176.298969</v>
      </c>
      <c r="M201" s="89" t="n">
        <v>316395286.312016</v>
      </c>
      <c r="N201" s="90" t="str">
        <f>MIN(MAX((B201-'Calculation_Assumptions'!$B$5+1)/'Calculation_Assumptions'!$B$7,0),1)</f>
      </c>
      <c r="O201" s="91" t="str">
        <f>L201*I201</f>
      </c>
      <c r="P201" s="92" t="str">
        <f>M201*I201</f>
      </c>
      <c r="Q201" s="93" t="str">
        <f>P201*'Calculation_Assumptions'!$B$14*J201*K201</f>
      </c>
      <c r="R201" s="94" t="str">
        <f>O201*N201*J201*K201</f>
      </c>
      <c r="S201" s="95" t="str">
        <f>R201-Q201</f>
      </c>
      <c r="T201" s="96" t="str">
        <f>1/(1+'Calculation_Assumptions'!$B$8)^(B201-'Calculation_Assumptions'!$B$2)</f>
      </c>
      <c r="U201" s="97" t="str">
        <f>Q201*T201</f>
      </c>
      <c r="V201" s="98" t="str">
        <f>R201*T201</f>
      </c>
      <c r="W201" s="99" t="str">
        <f>S201*T201</f>
      </c>
      <c r="X201" t="n">
        <v>0</v>
      </c>
      <c r="Y201" s="100" t="n">
        <v>2017</v>
      </c>
      <c r="Z201" t="s">
        <v>389</v>
      </c>
      <c r="AA201" s="101" t="str">
        <f>IF(G201="shared-count-once",COUNTIFS($A$2:$A$807,A201,$B$2:$B$807,B201,$D$2:$D$807,D201),1)</f>
      </c>
    </row>
    <row r="202">
      <c r="A202" t="s">
        <v>212</v>
      </c>
      <c r="B202" s="79" t="n">
        <v>2043</v>
      </c>
      <c r="C202" t="s">
        <v>212</v>
      </c>
      <c r="D202" s="80" t="s">
        <v>397</v>
      </c>
      <c r="E202" s="81" t="s">
        <v>398</v>
      </c>
      <c r="F202" s="82" t="s">
        <v>215</v>
      </c>
      <c r="G202" s="83" t="s">
        <v>395</v>
      </c>
      <c r="H202" s="84" t="s">
        <v>386</v>
      </c>
      <c r="I202" s="85" t="n">
        <v>1</v>
      </c>
      <c r="J202" s="86" t="n">
        <v>1</v>
      </c>
      <c r="K202" s="87" t="n">
        <v>0.008775</v>
      </c>
      <c r="L202" s="88" t="n">
        <v>317593735.812335</v>
      </c>
      <c r="M202" s="89" t="n">
        <v>317619735.688289</v>
      </c>
      <c r="N202" s="90" t="str">
        <f>MIN(MAX((B202-'Calculation_Assumptions'!$B$5+1)/'Calculation_Assumptions'!$B$7,0),1)</f>
      </c>
      <c r="O202" s="91" t="str">
        <f>L202*I202</f>
      </c>
      <c r="P202" s="92" t="str">
        <f>M202*I202</f>
      </c>
      <c r="Q202" s="93" t="str">
        <f>P202*'Calculation_Assumptions'!$B$14*J202*K202</f>
      </c>
      <c r="R202" s="94" t="str">
        <f>O202*N202*J202*K202</f>
      </c>
      <c r="S202" s="95" t="str">
        <f>R202-Q202</f>
      </c>
      <c r="T202" s="96" t="str">
        <f>1/(1+'Calculation_Assumptions'!$B$8)^(B202-'Calculation_Assumptions'!$B$2)</f>
      </c>
      <c r="U202" s="97" t="str">
        <f>Q202*T202</f>
      </c>
      <c r="V202" s="98" t="str">
        <f>R202*T202</f>
      </c>
      <c r="W202" s="99" t="str">
        <f>S202*T202</f>
      </c>
      <c r="X202" t="n">
        <v>0</v>
      </c>
      <c r="Y202" s="100" t="n">
        <v>2017</v>
      </c>
      <c r="Z202" t="s">
        <v>389</v>
      </c>
      <c r="AA202" s="101" t="str">
        <f>IF(G202="shared-count-once",COUNTIFS($A$2:$A$807,A202,$B$2:$B$807,B202,$D$2:$D$807,D202),1)</f>
      </c>
    </row>
    <row r="203">
      <c r="A203" t="s">
        <v>212</v>
      </c>
      <c r="B203" s="79" t="n">
        <v>2044</v>
      </c>
      <c r="C203" t="s">
        <v>212</v>
      </c>
      <c r="D203" s="80" t="s">
        <v>397</v>
      </c>
      <c r="E203" s="81" t="s">
        <v>398</v>
      </c>
      <c r="F203" s="82" t="s">
        <v>215</v>
      </c>
      <c r="G203" s="83" t="s">
        <v>395</v>
      </c>
      <c r="H203" s="84" t="s">
        <v>386</v>
      </c>
      <c r="I203" s="85" t="n">
        <v>1</v>
      </c>
      <c r="J203" s="86" t="n">
        <v>1</v>
      </c>
      <c r="K203" s="87" t="n">
        <v>0.008775</v>
      </c>
      <c r="L203" s="88" t="n">
        <v>318677893.717855</v>
      </c>
      <c r="M203" s="89" t="n">
        <v>318697135.863652</v>
      </c>
      <c r="N203" s="90" t="str">
        <f>MIN(MAX((B203-'Calculation_Assumptions'!$B$5+1)/'Calculation_Assumptions'!$B$7,0),1)</f>
      </c>
      <c r="O203" s="91" t="str">
        <f>L203*I203</f>
      </c>
      <c r="P203" s="92" t="str">
        <f>M203*I203</f>
      </c>
      <c r="Q203" s="93" t="str">
        <f>P203*'Calculation_Assumptions'!$B$14*J203*K203</f>
      </c>
      <c r="R203" s="94" t="str">
        <f>O203*N203*J203*K203</f>
      </c>
      <c r="S203" s="95" t="str">
        <f>R203-Q203</f>
      </c>
      <c r="T203" s="96" t="str">
        <f>1/(1+'Calculation_Assumptions'!$B$8)^(B203-'Calculation_Assumptions'!$B$2)</f>
      </c>
      <c r="U203" s="97" t="str">
        <f>Q203*T203</f>
      </c>
      <c r="V203" s="98" t="str">
        <f>R203*T203</f>
      </c>
      <c r="W203" s="99" t="str">
        <f>S203*T203</f>
      </c>
      <c r="X203" t="n">
        <v>0</v>
      </c>
      <c r="Y203" s="100" t="n">
        <v>2017</v>
      </c>
      <c r="Z203" t="s">
        <v>389</v>
      </c>
      <c r="AA203" s="101" t="str">
        <f>IF(G203="shared-count-once",COUNTIFS($A$2:$A$807,A203,$B$2:$B$807,B203,$D$2:$D$807,D203),1)</f>
      </c>
    </row>
    <row r="204">
      <c r="A204" t="s">
        <v>212</v>
      </c>
      <c r="B204" s="79" t="n">
        <v>2045</v>
      </c>
      <c r="C204" t="s">
        <v>212</v>
      </c>
      <c r="D204" s="80" t="s">
        <v>397</v>
      </c>
      <c r="E204" s="81" t="s">
        <v>398</v>
      </c>
      <c r="F204" s="82" t="s">
        <v>215</v>
      </c>
      <c r="G204" s="83" t="s">
        <v>395</v>
      </c>
      <c r="H204" s="84" t="s">
        <v>386</v>
      </c>
      <c r="I204" s="85" t="n">
        <v>1</v>
      </c>
      <c r="J204" s="86" t="n">
        <v>1</v>
      </c>
      <c r="K204" s="87" t="n">
        <v>0.008775</v>
      </c>
      <c r="L204" s="88" t="n">
        <v>319704449.085777</v>
      </c>
      <c r="M204" s="89" t="n">
        <v>319717840.85179</v>
      </c>
      <c r="N204" s="90" t="str">
        <f>MIN(MAX((B204-'Calculation_Assumptions'!$B$5+1)/'Calculation_Assumptions'!$B$7,0),1)</f>
      </c>
      <c r="O204" s="91" t="str">
        <f>L204*I204</f>
      </c>
      <c r="P204" s="92" t="str">
        <f>M204*I204</f>
      </c>
      <c r="Q204" s="93" t="str">
        <f>P204*'Calculation_Assumptions'!$B$14*J204*K204</f>
      </c>
      <c r="R204" s="94" t="str">
        <f>O204*N204*J204*K204</f>
      </c>
      <c r="S204" s="95" t="str">
        <f>R204-Q204</f>
      </c>
      <c r="T204" s="96" t="str">
        <f>1/(1+'Calculation_Assumptions'!$B$8)^(B204-'Calculation_Assumptions'!$B$2)</f>
      </c>
      <c r="U204" s="97" t="str">
        <f>Q204*T204</f>
      </c>
      <c r="V204" s="98" t="str">
        <f>R204*T204</f>
      </c>
      <c r="W204" s="99" t="str">
        <f>S204*T204</f>
      </c>
      <c r="X204" t="n">
        <v>0</v>
      </c>
      <c r="Y204" s="100" t="n">
        <v>2017</v>
      </c>
      <c r="Z204" t="s">
        <v>389</v>
      </c>
      <c r="AA204" s="101" t="str">
        <f>IF(G204="shared-count-once",COUNTIFS($A$2:$A$807,A204,$B$2:$B$807,B204,$D$2:$D$807,D204),1)</f>
      </c>
    </row>
    <row r="205">
      <c r="A205" t="s">
        <v>212</v>
      </c>
      <c r="B205" s="79" t="n">
        <v>2046</v>
      </c>
      <c r="C205" t="s">
        <v>212</v>
      </c>
      <c r="D205" s="80" t="s">
        <v>397</v>
      </c>
      <c r="E205" s="81" t="s">
        <v>398</v>
      </c>
      <c r="F205" s="82" t="s">
        <v>215</v>
      </c>
      <c r="G205" s="83" t="s">
        <v>395</v>
      </c>
      <c r="H205" s="84" t="s">
        <v>386</v>
      </c>
      <c r="I205" s="85" t="n">
        <v>1</v>
      </c>
      <c r="J205" s="86" t="n">
        <v>1</v>
      </c>
      <c r="K205" s="87" t="n">
        <v>0.008775</v>
      </c>
      <c r="L205" s="88" t="n">
        <v>320674302.877897</v>
      </c>
      <c r="M205" s="89" t="n">
        <v>320683879.806276</v>
      </c>
      <c r="N205" s="90" t="str">
        <f>MIN(MAX((B205-'Calculation_Assumptions'!$B$5+1)/'Calculation_Assumptions'!$B$7,0),1)</f>
      </c>
      <c r="O205" s="91" t="str">
        <f>L205*I205</f>
      </c>
      <c r="P205" s="92" t="str">
        <f>M205*I205</f>
      </c>
      <c r="Q205" s="93" t="str">
        <f>P205*'Calculation_Assumptions'!$B$14*J205*K205</f>
      </c>
      <c r="R205" s="94" t="str">
        <f>O205*N205*J205*K205</f>
      </c>
      <c r="S205" s="95" t="str">
        <f>R205-Q205</f>
      </c>
      <c r="T205" s="96" t="str">
        <f>1/(1+'Calculation_Assumptions'!$B$8)^(B205-'Calculation_Assumptions'!$B$2)</f>
      </c>
      <c r="U205" s="97" t="str">
        <f>Q205*T205</f>
      </c>
      <c r="V205" s="98" t="str">
        <f>R205*T205</f>
      </c>
      <c r="W205" s="99" t="str">
        <f>S205*T205</f>
      </c>
      <c r="X205" t="n">
        <v>0</v>
      </c>
      <c r="Y205" s="100" t="n">
        <v>2017</v>
      </c>
      <c r="Z205" t="s">
        <v>389</v>
      </c>
      <c r="AA205" s="101" t="str">
        <f>IF(G205="shared-count-once",COUNTIFS($A$2:$A$807,A205,$B$2:$B$807,B205,$D$2:$D$807,D205),1)</f>
      </c>
    </row>
    <row r="206">
      <c r="A206" t="s">
        <v>212</v>
      </c>
      <c r="B206" s="79" t="n">
        <v>2047</v>
      </c>
      <c r="C206" t="s">
        <v>212</v>
      </c>
      <c r="D206" s="80" t="s">
        <v>397</v>
      </c>
      <c r="E206" s="81" t="s">
        <v>398</v>
      </c>
      <c r="F206" s="82" t="s">
        <v>215</v>
      </c>
      <c r="G206" s="83" t="s">
        <v>395</v>
      </c>
      <c r="H206" s="84" t="s">
        <v>386</v>
      </c>
      <c r="I206" s="85" t="n">
        <v>1</v>
      </c>
      <c r="J206" s="86" t="n">
        <v>1</v>
      </c>
      <c r="K206" s="87" t="n">
        <v>0.008775</v>
      </c>
      <c r="L206" s="88" t="n">
        <v>321588425.174506</v>
      </c>
      <c r="M206" s="89" t="n">
        <v>321595541.389526</v>
      </c>
      <c r="N206" s="90" t="str">
        <f>MIN(MAX((B206-'Calculation_Assumptions'!$B$5+1)/'Calculation_Assumptions'!$B$7,0),1)</f>
      </c>
      <c r="O206" s="91" t="str">
        <f>L206*I206</f>
      </c>
      <c r="P206" s="92" t="str">
        <f>M206*I206</f>
      </c>
      <c r="Q206" s="93" t="str">
        <f>P206*'Calculation_Assumptions'!$B$14*J206*K206</f>
      </c>
      <c r="R206" s="94" t="str">
        <f>O206*N206*J206*K206</f>
      </c>
      <c r="S206" s="95" t="str">
        <f>R206-Q206</f>
      </c>
      <c r="T206" s="96" t="str">
        <f>1/(1+'Calculation_Assumptions'!$B$8)^(B206-'Calculation_Assumptions'!$B$2)</f>
      </c>
      <c r="U206" s="97" t="str">
        <f>Q206*T206</f>
      </c>
      <c r="V206" s="98" t="str">
        <f>R206*T206</f>
      </c>
      <c r="W206" s="99" t="str">
        <f>S206*T206</f>
      </c>
      <c r="X206" t="n">
        <v>0</v>
      </c>
      <c r="Y206" s="100" t="n">
        <v>2017</v>
      </c>
      <c r="Z206" t="s">
        <v>389</v>
      </c>
      <c r="AA206" s="101" t="str">
        <f>IF(G206="shared-count-once",COUNTIFS($A$2:$A$807,A206,$B$2:$B$807,B206,$D$2:$D$807,D206),1)</f>
      </c>
    </row>
    <row r="207">
      <c r="A207" t="s">
        <v>212</v>
      </c>
      <c r="B207" s="79" t="n">
        <v>2048</v>
      </c>
      <c r="C207" t="s">
        <v>212</v>
      </c>
      <c r="D207" s="80" t="s">
        <v>397</v>
      </c>
      <c r="E207" s="81" t="s">
        <v>398</v>
      </c>
      <c r="F207" s="82" t="s">
        <v>215</v>
      </c>
      <c r="G207" s="83" t="s">
        <v>395</v>
      </c>
      <c r="H207" s="84" t="s">
        <v>386</v>
      </c>
      <c r="I207" s="85" t="n">
        <v>1</v>
      </c>
      <c r="J207" s="86" t="n">
        <v>1</v>
      </c>
      <c r="K207" s="87" t="n">
        <v>0.008775</v>
      </c>
      <c r="L207" s="88" t="n">
        <v>322447861.793311</v>
      </c>
      <c r="M207" s="89" t="n">
        <v>322453622.669464</v>
      </c>
      <c r="N207" s="90" t="str">
        <f>MIN(MAX((B207-'Calculation_Assumptions'!$B$5+1)/'Calculation_Assumptions'!$B$7,0),1)</f>
      </c>
      <c r="O207" s="91" t="str">
        <f>L207*I207</f>
      </c>
      <c r="P207" s="92" t="str">
        <f>M207*I207</f>
      </c>
      <c r="Q207" s="93" t="str">
        <f>P207*'Calculation_Assumptions'!$B$14*J207*K207</f>
      </c>
      <c r="R207" s="94" t="str">
        <f>O207*N207*J207*K207</f>
      </c>
      <c r="S207" s="95" t="str">
        <f>R207-Q207</f>
      </c>
      <c r="T207" s="96" t="str">
        <f>1/(1+'Calculation_Assumptions'!$B$8)^(B207-'Calculation_Assumptions'!$B$2)</f>
      </c>
      <c r="U207" s="97" t="str">
        <f>Q207*T207</f>
      </c>
      <c r="V207" s="98" t="str">
        <f>R207*T207</f>
      </c>
      <c r="W207" s="99" t="str">
        <f>S207*T207</f>
      </c>
      <c r="X207" t="n">
        <v>0</v>
      </c>
      <c r="Y207" s="100" t="n">
        <v>2017</v>
      </c>
      <c r="Z207" t="s">
        <v>389</v>
      </c>
      <c r="AA207" s="101" t="str">
        <f>IF(G207="shared-count-once",COUNTIFS($A$2:$A$807,A207,$B$2:$B$807,B207,$D$2:$D$807,D207),1)</f>
      </c>
    </row>
    <row r="208">
      <c r="A208" t="s">
        <v>212</v>
      </c>
      <c r="B208" s="79" t="n">
        <v>2049</v>
      </c>
      <c r="C208" t="s">
        <v>212</v>
      </c>
      <c r="D208" s="80" t="s">
        <v>397</v>
      </c>
      <c r="E208" s="81" t="s">
        <v>398</v>
      </c>
      <c r="F208" s="82" t="s">
        <v>215</v>
      </c>
      <c r="G208" s="83" t="s">
        <v>395</v>
      </c>
      <c r="H208" s="84" t="s">
        <v>386</v>
      </c>
      <c r="I208" s="85" t="n">
        <v>1</v>
      </c>
      <c r="J208" s="86" t="n">
        <v>1</v>
      </c>
      <c r="K208" s="87" t="n">
        <v>0.008775</v>
      </c>
      <c r="L208" s="88" t="n">
        <v>323253823.78093</v>
      </c>
      <c r="M208" s="89" t="n">
        <v>323259246.716719</v>
      </c>
      <c r="N208" s="90" t="str">
        <f>MIN(MAX((B208-'Calculation_Assumptions'!$B$5+1)/'Calculation_Assumptions'!$B$7,0),1)</f>
      </c>
      <c r="O208" s="91" t="str">
        <f>L208*I208</f>
      </c>
      <c r="P208" s="92" t="str">
        <f>M208*I208</f>
      </c>
      <c r="Q208" s="93" t="str">
        <f>P208*'Calculation_Assumptions'!$B$14*J208*K208</f>
      </c>
      <c r="R208" s="94" t="str">
        <f>O208*N208*J208*K208</f>
      </c>
      <c r="S208" s="95" t="str">
        <f>R208-Q208</f>
      </c>
      <c r="T208" s="96" t="str">
        <f>1/(1+'Calculation_Assumptions'!$B$8)^(B208-'Calculation_Assumptions'!$B$2)</f>
      </c>
      <c r="U208" s="97" t="str">
        <f>Q208*T208</f>
      </c>
      <c r="V208" s="98" t="str">
        <f>R208*T208</f>
      </c>
      <c r="W208" s="99" t="str">
        <f>S208*T208</f>
      </c>
      <c r="X208" t="n">
        <v>0</v>
      </c>
      <c r="Y208" s="100" t="n">
        <v>2017</v>
      </c>
      <c r="Z208" t="s">
        <v>389</v>
      </c>
      <c r="AA208" s="101" t="str">
        <f>IF(G208="shared-count-once",COUNTIFS($A$2:$A$807,A208,$B$2:$B$807,B208,$D$2:$D$807,D208),1)</f>
      </c>
    </row>
    <row r="209">
      <c r="A209" t="s">
        <v>212</v>
      </c>
      <c r="B209" s="79" t="n">
        <v>2050</v>
      </c>
      <c r="C209" t="s">
        <v>212</v>
      </c>
      <c r="D209" s="80" t="s">
        <v>397</v>
      </c>
      <c r="E209" s="81" t="s">
        <v>398</v>
      </c>
      <c r="F209" s="82" t="s">
        <v>215</v>
      </c>
      <c r="G209" s="83" t="s">
        <v>395</v>
      </c>
      <c r="H209" s="84" t="s">
        <v>386</v>
      </c>
      <c r="I209" s="85" t="n">
        <v>1</v>
      </c>
      <c r="J209" s="86" t="n">
        <v>1</v>
      </c>
      <c r="K209" s="87" t="n">
        <v>0.008775</v>
      </c>
      <c r="L209" s="88" t="n">
        <v>324007730.096586</v>
      </c>
      <c r="M209" s="89" t="n">
        <v>324013738.182479</v>
      </c>
      <c r="N209" s="90" t="str">
        <f>MIN(MAX((B209-'Calculation_Assumptions'!$B$5+1)/'Calculation_Assumptions'!$B$7,0),1)</f>
      </c>
      <c r="O209" s="91" t="str">
        <f>L209*I209</f>
      </c>
      <c r="P209" s="92" t="str">
        <f>M209*I209</f>
      </c>
      <c r="Q209" s="93" t="str">
        <f>P209*'Calculation_Assumptions'!$B$14*J209*K209</f>
      </c>
      <c r="R209" s="94" t="str">
        <f>O209*N209*J209*K209</f>
      </c>
      <c r="S209" s="95" t="str">
        <f>R209-Q209</f>
      </c>
      <c r="T209" s="96" t="str">
        <f>1/(1+'Calculation_Assumptions'!$B$8)^(B209-'Calculation_Assumptions'!$B$2)</f>
      </c>
      <c r="U209" s="97" t="str">
        <f>Q209*T209</f>
      </c>
      <c r="V209" s="98" t="str">
        <f>R209*T209</f>
      </c>
      <c r="W209" s="99" t="str">
        <f>S209*T209</f>
      </c>
      <c r="X209" t="n">
        <v>0</v>
      </c>
      <c r="Y209" s="100" t="n">
        <v>2017</v>
      </c>
      <c r="Z209" t="s">
        <v>389</v>
      </c>
      <c r="AA209" s="101" t="str">
        <f>IF(G209="shared-count-once",COUNTIFS($A$2:$A$807,A209,$B$2:$B$807,B209,$D$2:$D$807,D209),1)</f>
      </c>
    </row>
    <row r="210">
      <c r="A210" t="s">
        <v>219</v>
      </c>
      <c r="B210" s="79" t="n">
        <v>2025</v>
      </c>
      <c r="C210" t="s">
        <v>219</v>
      </c>
      <c r="D210" s="80" t="s">
        <v>399</v>
      </c>
      <c r="E210" s="81" t="s">
        <v>400</v>
      </c>
      <c r="F210" s="82" t="s">
        <v>222</v>
      </c>
      <c r="G210" s="83" t="s">
        <v>395</v>
      </c>
      <c r="H210" s="84" t="s">
        <v>386</v>
      </c>
      <c r="I210" s="85" t="n">
        <v>1</v>
      </c>
      <c r="J210" s="86" t="n">
        <v>1</v>
      </c>
      <c r="K210" s="87" t="n">
        <v>0.008775</v>
      </c>
      <c r="L210" s="88" t="n">
        <v>288000821.106462</v>
      </c>
      <c r="M210" s="89" t="n">
        <v>288000821.106462</v>
      </c>
      <c r="N210" s="90" t="str">
        <f>MIN(MAX((B210-'Calculation_Assumptions'!$B$5+1)/'Calculation_Assumptions'!$B$7,0),1)</f>
      </c>
      <c r="O210" s="91" t="str">
        <f>L210*I210</f>
      </c>
      <c r="P210" s="92" t="str">
        <f>M210*I210</f>
      </c>
      <c r="Q210" s="93" t="str">
        <f>P210*'Calculation_Assumptions'!$B$14*J210*K210</f>
      </c>
      <c r="R210" s="94" t="str">
        <f>O210*N210*J210*K210</f>
      </c>
      <c r="S210" s="95" t="str">
        <f>R210-Q210</f>
      </c>
      <c r="T210" s="96" t="str">
        <f>1/(1+'Calculation_Assumptions'!$B$8)^(B210-'Calculation_Assumptions'!$B$2)</f>
      </c>
      <c r="U210" s="97" t="str">
        <f>Q210*T210</f>
      </c>
      <c r="V210" s="98" t="str">
        <f>R210*T210</f>
      </c>
      <c r="W210" s="99" t="str">
        <f>S210*T210</f>
      </c>
      <c r="X210" t="n">
        <v>0</v>
      </c>
      <c r="Y210" s="100" t="n">
        <v>2017</v>
      </c>
      <c r="Z210" t="s">
        <v>389</v>
      </c>
      <c r="AA210" s="101" t="str">
        <f>IF(G210="shared-count-once",COUNTIFS($A$2:$A$807,A210,$B$2:$B$807,B210,$D$2:$D$807,D210),1)</f>
      </c>
    </row>
    <row r="211">
      <c r="A211" t="s">
        <v>219</v>
      </c>
      <c r="B211" s="79" t="n">
        <v>2026</v>
      </c>
      <c r="C211" t="s">
        <v>219</v>
      </c>
      <c r="D211" s="80" t="s">
        <v>399</v>
      </c>
      <c r="E211" s="81" t="s">
        <v>400</v>
      </c>
      <c r="F211" s="82" t="s">
        <v>222</v>
      </c>
      <c r="G211" s="83" t="s">
        <v>395</v>
      </c>
      <c r="H211" s="84" t="s">
        <v>386</v>
      </c>
      <c r="I211" s="85" t="n">
        <v>1</v>
      </c>
      <c r="J211" s="86" t="n">
        <v>1</v>
      </c>
      <c r="K211" s="87" t="n">
        <v>0.008775</v>
      </c>
      <c r="L211" s="88" t="n">
        <v>290123496.103219</v>
      </c>
      <c r="M211" s="89" t="n">
        <v>290123496.103219</v>
      </c>
      <c r="N211" s="90" t="str">
        <f>MIN(MAX((B211-'Calculation_Assumptions'!$B$5+1)/'Calculation_Assumptions'!$B$7,0),1)</f>
      </c>
      <c r="O211" s="91" t="str">
        <f>L211*I211</f>
      </c>
      <c r="P211" s="92" t="str">
        <f>M211*I211</f>
      </c>
      <c r="Q211" s="93" t="str">
        <f>P211*'Calculation_Assumptions'!$B$14*J211*K211</f>
      </c>
      <c r="R211" s="94" t="str">
        <f>O211*N211*J211*K211</f>
      </c>
      <c r="S211" s="95" t="str">
        <f>R211-Q211</f>
      </c>
      <c r="T211" s="96" t="str">
        <f>1/(1+'Calculation_Assumptions'!$B$8)^(B211-'Calculation_Assumptions'!$B$2)</f>
      </c>
      <c r="U211" s="97" t="str">
        <f>Q211*T211</f>
      </c>
      <c r="V211" s="98" t="str">
        <f>R211*T211</f>
      </c>
      <c r="W211" s="99" t="str">
        <f>S211*T211</f>
      </c>
      <c r="X211" t="n">
        <v>0</v>
      </c>
      <c r="Y211" s="100" t="n">
        <v>2017</v>
      </c>
      <c r="Z211" t="s">
        <v>389</v>
      </c>
      <c r="AA211" s="101" t="str">
        <f>IF(G211="shared-count-once",COUNTIFS($A$2:$A$807,A211,$B$2:$B$807,B211,$D$2:$D$807,D211),1)</f>
      </c>
    </row>
    <row r="212">
      <c r="A212" t="s">
        <v>219</v>
      </c>
      <c r="B212" s="79" t="n">
        <v>2027</v>
      </c>
      <c r="C212" t="s">
        <v>219</v>
      </c>
      <c r="D212" s="80" t="s">
        <v>399</v>
      </c>
      <c r="E212" s="81" t="s">
        <v>400</v>
      </c>
      <c r="F212" s="82" t="s">
        <v>222</v>
      </c>
      <c r="G212" s="83" t="s">
        <v>395</v>
      </c>
      <c r="H212" s="84" t="s">
        <v>386</v>
      </c>
      <c r="I212" s="85" t="n">
        <v>1</v>
      </c>
      <c r="J212" s="86" t="n">
        <v>1</v>
      </c>
      <c r="K212" s="87" t="n">
        <v>0.008775</v>
      </c>
      <c r="L212" s="88" t="n">
        <v>292252895.096956</v>
      </c>
      <c r="M212" s="89" t="n">
        <v>292252895.096956</v>
      </c>
      <c r="N212" s="90" t="str">
        <f>MIN(MAX((B212-'Calculation_Assumptions'!$B$5+1)/'Calculation_Assumptions'!$B$7,0),1)</f>
      </c>
      <c r="O212" s="91" t="str">
        <f>L212*I212</f>
      </c>
      <c r="P212" s="92" t="str">
        <f>M212*I212</f>
      </c>
      <c r="Q212" s="93" t="str">
        <f>P212*'Calculation_Assumptions'!$B$14*J212*K212</f>
      </c>
      <c r="R212" s="94" t="str">
        <f>O212*N212*J212*K212</f>
      </c>
      <c r="S212" s="95" t="str">
        <f>R212-Q212</f>
      </c>
      <c r="T212" s="96" t="str">
        <f>1/(1+'Calculation_Assumptions'!$B$8)^(B212-'Calculation_Assumptions'!$B$2)</f>
      </c>
      <c r="U212" s="97" t="str">
        <f>Q212*T212</f>
      </c>
      <c r="V212" s="98" t="str">
        <f>R212*T212</f>
      </c>
      <c r="W212" s="99" t="str">
        <f>S212*T212</f>
      </c>
      <c r="X212" t="n">
        <v>0</v>
      </c>
      <c r="Y212" s="100" t="n">
        <v>2017</v>
      </c>
      <c r="Z212" t="s">
        <v>389</v>
      </c>
      <c r="AA212" s="101" t="str">
        <f>IF(G212="shared-count-once",COUNTIFS($A$2:$A$807,A212,$B$2:$B$807,B212,$D$2:$D$807,D212),1)</f>
      </c>
    </row>
    <row r="213">
      <c r="A213" t="s">
        <v>219</v>
      </c>
      <c r="B213" s="79" t="n">
        <v>2028</v>
      </c>
      <c r="C213" t="s">
        <v>219</v>
      </c>
      <c r="D213" s="80" t="s">
        <v>399</v>
      </c>
      <c r="E213" s="81" t="s">
        <v>400</v>
      </c>
      <c r="F213" s="82" t="s">
        <v>222</v>
      </c>
      <c r="G213" s="83" t="s">
        <v>395</v>
      </c>
      <c r="H213" s="84" t="s">
        <v>386</v>
      </c>
      <c r="I213" s="85" t="n">
        <v>1</v>
      </c>
      <c r="J213" s="86" t="n">
        <v>1</v>
      </c>
      <c r="K213" s="87" t="n">
        <v>0.008775</v>
      </c>
      <c r="L213" s="88" t="n">
        <v>294314895.305465</v>
      </c>
      <c r="M213" s="89" t="n">
        <v>294314895.305465</v>
      </c>
      <c r="N213" s="90" t="str">
        <f>MIN(MAX((B213-'Calculation_Assumptions'!$B$5+1)/'Calculation_Assumptions'!$B$7,0),1)</f>
      </c>
      <c r="O213" s="91" t="str">
        <f>L213*I213</f>
      </c>
      <c r="P213" s="92" t="str">
        <f>M213*I213</f>
      </c>
      <c r="Q213" s="93" t="str">
        <f>P213*'Calculation_Assumptions'!$B$14*J213*K213</f>
      </c>
      <c r="R213" s="94" t="str">
        <f>O213*N213*J213*K213</f>
      </c>
      <c r="S213" s="95" t="str">
        <f>R213-Q213</f>
      </c>
      <c r="T213" s="96" t="str">
        <f>1/(1+'Calculation_Assumptions'!$B$8)^(B213-'Calculation_Assumptions'!$B$2)</f>
      </c>
      <c r="U213" s="97" t="str">
        <f>Q213*T213</f>
      </c>
      <c r="V213" s="98" t="str">
        <f>R213*T213</f>
      </c>
      <c r="W213" s="99" t="str">
        <f>S213*T213</f>
      </c>
      <c r="X213" t="n">
        <v>0</v>
      </c>
      <c r="Y213" s="100" t="n">
        <v>2017</v>
      </c>
      <c r="Z213" t="s">
        <v>389</v>
      </c>
      <c r="AA213" s="101" t="str">
        <f>IF(G213="shared-count-once",COUNTIFS($A$2:$A$807,A213,$B$2:$B$807,B213,$D$2:$D$807,D213),1)</f>
      </c>
    </row>
    <row r="214">
      <c r="A214" t="s">
        <v>219</v>
      </c>
      <c r="B214" s="79" t="n">
        <v>2029</v>
      </c>
      <c r="C214" t="s">
        <v>219</v>
      </c>
      <c r="D214" s="80" t="s">
        <v>399</v>
      </c>
      <c r="E214" s="81" t="s">
        <v>400</v>
      </c>
      <c r="F214" s="82" t="s">
        <v>222</v>
      </c>
      <c r="G214" s="83" t="s">
        <v>395</v>
      </c>
      <c r="H214" s="84" t="s">
        <v>386</v>
      </c>
      <c r="I214" s="85" t="n">
        <v>1</v>
      </c>
      <c r="J214" s="86" t="n">
        <v>1</v>
      </c>
      <c r="K214" s="87" t="n">
        <v>0.008775</v>
      </c>
      <c r="L214" s="88" t="n">
        <v>296341062.542853</v>
      </c>
      <c r="M214" s="89" t="n">
        <v>296341062.542853</v>
      </c>
      <c r="N214" s="90" t="str">
        <f>MIN(MAX((B214-'Calculation_Assumptions'!$B$5+1)/'Calculation_Assumptions'!$B$7,0),1)</f>
      </c>
      <c r="O214" s="91" t="str">
        <f>L214*I214</f>
      </c>
      <c r="P214" s="92" t="str">
        <f>M214*I214</f>
      </c>
      <c r="Q214" s="93" t="str">
        <f>P214*'Calculation_Assumptions'!$B$14*J214*K214</f>
      </c>
      <c r="R214" s="94" t="str">
        <f>O214*N214*J214*K214</f>
      </c>
      <c r="S214" s="95" t="str">
        <f>R214-Q214</f>
      </c>
      <c r="T214" s="96" t="str">
        <f>1/(1+'Calculation_Assumptions'!$B$8)^(B214-'Calculation_Assumptions'!$B$2)</f>
      </c>
      <c r="U214" s="97" t="str">
        <f>Q214*T214</f>
      </c>
      <c r="V214" s="98" t="str">
        <f>R214*T214</f>
      </c>
      <c r="W214" s="99" t="str">
        <f>S214*T214</f>
      </c>
      <c r="X214" t="n">
        <v>0</v>
      </c>
      <c r="Y214" s="100" t="n">
        <v>2017</v>
      </c>
      <c r="Z214" t="s">
        <v>389</v>
      </c>
      <c r="AA214" s="101" t="str">
        <f>IF(G214="shared-count-once",COUNTIFS($A$2:$A$807,A214,$B$2:$B$807,B214,$D$2:$D$807,D214),1)</f>
      </c>
    </row>
    <row r="215">
      <c r="A215" t="s">
        <v>219</v>
      </c>
      <c r="B215" s="79" t="n">
        <v>2030</v>
      </c>
      <c r="C215" t="s">
        <v>219</v>
      </c>
      <c r="D215" s="80" t="s">
        <v>399</v>
      </c>
      <c r="E215" s="81" t="s">
        <v>400</v>
      </c>
      <c r="F215" s="82" t="s">
        <v>222</v>
      </c>
      <c r="G215" s="83" t="s">
        <v>395</v>
      </c>
      <c r="H215" s="84" t="s">
        <v>386</v>
      </c>
      <c r="I215" s="85" t="n">
        <v>1</v>
      </c>
      <c r="J215" s="86" t="n">
        <v>1</v>
      </c>
      <c r="K215" s="87" t="n">
        <v>0.008775</v>
      </c>
      <c r="L215" s="88" t="n">
        <v>298280286.057263</v>
      </c>
      <c r="M215" s="89" t="n">
        <v>298280286.057263</v>
      </c>
      <c r="N215" s="90" t="str">
        <f>MIN(MAX((B215-'Calculation_Assumptions'!$B$5+1)/'Calculation_Assumptions'!$B$7,0),1)</f>
      </c>
      <c r="O215" s="91" t="str">
        <f>L215*I215</f>
      </c>
      <c r="P215" s="92" t="str">
        <f>M215*I215</f>
      </c>
      <c r="Q215" s="93" t="str">
        <f>P215*'Calculation_Assumptions'!$B$14*J215*K215</f>
      </c>
      <c r="R215" s="94" t="str">
        <f>O215*N215*J215*K215</f>
      </c>
      <c r="S215" s="95" t="str">
        <f>R215-Q215</f>
      </c>
      <c r="T215" s="96" t="str">
        <f>1/(1+'Calculation_Assumptions'!$B$8)^(B215-'Calculation_Assumptions'!$B$2)</f>
      </c>
      <c r="U215" s="97" t="str">
        <f>Q215*T215</f>
      </c>
      <c r="V215" s="98" t="str">
        <f>R215*T215</f>
      </c>
      <c r="W215" s="99" t="str">
        <f>S215*T215</f>
      </c>
      <c r="X215" t="n">
        <v>0</v>
      </c>
      <c r="Y215" s="100" t="n">
        <v>2017</v>
      </c>
      <c r="Z215" t="s">
        <v>389</v>
      </c>
      <c r="AA215" s="101" t="str">
        <f>IF(G215="shared-count-once",COUNTIFS($A$2:$A$807,A215,$B$2:$B$807,B215,$D$2:$D$807,D215),1)</f>
      </c>
    </row>
    <row r="216">
      <c r="A216" t="s">
        <v>219</v>
      </c>
      <c r="B216" s="79" t="n">
        <v>2031</v>
      </c>
      <c r="C216" t="s">
        <v>219</v>
      </c>
      <c r="D216" s="80" t="s">
        <v>399</v>
      </c>
      <c r="E216" s="81" t="s">
        <v>400</v>
      </c>
      <c r="F216" s="82" t="s">
        <v>222</v>
      </c>
      <c r="G216" s="83" t="s">
        <v>395</v>
      </c>
      <c r="H216" s="84" t="s">
        <v>386</v>
      </c>
      <c r="I216" s="85" t="n">
        <v>1</v>
      </c>
      <c r="J216" s="86" t="n">
        <v>1</v>
      </c>
      <c r="K216" s="87" t="n">
        <v>0.008775</v>
      </c>
      <c r="L216" s="88" t="n">
        <v>300152603.254782</v>
      </c>
      <c r="M216" s="89" t="n">
        <v>300152603.254782</v>
      </c>
      <c r="N216" s="90" t="str">
        <f>MIN(MAX((B216-'Calculation_Assumptions'!$B$5+1)/'Calculation_Assumptions'!$B$7,0),1)</f>
      </c>
      <c r="O216" s="91" t="str">
        <f>L216*I216</f>
      </c>
      <c r="P216" s="92" t="str">
        <f>M216*I216</f>
      </c>
      <c r="Q216" s="93" t="str">
        <f>P216*'Calculation_Assumptions'!$B$14*J216*K216</f>
      </c>
      <c r="R216" s="94" t="str">
        <f>O216*N216*J216*K216</f>
      </c>
      <c r="S216" s="95" t="str">
        <f>R216-Q216</f>
      </c>
      <c r="T216" s="96" t="str">
        <f>1/(1+'Calculation_Assumptions'!$B$8)^(B216-'Calculation_Assumptions'!$B$2)</f>
      </c>
      <c r="U216" s="97" t="str">
        <f>Q216*T216</f>
      </c>
      <c r="V216" s="98" t="str">
        <f>R216*T216</f>
      </c>
      <c r="W216" s="99" t="str">
        <f>S216*T216</f>
      </c>
      <c r="X216" t="n">
        <v>0</v>
      </c>
      <c r="Y216" s="100" t="n">
        <v>2017</v>
      </c>
      <c r="Z216" t="s">
        <v>389</v>
      </c>
      <c r="AA216" s="101" t="str">
        <f>IF(G216="shared-count-once",COUNTIFS($A$2:$A$807,A216,$B$2:$B$807,B216,$D$2:$D$807,D216),1)</f>
      </c>
    </row>
    <row r="217">
      <c r="A217" t="s">
        <v>219</v>
      </c>
      <c r="B217" s="79" t="n">
        <v>2032</v>
      </c>
      <c r="C217" t="s">
        <v>219</v>
      </c>
      <c r="D217" s="80" t="s">
        <v>399</v>
      </c>
      <c r="E217" s="81" t="s">
        <v>400</v>
      </c>
      <c r="F217" s="82" t="s">
        <v>222</v>
      </c>
      <c r="G217" s="83" t="s">
        <v>395</v>
      </c>
      <c r="H217" s="84" t="s">
        <v>386</v>
      </c>
      <c r="I217" s="85" t="n">
        <v>1</v>
      </c>
      <c r="J217" s="86" t="n">
        <v>1</v>
      </c>
      <c r="K217" s="87" t="n">
        <v>0.008775</v>
      </c>
      <c r="L217" s="88" t="n">
        <v>301959399.633888</v>
      </c>
      <c r="M217" s="89" t="n">
        <v>301959399.633888</v>
      </c>
      <c r="N217" s="90" t="str">
        <f>MIN(MAX((B217-'Calculation_Assumptions'!$B$5+1)/'Calculation_Assumptions'!$B$7,0),1)</f>
      </c>
      <c r="O217" s="91" t="str">
        <f>L217*I217</f>
      </c>
      <c r="P217" s="92" t="str">
        <f>M217*I217</f>
      </c>
      <c r="Q217" s="93" t="str">
        <f>P217*'Calculation_Assumptions'!$B$14*J217*K217</f>
      </c>
      <c r="R217" s="94" t="str">
        <f>O217*N217*J217*K217</f>
      </c>
      <c r="S217" s="95" t="str">
        <f>R217-Q217</f>
      </c>
      <c r="T217" s="96" t="str">
        <f>1/(1+'Calculation_Assumptions'!$B$8)^(B217-'Calculation_Assumptions'!$B$2)</f>
      </c>
      <c r="U217" s="97" t="str">
        <f>Q217*T217</f>
      </c>
      <c r="V217" s="98" t="str">
        <f>R217*T217</f>
      </c>
      <c r="W217" s="99" t="str">
        <f>S217*T217</f>
      </c>
      <c r="X217" t="n">
        <v>0</v>
      </c>
      <c r="Y217" s="100" t="n">
        <v>2017</v>
      </c>
      <c r="Z217" t="s">
        <v>389</v>
      </c>
      <c r="AA217" s="101" t="str">
        <f>IF(G217="shared-count-once",COUNTIFS($A$2:$A$807,A217,$B$2:$B$807,B217,$D$2:$D$807,D217),1)</f>
      </c>
    </row>
    <row r="218">
      <c r="A218" t="s">
        <v>219</v>
      </c>
      <c r="B218" s="79" t="n">
        <v>2033</v>
      </c>
      <c r="C218" t="s">
        <v>219</v>
      </c>
      <c r="D218" s="80" t="s">
        <v>399</v>
      </c>
      <c r="E218" s="81" t="s">
        <v>400</v>
      </c>
      <c r="F218" s="82" t="s">
        <v>222</v>
      </c>
      <c r="G218" s="83" t="s">
        <v>395</v>
      </c>
      <c r="H218" s="84" t="s">
        <v>386</v>
      </c>
      <c r="I218" s="85" t="n">
        <v>1</v>
      </c>
      <c r="J218" s="86" t="n">
        <v>1</v>
      </c>
      <c r="K218" s="87" t="n">
        <v>0.008775</v>
      </c>
      <c r="L218" s="88" t="n">
        <v>303701035.202051</v>
      </c>
      <c r="M218" s="89" t="n">
        <v>303701035.202051</v>
      </c>
      <c r="N218" s="90" t="str">
        <f>MIN(MAX((B218-'Calculation_Assumptions'!$B$5+1)/'Calculation_Assumptions'!$B$7,0),1)</f>
      </c>
      <c r="O218" s="91" t="str">
        <f>L218*I218</f>
      </c>
      <c r="P218" s="92" t="str">
        <f>M218*I218</f>
      </c>
      <c r="Q218" s="93" t="str">
        <f>P218*'Calculation_Assumptions'!$B$14*J218*K218</f>
      </c>
      <c r="R218" s="94" t="str">
        <f>O218*N218*J218*K218</f>
      </c>
      <c r="S218" s="95" t="str">
        <f>R218-Q218</f>
      </c>
      <c r="T218" s="96" t="str">
        <f>1/(1+'Calculation_Assumptions'!$B$8)^(B218-'Calculation_Assumptions'!$B$2)</f>
      </c>
      <c r="U218" s="97" t="str">
        <f>Q218*T218</f>
      </c>
      <c r="V218" s="98" t="str">
        <f>R218*T218</f>
      </c>
      <c r="W218" s="99" t="str">
        <f>S218*T218</f>
      </c>
      <c r="X218" t="n">
        <v>0</v>
      </c>
      <c r="Y218" s="100" t="n">
        <v>2017</v>
      </c>
      <c r="Z218" t="s">
        <v>389</v>
      </c>
      <c r="AA218" s="101" t="str">
        <f>IF(G218="shared-count-once",COUNTIFS($A$2:$A$807,A218,$B$2:$B$807,B218,$D$2:$D$807,D218),1)</f>
      </c>
    </row>
    <row r="219">
      <c r="A219" t="s">
        <v>219</v>
      </c>
      <c r="B219" s="79" t="n">
        <v>2034</v>
      </c>
      <c r="C219" t="s">
        <v>219</v>
      </c>
      <c r="D219" s="80" t="s">
        <v>399</v>
      </c>
      <c r="E219" s="81" t="s">
        <v>400</v>
      </c>
      <c r="F219" s="82" t="s">
        <v>222</v>
      </c>
      <c r="G219" s="83" t="s">
        <v>395</v>
      </c>
      <c r="H219" s="84" t="s">
        <v>386</v>
      </c>
      <c r="I219" s="85" t="n">
        <v>1</v>
      </c>
      <c r="J219" s="86" t="n">
        <v>1</v>
      </c>
      <c r="K219" s="87" t="n">
        <v>0.008775</v>
      </c>
      <c r="L219" s="88" t="n">
        <v>305377998.093319</v>
      </c>
      <c r="M219" s="89" t="n">
        <v>305377998.093319</v>
      </c>
      <c r="N219" s="90" t="str">
        <f>MIN(MAX((B219-'Calculation_Assumptions'!$B$5+1)/'Calculation_Assumptions'!$B$7,0),1)</f>
      </c>
      <c r="O219" s="91" t="str">
        <f>L219*I219</f>
      </c>
      <c r="P219" s="92" t="str">
        <f>M219*I219</f>
      </c>
      <c r="Q219" s="93" t="str">
        <f>P219*'Calculation_Assumptions'!$B$14*J219*K219</f>
      </c>
      <c r="R219" s="94" t="str">
        <f>O219*N219*J219*K219</f>
      </c>
      <c r="S219" s="95" t="str">
        <f>R219-Q219</f>
      </c>
      <c r="T219" s="96" t="str">
        <f>1/(1+'Calculation_Assumptions'!$B$8)^(B219-'Calculation_Assumptions'!$B$2)</f>
      </c>
      <c r="U219" s="97" t="str">
        <f>Q219*T219</f>
      </c>
      <c r="V219" s="98" t="str">
        <f>R219*T219</f>
      </c>
      <c r="W219" s="99" t="str">
        <f>S219*T219</f>
      </c>
      <c r="X219" t="n">
        <v>0</v>
      </c>
      <c r="Y219" s="100" t="n">
        <v>2017</v>
      </c>
      <c r="Z219" t="s">
        <v>389</v>
      </c>
      <c r="AA219" s="101" t="str">
        <f>IF(G219="shared-count-once",COUNTIFS($A$2:$A$807,A219,$B$2:$B$807,B219,$D$2:$D$807,D219),1)</f>
      </c>
    </row>
    <row r="220">
      <c r="A220" t="s">
        <v>219</v>
      </c>
      <c r="B220" s="79" t="n">
        <v>2035</v>
      </c>
      <c r="C220" t="s">
        <v>219</v>
      </c>
      <c r="D220" s="80" t="s">
        <v>399</v>
      </c>
      <c r="E220" s="81" t="s">
        <v>400</v>
      </c>
      <c r="F220" s="82" t="s">
        <v>222</v>
      </c>
      <c r="G220" s="83" t="s">
        <v>395</v>
      </c>
      <c r="H220" s="84" t="s">
        <v>386</v>
      </c>
      <c r="I220" s="85" t="n">
        <v>1</v>
      </c>
      <c r="J220" s="86" t="n">
        <v>1</v>
      </c>
      <c r="K220" s="87" t="n">
        <v>0.008775</v>
      </c>
      <c r="L220" s="88" t="n">
        <v>306989258.29407</v>
      </c>
      <c r="M220" s="89" t="n">
        <v>306989258.29407</v>
      </c>
      <c r="N220" s="90" t="str">
        <f>MIN(MAX((B220-'Calculation_Assumptions'!$B$5+1)/'Calculation_Assumptions'!$B$7,0),1)</f>
      </c>
      <c r="O220" s="91" t="str">
        <f>L220*I220</f>
      </c>
      <c r="P220" s="92" t="str">
        <f>M220*I220</f>
      </c>
      <c r="Q220" s="93" t="str">
        <f>P220*'Calculation_Assumptions'!$B$14*J220*K220</f>
      </c>
      <c r="R220" s="94" t="str">
        <f>O220*N220*J220*K220</f>
      </c>
      <c r="S220" s="95" t="str">
        <f>R220-Q220</f>
      </c>
      <c r="T220" s="96" t="str">
        <f>1/(1+'Calculation_Assumptions'!$B$8)^(B220-'Calculation_Assumptions'!$B$2)</f>
      </c>
      <c r="U220" s="97" t="str">
        <f>Q220*T220</f>
      </c>
      <c r="V220" s="98" t="str">
        <f>R220*T220</f>
      </c>
      <c r="W220" s="99" t="str">
        <f>S220*T220</f>
      </c>
      <c r="X220" t="n">
        <v>0</v>
      </c>
      <c r="Y220" s="100" t="n">
        <v>2017</v>
      </c>
      <c r="Z220" t="s">
        <v>389</v>
      </c>
      <c r="AA220" s="101" t="str">
        <f>IF(G220="shared-count-once",COUNTIFS($A$2:$A$807,A220,$B$2:$B$807,B220,$D$2:$D$807,D220),1)</f>
      </c>
    </row>
    <row r="221">
      <c r="A221" t="s">
        <v>219</v>
      </c>
      <c r="B221" s="79" t="n">
        <v>2036</v>
      </c>
      <c r="C221" t="s">
        <v>219</v>
      </c>
      <c r="D221" s="80" t="s">
        <v>399</v>
      </c>
      <c r="E221" s="81" t="s">
        <v>400</v>
      </c>
      <c r="F221" s="82" t="s">
        <v>222</v>
      </c>
      <c r="G221" s="83" t="s">
        <v>395</v>
      </c>
      <c r="H221" s="84" t="s">
        <v>386</v>
      </c>
      <c r="I221" s="85" t="n">
        <v>1</v>
      </c>
      <c r="J221" s="86" t="n">
        <v>1</v>
      </c>
      <c r="K221" s="87" t="n">
        <v>0.008775</v>
      </c>
      <c r="L221" s="88" t="n">
        <v>308537399.672094</v>
      </c>
      <c r="M221" s="89" t="n">
        <v>308537399.672094</v>
      </c>
      <c r="N221" s="90" t="str">
        <f>MIN(MAX((B221-'Calculation_Assumptions'!$B$5+1)/'Calculation_Assumptions'!$B$7,0),1)</f>
      </c>
      <c r="O221" s="91" t="str">
        <f>L221*I221</f>
      </c>
      <c r="P221" s="92" t="str">
        <f>M221*I221</f>
      </c>
      <c r="Q221" s="93" t="str">
        <f>P221*'Calculation_Assumptions'!$B$14*J221*K221</f>
      </c>
      <c r="R221" s="94" t="str">
        <f>O221*N221*J221*K221</f>
      </c>
      <c r="S221" s="95" t="str">
        <f>R221-Q221</f>
      </c>
      <c r="T221" s="96" t="str">
        <f>1/(1+'Calculation_Assumptions'!$B$8)^(B221-'Calculation_Assumptions'!$B$2)</f>
      </c>
      <c r="U221" s="97" t="str">
        <f>Q221*T221</f>
      </c>
      <c r="V221" s="98" t="str">
        <f>R221*T221</f>
      </c>
      <c r="W221" s="99" t="str">
        <f>S221*T221</f>
      </c>
      <c r="X221" t="n">
        <v>0</v>
      </c>
      <c r="Y221" s="100" t="n">
        <v>2017</v>
      </c>
      <c r="Z221" t="s">
        <v>389</v>
      </c>
      <c r="AA221" s="101" t="str">
        <f>IF(G221="shared-count-once",COUNTIFS($A$2:$A$807,A221,$B$2:$B$807,B221,$D$2:$D$807,D221),1)</f>
      </c>
    </row>
    <row r="222">
      <c r="A222" t="s">
        <v>219</v>
      </c>
      <c r="B222" s="79" t="n">
        <v>2037</v>
      </c>
      <c r="C222" t="s">
        <v>219</v>
      </c>
      <c r="D222" s="80" t="s">
        <v>399</v>
      </c>
      <c r="E222" s="81" t="s">
        <v>400</v>
      </c>
      <c r="F222" s="82" t="s">
        <v>222</v>
      </c>
      <c r="G222" s="83" t="s">
        <v>395</v>
      </c>
      <c r="H222" s="84" t="s">
        <v>386</v>
      </c>
      <c r="I222" s="85" t="n">
        <v>1</v>
      </c>
      <c r="J222" s="86" t="n">
        <v>1</v>
      </c>
      <c r="K222" s="87" t="n">
        <v>0.008775</v>
      </c>
      <c r="L222" s="88" t="n">
        <v>310023120.393472</v>
      </c>
      <c r="M222" s="89" t="n">
        <v>310023120.393472</v>
      </c>
      <c r="N222" s="90" t="str">
        <f>MIN(MAX((B222-'Calculation_Assumptions'!$B$5+1)/'Calculation_Assumptions'!$B$7,0),1)</f>
      </c>
      <c r="O222" s="91" t="str">
        <f>L222*I222</f>
      </c>
      <c r="P222" s="92" t="str">
        <f>M222*I222</f>
      </c>
      <c r="Q222" s="93" t="str">
        <f>P222*'Calculation_Assumptions'!$B$14*J222*K222</f>
      </c>
      <c r="R222" s="94" t="str">
        <f>O222*N222*J222*K222</f>
      </c>
      <c r="S222" s="95" t="str">
        <f>R222-Q222</f>
      </c>
      <c r="T222" s="96" t="str">
        <f>1/(1+'Calculation_Assumptions'!$B$8)^(B222-'Calculation_Assumptions'!$B$2)</f>
      </c>
      <c r="U222" s="97" t="str">
        <f>Q222*T222</f>
      </c>
      <c r="V222" s="98" t="str">
        <f>R222*T222</f>
      </c>
      <c r="W222" s="99" t="str">
        <f>S222*T222</f>
      </c>
      <c r="X222" t="n">
        <v>0</v>
      </c>
      <c r="Y222" s="100" t="n">
        <v>2017</v>
      </c>
      <c r="Z222" t="s">
        <v>389</v>
      </c>
      <c r="AA222" s="101" t="str">
        <f>IF(G222="shared-count-once",COUNTIFS($A$2:$A$807,A222,$B$2:$B$807,B222,$D$2:$D$807,D222),1)</f>
      </c>
    </row>
    <row r="223">
      <c r="A223" t="s">
        <v>219</v>
      </c>
      <c r="B223" s="79" t="n">
        <v>2038</v>
      </c>
      <c r="C223" t="s">
        <v>219</v>
      </c>
      <c r="D223" s="80" t="s">
        <v>399</v>
      </c>
      <c r="E223" s="81" t="s">
        <v>400</v>
      </c>
      <c r="F223" s="82" t="s">
        <v>222</v>
      </c>
      <c r="G223" s="83" t="s">
        <v>395</v>
      </c>
      <c r="H223" s="84" t="s">
        <v>386</v>
      </c>
      <c r="I223" s="85" t="n">
        <v>1</v>
      </c>
      <c r="J223" s="86" t="n">
        <v>1</v>
      </c>
      <c r="K223" s="87" t="n">
        <v>0.008775</v>
      </c>
      <c r="L223" s="88" t="n">
        <v>311445837.134625</v>
      </c>
      <c r="M223" s="89" t="n">
        <v>311445837.134625</v>
      </c>
      <c r="N223" s="90" t="str">
        <f>MIN(MAX((B223-'Calculation_Assumptions'!$B$5+1)/'Calculation_Assumptions'!$B$7,0),1)</f>
      </c>
      <c r="O223" s="91" t="str">
        <f>L223*I223</f>
      </c>
      <c r="P223" s="92" t="str">
        <f>M223*I223</f>
      </c>
      <c r="Q223" s="93" t="str">
        <f>P223*'Calculation_Assumptions'!$B$14*J223*K223</f>
      </c>
      <c r="R223" s="94" t="str">
        <f>O223*N223*J223*K223</f>
      </c>
      <c r="S223" s="95" t="str">
        <f>R223-Q223</f>
      </c>
      <c r="T223" s="96" t="str">
        <f>1/(1+'Calculation_Assumptions'!$B$8)^(B223-'Calculation_Assumptions'!$B$2)</f>
      </c>
      <c r="U223" s="97" t="str">
        <f>Q223*T223</f>
      </c>
      <c r="V223" s="98" t="str">
        <f>R223*T223</f>
      </c>
      <c r="W223" s="99" t="str">
        <f>S223*T223</f>
      </c>
      <c r="X223" t="n">
        <v>0</v>
      </c>
      <c r="Y223" s="100" t="n">
        <v>2017</v>
      </c>
      <c r="Z223" t="s">
        <v>389</v>
      </c>
      <c r="AA223" s="101" t="str">
        <f>IF(G223="shared-count-once",COUNTIFS($A$2:$A$807,A223,$B$2:$B$807,B223,$D$2:$D$807,D223),1)</f>
      </c>
    </row>
    <row r="224">
      <c r="A224" t="s">
        <v>219</v>
      </c>
      <c r="B224" s="79" t="n">
        <v>2039</v>
      </c>
      <c r="C224" t="s">
        <v>219</v>
      </c>
      <c r="D224" s="80" t="s">
        <v>399</v>
      </c>
      <c r="E224" s="81" t="s">
        <v>400</v>
      </c>
      <c r="F224" s="82" t="s">
        <v>222</v>
      </c>
      <c r="G224" s="83" t="s">
        <v>395</v>
      </c>
      <c r="H224" s="84" t="s">
        <v>386</v>
      </c>
      <c r="I224" s="85" t="n">
        <v>1</v>
      </c>
      <c r="J224" s="86" t="n">
        <v>1</v>
      </c>
      <c r="K224" s="87" t="n">
        <v>0.008775</v>
      </c>
      <c r="L224" s="88" t="n">
        <v>312806989.715685</v>
      </c>
      <c r="M224" s="89" t="n">
        <v>312806989.715685</v>
      </c>
      <c r="N224" s="90" t="str">
        <f>MIN(MAX((B224-'Calculation_Assumptions'!$B$5+1)/'Calculation_Assumptions'!$B$7,0),1)</f>
      </c>
      <c r="O224" s="91" t="str">
        <f>L224*I224</f>
      </c>
      <c r="P224" s="92" t="str">
        <f>M224*I224</f>
      </c>
      <c r="Q224" s="93" t="str">
        <f>P224*'Calculation_Assumptions'!$B$14*J224*K224</f>
      </c>
      <c r="R224" s="94" t="str">
        <f>O224*N224*J224*K224</f>
      </c>
      <c r="S224" s="95" t="str">
        <f>R224-Q224</f>
      </c>
      <c r="T224" s="96" t="str">
        <f>1/(1+'Calculation_Assumptions'!$B$8)^(B224-'Calculation_Assumptions'!$B$2)</f>
      </c>
      <c r="U224" s="97" t="str">
        <f>Q224*T224</f>
      </c>
      <c r="V224" s="98" t="str">
        <f>R224*T224</f>
      </c>
      <c r="W224" s="99" t="str">
        <f>S224*T224</f>
      </c>
      <c r="X224" t="n">
        <v>0</v>
      </c>
      <c r="Y224" s="100" t="n">
        <v>2017</v>
      </c>
      <c r="Z224" t="s">
        <v>389</v>
      </c>
      <c r="AA224" s="101" t="str">
        <f>IF(G224="shared-count-once",COUNTIFS($A$2:$A$807,A224,$B$2:$B$807,B224,$D$2:$D$807,D224),1)</f>
      </c>
    </row>
    <row r="225">
      <c r="A225" t="s">
        <v>219</v>
      </c>
      <c r="B225" s="79" t="n">
        <v>2040</v>
      </c>
      <c r="C225" t="s">
        <v>219</v>
      </c>
      <c r="D225" s="80" t="s">
        <v>399</v>
      </c>
      <c r="E225" s="81" t="s">
        <v>400</v>
      </c>
      <c r="F225" s="82" t="s">
        <v>222</v>
      </c>
      <c r="G225" s="83" t="s">
        <v>395</v>
      </c>
      <c r="H225" s="84" t="s">
        <v>386</v>
      </c>
      <c r="I225" s="85" t="n">
        <v>1</v>
      </c>
      <c r="J225" s="86" t="n">
        <v>1</v>
      </c>
      <c r="K225" s="87" t="n">
        <v>0.008775</v>
      </c>
      <c r="L225" s="88" t="n">
        <v>314109251.582649</v>
      </c>
      <c r="M225" s="89" t="n">
        <v>314109251.582649</v>
      </c>
      <c r="N225" s="90" t="str">
        <f>MIN(MAX((B225-'Calculation_Assumptions'!$B$5+1)/'Calculation_Assumptions'!$B$7,0),1)</f>
      </c>
      <c r="O225" s="91" t="str">
        <f>L225*I225</f>
      </c>
      <c r="P225" s="92" t="str">
        <f>M225*I225</f>
      </c>
      <c r="Q225" s="93" t="str">
        <f>P225*'Calculation_Assumptions'!$B$14*J225*K225</f>
      </c>
      <c r="R225" s="94" t="str">
        <f>O225*N225*J225*K225</f>
      </c>
      <c r="S225" s="95" t="str">
        <f>R225-Q225</f>
      </c>
      <c r="T225" s="96" t="str">
        <f>1/(1+'Calculation_Assumptions'!$B$8)^(B225-'Calculation_Assumptions'!$B$2)</f>
      </c>
      <c r="U225" s="97" t="str">
        <f>Q225*T225</f>
      </c>
      <c r="V225" s="98" t="str">
        <f>R225*T225</f>
      </c>
      <c r="W225" s="99" t="str">
        <f>S225*T225</f>
      </c>
      <c r="X225" t="n">
        <v>0</v>
      </c>
      <c r="Y225" s="100" t="n">
        <v>2017</v>
      </c>
      <c r="Z225" t="s">
        <v>389</v>
      </c>
      <c r="AA225" s="101" t="str">
        <f>IF(G225="shared-count-once",COUNTIFS($A$2:$A$807,A225,$B$2:$B$807,B225,$D$2:$D$807,D225),1)</f>
      </c>
    </row>
    <row r="226">
      <c r="A226" t="s">
        <v>219</v>
      </c>
      <c r="B226" s="79" t="n">
        <v>2041</v>
      </c>
      <c r="C226" t="s">
        <v>219</v>
      </c>
      <c r="D226" s="80" t="s">
        <v>399</v>
      </c>
      <c r="E226" s="81" t="s">
        <v>400</v>
      </c>
      <c r="F226" s="82" t="s">
        <v>222</v>
      </c>
      <c r="G226" s="83" t="s">
        <v>395</v>
      </c>
      <c r="H226" s="84" t="s">
        <v>386</v>
      </c>
      <c r="I226" s="85" t="n">
        <v>1</v>
      </c>
      <c r="J226" s="86" t="n">
        <v>1</v>
      </c>
      <c r="K226" s="87" t="n">
        <v>0.008775</v>
      </c>
      <c r="L226" s="88" t="n">
        <v>315352079.812423</v>
      </c>
      <c r="M226" s="89" t="n">
        <v>315352079.812423</v>
      </c>
      <c r="N226" s="90" t="str">
        <f>MIN(MAX((B226-'Calculation_Assumptions'!$B$5+1)/'Calculation_Assumptions'!$B$7,0),1)</f>
      </c>
      <c r="O226" s="91" t="str">
        <f>L226*I226</f>
      </c>
      <c r="P226" s="92" t="str">
        <f>M226*I226</f>
      </c>
      <c r="Q226" s="93" t="str">
        <f>P226*'Calculation_Assumptions'!$B$14*J226*K226</f>
      </c>
      <c r="R226" s="94" t="str">
        <f>O226*N226*J226*K226</f>
      </c>
      <c r="S226" s="95" t="str">
        <f>R226-Q226</f>
      </c>
      <c r="T226" s="96" t="str">
        <f>1/(1+'Calculation_Assumptions'!$B$8)^(B226-'Calculation_Assumptions'!$B$2)</f>
      </c>
      <c r="U226" s="97" t="str">
        <f>Q226*T226</f>
      </c>
      <c r="V226" s="98" t="str">
        <f>R226*T226</f>
      </c>
      <c r="W226" s="99" t="str">
        <f>S226*T226</f>
      </c>
      <c r="X226" t="n">
        <v>0</v>
      </c>
      <c r="Y226" s="100" t="n">
        <v>2017</v>
      </c>
      <c r="Z226" t="s">
        <v>389</v>
      </c>
      <c r="AA226" s="101" t="str">
        <f>IF(G226="shared-count-once",COUNTIFS($A$2:$A$807,A226,$B$2:$B$807,B226,$D$2:$D$807,D226),1)</f>
      </c>
    </row>
    <row r="227">
      <c r="A227" t="s">
        <v>219</v>
      </c>
      <c r="B227" s="79" t="n">
        <v>2042</v>
      </c>
      <c r="C227" t="s">
        <v>219</v>
      </c>
      <c r="D227" s="80" t="s">
        <v>399</v>
      </c>
      <c r="E227" s="81" t="s">
        <v>400</v>
      </c>
      <c r="F227" s="82" t="s">
        <v>222</v>
      </c>
      <c r="G227" s="83" t="s">
        <v>395</v>
      </c>
      <c r="H227" s="84" t="s">
        <v>386</v>
      </c>
      <c r="I227" s="85" t="n">
        <v>1</v>
      </c>
      <c r="J227" s="86" t="n">
        <v>1</v>
      </c>
      <c r="K227" s="87" t="n">
        <v>0.008775</v>
      </c>
      <c r="L227" s="88" t="n">
        <v>316395286.312016</v>
      </c>
      <c r="M227" s="89" t="n">
        <v>316395286.312016</v>
      </c>
      <c r="N227" s="90" t="str">
        <f>MIN(MAX((B227-'Calculation_Assumptions'!$B$5+1)/'Calculation_Assumptions'!$B$7,0),1)</f>
      </c>
      <c r="O227" s="91" t="str">
        <f>L227*I227</f>
      </c>
      <c r="P227" s="92" t="str">
        <f>M227*I227</f>
      </c>
      <c r="Q227" s="93" t="str">
        <f>P227*'Calculation_Assumptions'!$B$14*J227*K227</f>
      </c>
      <c r="R227" s="94" t="str">
        <f>O227*N227*J227*K227</f>
      </c>
      <c r="S227" s="95" t="str">
        <f>R227-Q227</f>
      </c>
      <c r="T227" s="96" t="str">
        <f>1/(1+'Calculation_Assumptions'!$B$8)^(B227-'Calculation_Assumptions'!$B$2)</f>
      </c>
      <c r="U227" s="97" t="str">
        <f>Q227*T227</f>
      </c>
      <c r="V227" s="98" t="str">
        <f>R227*T227</f>
      </c>
      <c r="W227" s="99" t="str">
        <f>S227*T227</f>
      </c>
      <c r="X227" t="n">
        <v>0</v>
      </c>
      <c r="Y227" s="100" t="n">
        <v>2017</v>
      </c>
      <c r="Z227" t="s">
        <v>389</v>
      </c>
      <c r="AA227" s="101" t="str">
        <f>IF(G227="shared-count-once",COUNTIFS($A$2:$A$807,A227,$B$2:$B$807,B227,$D$2:$D$807,D227),1)</f>
      </c>
    </row>
    <row r="228">
      <c r="A228" t="s">
        <v>219</v>
      </c>
      <c r="B228" s="79" t="n">
        <v>2043</v>
      </c>
      <c r="C228" t="s">
        <v>219</v>
      </c>
      <c r="D228" s="80" t="s">
        <v>399</v>
      </c>
      <c r="E228" s="81" t="s">
        <v>400</v>
      </c>
      <c r="F228" s="82" t="s">
        <v>222</v>
      </c>
      <c r="G228" s="83" t="s">
        <v>395</v>
      </c>
      <c r="H228" s="84" t="s">
        <v>386</v>
      </c>
      <c r="I228" s="85" t="n">
        <v>1</v>
      </c>
      <c r="J228" s="86" t="n">
        <v>1</v>
      </c>
      <c r="K228" s="87" t="n">
        <v>0.008775</v>
      </c>
      <c r="L228" s="88" t="n">
        <v>317619735.688289</v>
      </c>
      <c r="M228" s="89" t="n">
        <v>317619735.688289</v>
      </c>
      <c r="N228" s="90" t="str">
        <f>MIN(MAX((B228-'Calculation_Assumptions'!$B$5+1)/'Calculation_Assumptions'!$B$7,0),1)</f>
      </c>
      <c r="O228" s="91" t="str">
        <f>L228*I228</f>
      </c>
      <c r="P228" s="92" t="str">
        <f>M228*I228</f>
      </c>
      <c r="Q228" s="93" t="str">
        <f>P228*'Calculation_Assumptions'!$B$14*J228*K228</f>
      </c>
      <c r="R228" s="94" t="str">
        <f>O228*N228*J228*K228</f>
      </c>
      <c r="S228" s="95" t="str">
        <f>R228-Q228</f>
      </c>
      <c r="T228" s="96" t="str">
        <f>1/(1+'Calculation_Assumptions'!$B$8)^(B228-'Calculation_Assumptions'!$B$2)</f>
      </c>
      <c r="U228" s="97" t="str">
        <f>Q228*T228</f>
      </c>
      <c r="V228" s="98" t="str">
        <f>R228*T228</f>
      </c>
      <c r="W228" s="99" t="str">
        <f>S228*T228</f>
      </c>
      <c r="X228" t="n">
        <v>0</v>
      </c>
      <c r="Y228" s="100" t="n">
        <v>2017</v>
      </c>
      <c r="Z228" t="s">
        <v>389</v>
      </c>
      <c r="AA228" s="101" t="str">
        <f>IF(G228="shared-count-once",COUNTIFS($A$2:$A$807,A228,$B$2:$B$807,B228,$D$2:$D$807,D228),1)</f>
      </c>
    </row>
    <row r="229">
      <c r="A229" t="s">
        <v>219</v>
      </c>
      <c r="B229" s="79" t="n">
        <v>2044</v>
      </c>
      <c r="C229" t="s">
        <v>219</v>
      </c>
      <c r="D229" s="80" t="s">
        <v>399</v>
      </c>
      <c r="E229" s="81" t="s">
        <v>400</v>
      </c>
      <c r="F229" s="82" t="s">
        <v>222</v>
      </c>
      <c r="G229" s="83" t="s">
        <v>395</v>
      </c>
      <c r="H229" s="84" t="s">
        <v>386</v>
      </c>
      <c r="I229" s="85" t="n">
        <v>1</v>
      </c>
      <c r="J229" s="86" t="n">
        <v>1</v>
      </c>
      <c r="K229" s="87" t="n">
        <v>0.008775</v>
      </c>
      <c r="L229" s="88" t="n">
        <v>318697135.863652</v>
      </c>
      <c r="M229" s="89" t="n">
        <v>318697135.863652</v>
      </c>
      <c r="N229" s="90" t="str">
        <f>MIN(MAX((B229-'Calculation_Assumptions'!$B$5+1)/'Calculation_Assumptions'!$B$7,0),1)</f>
      </c>
      <c r="O229" s="91" t="str">
        <f>L229*I229</f>
      </c>
      <c r="P229" s="92" t="str">
        <f>M229*I229</f>
      </c>
      <c r="Q229" s="93" t="str">
        <f>P229*'Calculation_Assumptions'!$B$14*J229*K229</f>
      </c>
      <c r="R229" s="94" t="str">
        <f>O229*N229*J229*K229</f>
      </c>
      <c r="S229" s="95" t="str">
        <f>R229-Q229</f>
      </c>
      <c r="T229" s="96" t="str">
        <f>1/(1+'Calculation_Assumptions'!$B$8)^(B229-'Calculation_Assumptions'!$B$2)</f>
      </c>
      <c r="U229" s="97" t="str">
        <f>Q229*T229</f>
      </c>
      <c r="V229" s="98" t="str">
        <f>R229*T229</f>
      </c>
      <c r="W229" s="99" t="str">
        <f>S229*T229</f>
      </c>
      <c r="X229" t="n">
        <v>0</v>
      </c>
      <c r="Y229" s="100" t="n">
        <v>2017</v>
      </c>
      <c r="Z229" t="s">
        <v>389</v>
      </c>
      <c r="AA229" s="101" t="str">
        <f>IF(G229="shared-count-once",COUNTIFS($A$2:$A$807,A229,$B$2:$B$807,B229,$D$2:$D$807,D229),1)</f>
      </c>
    </row>
    <row r="230">
      <c r="A230" t="s">
        <v>219</v>
      </c>
      <c r="B230" s="79" t="n">
        <v>2045</v>
      </c>
      <c r="C230" t="s">
        <v>219</v>
      </c>
      <c r="D230" s="80" t="s">
        <v>399</v>
      </c>
      <c r="E230" s="81" t="s">
        <v>400</v>
      </c>
      <c r="F230" s="82" t="s">
        <v>222</v>
      </c>
      <c r="G230" s="83" t="s">
        <v>395</v>
      </c>
      <c r="H230" s="84" t="s">
        <v>386</v>
      </c>
      <c r="I230" s="85" t="n">
        <v>1</v>
      </c>
      <c r="J230" s="86" t="n">
        <v>1</v>
      </c>
      <c r="K230" s="87" t="n">
        <v>0.008775</v>
      </c>
      <c r="L230" s="88" t="n">
        <v>319717840.85179</v>
      </c>
      <c r="M230" s="89" t="n">
        <v>319717840.85179</v>
      </c>
      <c r="N230" s="90" t="str">
        <f>MIN(MAX((B230-'Calculation_Assumptions'!$B$5+1)/'Calculation_Assumptions'!$B$7,0),1)</f>
      </c>
      <c r="O230" s="91" t="str">
        <f>L230*I230</f>
      </c>
      <c r="P230" s="92" t="str">
        <f>M230*I230</f>
      </c>
      <c r="Q230" s="93" t="str">
        <f>P230*'Calculation_Assumptions'!$B$14*J230*K230</f>
      </c>
      <c r="R230" s="94" t="str">
        <f>O230*N230*J230*K230</f>
      </c>
      <c r="S230" s="95" t="str">
        <f>R230-Q230</f>
      </c>
      <c r="T230" s="96" t="str">
        <f>1/(1+'Calculation_Assumptions'!$B$8)^(B230-'Calculation_Assumptions'!$B$2)</f>
      </c>
      <c r="U230" s="97" t="str">
        <f>Q230*T230</f>
      </c>
      <c r="V230" s="98" t="str">
        <f>R230*T230</f>
      </c>
      <c r="W230" s="99" t="str">
        <f>S230*T230</f>
      </c>
      <c r="X230" t="n">
        <v>0</v>
      </c>
      <c r="Y230" s="100" t="n">
        <v>2017</v>
      </c>
      <c r="Z230" t="s">
        <v>389</v>
      </c>
      <c r="AA230" s="101" t="str">
        <f>IF(G230="shared-count-once",COUNTIFS($A$2:$A$807,A230,$B$2:$B$807,B230,$D$2:$D$807,D230),1)</f>
      </c>
    </row>
    <row r="231">
      <c r="A231" t="s">
        <v>219</v>
      </c>
      <c r="B231" s="79" t="n">
        <v>2046</v>
      </c>
      <c r="C231" t="s">
        <v>219</v>
      </c>
      <c r="D231" s="80" t="s">
        <v>399</v>
      </c>
      <c r="E231" s="81" t="s">
        <v>400</v>
      </c>
      <c r="F231" s="82" t="s">
        <v>222</v>
      </c>
      <c r="G231" s="83" t="s">
        <v>395</v>
      </c>
      <c r="H231" s="84" t="s">
        <v>386</v>
      </c>
      <c r="I231" s="85" t="n">
        <v>1</v>
      </c>
      <c r="J231" s="86" t="n">
        <v>1</v>
      </c>
      <c r="K231" s="87" t="n">
        <v>0.008775</v>
      </c>
      <c r="L231" s="88" t="n">
        <v>320683879.806276</v>
      </c>
      <c r="M231" s="89" t="n">
        <v>320683879.806276</v>
      </c>
      <c r="N231" s="90" t="str">
        <f>MIN(MAX((B231-'Calculation_Assumptions'!$B$5+1)/'Calculation_Assumptions'!$B$7,0),1)</f>
      </c>
      <c r="O231" s="91" t="str">
        <f>L231*I231</f>
      </c>
      <c r="P231" s="92" t="str">
        <f>M231*I231</f>
      </c>
      <c r="Q231" s="93" t="str">
        <f>P231*'Calculation_Assumptions'!$B$14*J231*K231</f>
      </c>
      <c r="R231" s="94" t="str">
        <f>O231*N231*J231*K231</f>
      </c>
      <c r="S231" s="95" t="str">
        <f>R231-Q231</f>
      </c>
      <c r="T231" s="96" t="str">
        <f>1/(1+'Calculation_Assumptions'!$B$8)^(B231-'Calculation_Assumptions'!$B$2)</f>
      </c>
      <c r="U231" s="97" t="str">
        <f>Q231*T231</f>
      </c>
      <c r="V231" s="98" t="str">
        <f>R231*T231</f>
      </c>
      <c r="W231" s="99" t="str">
        <f>S231*T231</f>
      </c>
      <c r="X231" t="n">
        <v>0</v>
      </c>
      <c r="Y231" s="100" t="n">
        <v>2017</v>
      </c>
      <c r="Z231" t="s">
        <v>389</v>
      </c>
      <c r="AA231" s="101" t="str">
        <f>IF(G231="shared-count-once",COUNTIFS($A$2:$A$807,A231,$B$2:$B$807,B231,$D$2:$D$807,D231),1)</f>
      </c>
    </row>
    <row r="232">
      <c r="A232" t="s">
        <v>219</v>
      </c>
      <c r="B232" s="79" t="n">
        <v>2047</v>
      </c>
      <c r="C232" t="s">
        <v>219</v>
      </c>
      <c r="D232" s="80" t="s">
        <v>399</v>
      </c>
      <c r="E232" s="81" t="s">
        <v>400</v>
      </c>
      <c r="F232" s="82" t="s">
        <v>222</v>
      </c>
      <c r="G232" s="83" t="s">
        <v>395</v>
      </c>
      <c r="H232" s="84" t="s">
        <v>386</v>
      </c>
      <c r="I232" s="85" t="n">
        <v>1</v>
      </c>
      <c r="J232" s="86" t="n">
        <v>1</v>
      </c>
      <c r="K232" s="87" t="n">
        <v>0.008775</v>
      </c>
      <c r="L232" s="88" t="n">
        <v>321595541.389526</v>
      </c>
      <c r="M232" s="89" t="n">
        <v>321595541.389526</v>
      </c>
      <c r="N232" s="90" t="str">
        <f>MIN(MAX((B232-'Calculation_Assumptions'!$B$5+1)/'Calculation_Assumptions'!$B$7,0),1)</f>
      </c>
      <c r="O232" s="91" t="str">
        <f>L232*I232</f>
      </c>
      <c r="P232" s="92" t="str">
        <f>M232*I232</f>
      </c>
      <c r="Q232" s="93" t="str">
        <f>P232*'Calculation_Assumptions'!$B$14*J232*K232</f>
      </c>
      <c r="R232" s="94" t="str">
        <f>O232*N232*J232*K232</f>
      </c>
      <c r="S232" s="95" t="str">
        <f>R232-Q232</f>
      </c>
      <c r="T232" s="96" t="str">
        <f>1/(1+'Calculation_Assumptions'!$B$8)^(B232-'Calculation_Assumptions'!$B$2)</f>
      </c>
      <c r="U232" s="97" t="str">
        <f>Q232*T232</f>
      </c>
      <c r="V232" s="98" t="str">
        <f>R232*T232</f>
      </c>
      <c r="W232" s="99" t="str">
        <f>S232*T232</f>
      </c>
      <c r="X232" t="n">
        <v>0</v>
      </c>
      <c r="Y232" s="100" t="n">
        <v>2017</v>
      </c>
      <c r="Z232" t="s">
        <v>389</v>
      </c>
      <c r="AA232" s="101" t="str">
        <f>IF(G232="shared-count-once",COUNTIFS($A$2:$A$807,A232,$B$2:$B$807,B232,$D$2:$D$807,D232),1)</f>
      </c>
    </row>
    <row r="233">
      <c r="A233" t="s">
        <v>219</v>
      </c>
      <c r="B233" s="79" t="n">
        <v>2048</v>
      </c>
      <c r="C233" t="s">
        <v>219</v>
      </c>
      <c r="D233" s="80" t="s">
        <v>399</v>
      </c>
      <c r="E233" s="81" t="s">
        <v>400</v>
      </c>
      <c r="F233" s="82" t="s">
        <v>222</v>
      </c>
      <c r="G233" s="83" t="s">
        <v>395</v>
      </c>
      <c r="H233" s="84" t="s">
        <v>386</v>
      </c>
      <c r="I233" s="85" t="n">
        <v>1</v>
      </c>
      <c r="J233" s="86" t="n">
        <v>1</v>
      </c>
      <c r="K233" s="87" t="n">
        <v>0.008775</v>
      </c>
      <c r="L233" s="88" t="n">
        <v>322453622.669464</v>
      </c>
      <c r="M233" s="89" t="n">
        <v>322453622.669464</v>
      </c>
      <c r="N233" s="90" t="str">
        <f>MIN(MAX((B233-'Calculation_Assumptions'!$B$5+1)/'Calculation_Assumptions'!$B$7,0),1)</f>
      </c>
      <c r="O233" s="91" t="str">
        <f>L233*I233</f>
      </c>
      <c r="P233" s="92" t="str">
        <f>M233*I233</f>
      </c>
      <c r="Q233" s="93" t="str">
        <f>P233*'Calculation_Assumptions'!$B$14*J233*K233</f>
      </c>
      <c r="R233" s="94" t="str">
        <f>O233*N233*J233*K233</f>
      </c>
      <c r="S233" s="95" t="str">
        <f>R233-Q233</f>
      </c>
      <c r="T233" s="96" t="str">
        <f>1/(1+'Calculation_Assumptions'!$B$8)^(B233-'Calculation_Assumptions'!$B$2)</f>
      </c>
      <c r="U233" s="97" t="str">
        <f>Q233*T233</f>
      </c>
      <c r="V233" s="98" t="str">
        <f>R233*T233</f>
      </c>
      <c r="W233" s="99" t="str">
        <f>S233*T233</f>
      </c>
      <c r="X233" t="n">
        <v>0</v>
      </c>
      <c r="Y233" s="100" t="n">
        <v>2017</v>
      </c>
      <c r="Z233" t="s">
        <v>389</v>
      </c>
      <c r="AA233" s="101" t="str">
        <f>IF(G233="shared-count-once",COUNTIFS($A$2:$A$807,A233,$B$2:$B$807,B233,$D$2:$D$807,D233),1)</f>
      </c>
    </row>
    <row r="234">
      <c r="A234" t="s">
        <v>219</v>
      </c>
      <c r="B234" s="79" t="n">
        <v>2049</v>
      </c>
      <c r="C234" t="s">
        <v>219</v>
      </c>
      <c r="D234" s="80" t="s">
        <v>399</v>
      </c>
      <c r="E234" s="81" t="s">
        <v>400</v>
      </c>
      <c r="F234" s="82" t="s">
        <v>222</v>
      </c>
      <c r="G234" s="83" t="s">
        <v>395</v>
      </c>
      <c r="H234" s="84" t="s">
        <v>386</v>
      </c>
      <c r="I234" s="85" t="n">
        <v>1</v>
      </c>
      <c r="J234" s="86" t="n">
        <v>1</v>
      </c>
      <c r="K234" s="87" t="n">
        <v>0.008775</v>
      </c>
      <c r="L234" s="88" t="n">
        <v>323259246.716719</v>
      </c>
      <c r="M234" s="89" t="n">
        <v>323259246.716719</v>
      </c>
      <c r="N234" s="90" t="str">
        <f>MIN(MAX((B234-'Calculation_Assumptions'!$B$5+1)/'Calculation_Assumptions'!$B$7,0),1)</f>
      </c>
      <c r="O234" s="91" t="str">
        <f>L234*I234</f>
      </c>
      <c r="P234" s="92" t="str">
        <f>M234*I234</f>
      </c>
      <c r="Q234" s="93" t="str">
        <f>P234*'Calculation_Assumptions'!$B$14*J234*K234</f>
      </c>
      <c r="R234" s="94" t="str">
        <f>O234*N234*J234*K234</f>
      </c>
      <c r="S234" s="95" t="str">
        <f>R234-Q234</f>
      </c>
      <c r="T234" s="96" t="str">
        <f>1/(1+'Calculation_Assumptions'!$B$8)^(B234-'Calculation_Assumptions'!$B$2)</f>
      </c>
      <c r="U234" s="97" t="str">
        <f>Q234*T234</f>
      </c>
      <c r="V234" s="98" t="str">
        <f>R234*T234</f>
      </c>
      <c r="W234" s="99" t="str">
        <f>S234*T234</f>
      </c>
      <c r="X234" t="n">
        <v>0</v>
      </c>
      <c r="Y234" s="100" t="n">
        <v>2017</v>
      </c>
      <c r="Z234" t="s">
        <v>389</v>
      </c>
      <c r="AA234" s="101" t="str">
        <f>IF(G234="shared-count-once",COUNTIFS($A$2:$A$807,A234,$B$2:$B$807,B234,$D$2:$D$807,D234),1)</f>
      </c>
    </row>
    <row r="235">
      <c r="A235" t="s">
        <v>219</v>
      </c>
      <c r="B235" s="79" t="n">
        <v>2050</v>
      </c>
      <c r="C235" t="s">
        <v>219</v>
      </c>
      <c r="D235" s="80" t="s">
        <v>399</v>
      </c>
      <c r="E235" s="81" t="s">
        <v>400</v>
      </c>
      <c r="F235" s="82" t="s">
        <v>222</v>
      </c>
      <c r="G235" s="83" t="s">
        <v>395</v>
      </c>
      <c r="H235" s="84" t="s">
        <v>386</v>
      </c>
      <c r="I235" s="85" t="n">
        <v>1</v>
      </c>
      <c r="J235" s="86" t="n">
        <v>1</v>
      </c>
      <c r="K235" s="87" t="n">
        <v>0.008775</v>
      </c>
      <c r="L235" s="88" t="n">
        <v>324013738.182479</v>
      </c>
      <c r="M235" s="89" t="n">
        <v>324013738.182479</v>
      </c>
      <c r="N235" s="90" t="str">
        <f>MIN(MAX((B235-'Calculation_Assumptions'!$B$5+1)/'Calculation_Assumptions'!$B$7,0),1)</f>
      </c>
      <c r="O235" s="91" t="str">
        <f>L235*I235</f>
      </c>
      <c r="P235" s="92" t="str">
        <f>M235*I235</f>
      </c>
      <c r="Q235" s="93" t="str">
        <f>P235*'Calculation_Assumptions'!$B$14*J235*K235</f>
      </c>
      <c r="R235" s="94" t="str">
        <f>O235*N235*J235*K235</f>
      </c>
      <c r="S235" s="95" t="str">
        <f>R235-Q235</f>
      </c>
      <c r="T235" s="96" t="str">
        <f>1/(1+'Calculation_Assumptions'!$B$8)^(B235-'Calculation_Assumptions'!$B$2)</f>
      </c>
      <c r="U235" s="97" t="str">
        <f>Q235*T235</f>
      </c>
      <c r="V235" s="98" t="str">
        <f>R235*T235</f>
      </c>
      <c r="W235" s="99" t="str">
        <f>S235*T235</f>
      </c>
      <c r="X235" t="n">
        <v>0</v>
      </c>
      <c r="Y235" s="100" t="n">
        <v>2017</v>
      </c>
      <c r="Z235" t="s">
        <v>389</v>
      </c>
      <c r="AA235" s="101" t="str">
        <f>IF(G235="shared-count-once",COUNTIFS($A$2:$A$807,A235,$B$2:$B$807,B235,$D$2:$D$807,D235),1)</f>
      </c>
    </row>
    <row r="236">
      <c r="A236" t="s">
        <v>202</v>
      </c>
      <c r="B236" s="79" t="n">
        <v>2025</v>
      </c>
      <c r="C236" t="s">
        <v>202</v>
      </c>
      <c r="D236" s="80" t="s">
        <v>393</v>
      </c>
      <c r="E236" s="81" t="s">
        <v>394</v>
      </c>
      <c r="F236" s="82" t="s">
        <v>206</v>
      </c>
      <c r="G236" s="83" t="s">
        <v>395</v>
      </c>
      <c r="H236" s="84" t="s">
        <v>386</v>
      </c>
      <c r="I236" s="85" t="n">
        <v>1</v>
      </c>
      <c r="J236" s="86" t="n">
        <v>1</v>
      </c>
      <c r="K236" s="87" t="n">
        <v>0.008775</v>
      </c>
      <c r="L236" s="88" t="n">
        <v>288000821.106462</v>
      </c>
      <c r="M236" s="89" t="n">
        <v>288000821.106462</v>
      </c>
      <c r="N236" s="90" t="str">
        <f>MIN(MAX((B236-'Calculation_Assumptions'!$B$5+1)/'Calculation_Assumptions'!$B$7,0),1)</f>
      </c>
      <c r="O236" s="91" t="str">
        <f>L236*I236</f>
      </c>
      <c r="P236" s="92" t="str">
        <f>M236*I236</f>
      </c>
      <c r="Q236" s="93" t="str">
        <f>P236*'Calculation_Assumptions'!$B$14*J236*K236</f>
      </c>
      <c r="R236" s="94" t="str">
        <f>O236*N236*J236*K236</f>
      </c>
      <c r="S236" s="95" t="str">
        <f>R236-Q236</f>
      </c>
      <c r="T236" s="96" t="str">
        <f>1/(1+'Calculation_Assumptions'!$B$8)^(B236-'Calculation_Assumptions'!$B$2)</f>
      </c>
      <c r="U236" s="97" t="str">
        <f>Q236*T236</f>
      </c>
      <c r="V236" s="98" t="str">
        <f>R236*T236</f>
      </c>
      <c r="W236" s="99" t="str">
        <f>S236*T236</f>
      </c>
      <c r="X236" t="n">
        <v>0</v>
      </c>
      <c r="Y236" s="100" t="n">
        <v>2017</v>
      </c>
      <c r="Z236" t="s">
        <v>389</v>
      </c>
      <c r="AA236" s="101" t="str">
        <f>IF(G236="shared-count-once",COUNTIFS($A$2:$A$807,A236,$B$2:$B$807,B236,$D$2:$D$807,D236),1)</f>
      </c>
    </row>
    <row r="237">
      <c r="A237" t="s">
        <v>202</v>
      </c>
      <c r="B237" s="79" t="n">
        <v>2026</v>
      </c>
      <c r="C237" t="s">
        <v>202</v>
      </c>
      <c r="D237" s="80" t="s">
        <v>393</v>
      </c>
      <c r="E237" s="81" t="s">
        <v>394</v>
      </c>
      <c r="F237" s="82" t="s">
        <v>206</v>
      </c>
      <c r="G237" s="83" t="s">
        <v>395</v>
      </c>
      <c r="H237" s="84" t="s">
        <v>386</v>
      </c>
      <c r="I237" s="85" t="n">
        <v>1</v>
      </c>
      <c r="J237" s="86" t="n">
        <v>1</v>
      </c>
      <c r="K237" s="87" t="n">
        <v>0.008775</v>
      </c>
      <c r="L237" s="88" t="n">
        <v>290123496.103219</v>
      </c>
      <c r="M237" s="89" t="n">
        <v>290123496.103219</v>
      </c>
      <c r="N237" s="90" t="str">
        <f>MIN(MAX((B237-'Calculation_Assumptions'!$B$5+1)/'Calculation_Assumptions'!$B$7,0),1)</f>
      </c>
      <c r="O237" s="91" t="str">
        <f>L237*I237</f>
      </c>
      <c r="P237" s="92" t="str">
        <f>M237*I237</f>
      </c>
      <c r="Q237" s="93" t="str">
        <f>P237*'Calculation_Assumptions'!$B$14*J237*K237</f>
      </c>
      <c r="R237" s="94" t="str">
        <f>O237*N237*J237*K237</f>
      </c>
      <c r="S237" s="95" t="str">
        <f>R237-Q237</f>
      </c>
      <c r="T237" s="96" t="str">
        <f>1/(1+'Calculation_Assumptions'!$B$8)^(B237-'Calculation_Assumptions'!$B$2)</f>
      </c>
      <c r="U237" s="97" t="str">
        <f>Q237*T237</f>
      </c>
      <c r="V237" s="98" t="str">
        <f>R237*T237</f>
      </c>
      <c r="W237" s="99" t="str">
        <f>S237*T237</f>
      </c>
      <c r="X237" t="n">
        <v>0</v>
      </c>
      <c r="Y237" s="100" t="n">
        <v>2017</v>
      </c>
      <c r="Z237" t="s">
        <v>389</v>
      </c>
      <c r="AA237" s="101" t="str">
        <f>IF(G237="shared-count-once",COUNTIFS($A$2:$A$807,A237,$B$2:$B$807,B237,$D$2:$D$807,D237),1)</f>
      </c>
    </row>
    <row r="238">
      <c r="A238" t="s">
        <v>202</v>
      </c>
      <c r="B238" s="79" t="n">
        <v>2027</v>
      </c>
      <c r="C238" t="s">
        <v>202</v>
      </c>
      <c r="D238" s="80" t="s">
        <v>393</v>
      </c>
      <c r="E238" s="81" t="s">
        <v>394</v>
      </c>
      <c r="F238" s="82" t="s">
        <v>206</v>
      </c>
      <c r="G238" s="83" t="s">
        <v>395</v>
      </c>
      <c r="H238" s="84" t="s">
        <v>386</v>
      </c>
      <c r="I238" s="85" t="n">
        <v>1</v>
      </c>
      <c r="J238" s="86" t="n">
        <v>1</v>
      </c>
      <c r="K238" s="87" t="n">
        <v>0.008775</v>
      </c>
      <c r="L238" s="88" t="n">
        <v>292252895.096956</v>
      </c>
      <c r="M238" s="89" t="n">
        <v>292252895.096956</v>
      </c>
      <c r="N238" s="90" t="str">
        <f>MIN(MAX((B238-'Calculation_Assumptions'!$B$5+1)/'Calculation_Assumptions'!$B$7,0),1)</f>
      </c>
      <c r="O238" s="91" t="str">
        <f>L238*I238</f>
      </c>
      <c r="P238" s="92" t="str">
        <f>M238*I238</f>
      </c>
      <c r="Q238" s="93" t="str">
        <f>P238*'Calculation_Assumptions'!$B$14*J238*K238</f>
      </c>
      <c r="R238" s="94" t="str">
        <f>O238*N238*J238*K238</f>
      </c>
      <c r="S238" s="95" t="str">
        <f>R238-Q238</f>
      </c>
      <c r="T238" s="96" t="str">
        <f>1/(1+'Calculation_Assumptions'!$B$8)^(B238-'Calculation_Assumptions'!$B$2)</f>
      </c>
      <c r="U238" s="97" t="str">
        <f>Q238*T238</f>
      </c>
      <c r="V238" s="98" t="str">
        <f>R238*T238</f>
      </c>
      <c r="W238" s="99" t="str">
        <f>S238*T238</f>
      </c>
      <c r="X238" t="n">
        <v>0</v>
      </c>
      <c r="Y238" s="100" t="n">
        <v>2017</v>
      </c>
      <c r="Z238" t="s">
        <v>389</v>
      </c>
      <c r="AA238" s="101" t="str">
        <f>IF(G238="shared-count-once",COUNTIFS($A$2:$A$807,A238,$B$2:$B$807,B238,$D$2:$D$807,D238),1)</f>
      </c>
    </row>
    <row r="239">
      <c r="A239" t="s">
        <v>202</v>
      </c>
      <c r="B239" s="79" t="n">
        <v>2028</v>
      </c>
      <c r="C239" t="s">
        <v>202</v>
      </c>
      <c r="D239" s="80" t="s">
        <v>393</v>
      </c>
      <c r="E239" s="81" t="s">
        <v>394</v>
      </c>
      <c r="F239" s="82" t="s">
        <v>206</v>
      </c>
      <c r="G239" s="83" t="s">
        <v>395</v>
      </c>
      <c r="H239" s="84" t="s">
        <v>386</v>
      </c>
      <c r="I239" s="85" t="n">
        <v>1</v>
      </c>
      <c r="J239" s="86" t="n">
        <v>1</v>
      </c>
      <c r="K239" s="87" t="n">
        <v>0.008775</v>
      </c>
      <c r="L239" s="88" t="n">
        <v>294315313.299736</v>
      </c>
      <c r="M239" s="89" t="n">
        <v>294314895.305465</v>
      </c>
      <c r="N239" s="90" t="str">
        <f>MIN(MAX((B239-'Calculation_Assumptions'!$B$5+1)/'Calculation_Assumptions'!$B$7,0),1)</f>
      </c>
      <c r="O239" s="91" t="str">
        <f>L239*I239</f>
      </c>
      <c r="P239" s="92" t="str">
        <f>M239*I239</f>
      </c>
      <c r="Q239" s="93" t="str">
        <f>P239*'Calculation_Assumptions'!$B$14*J239*K239</f>
      </c>
      <c r="R239" s="94" t="str">
        <f>O239*N239*J239*K239</f>
      </c>
      <c r="S239" s="95" t="str">
        <f>R239-Q239</f>
      </c>
      <c r="T239" s="96" t="str">
        <f>1/(1+'Calculation_Assumptions'!$B$8)^(B239-'Calculation_Assumptions'!$B$2)</f>
      </c>
      <c r="U239" s="97" t="str">
        <f>Q239*T239</f>
      </c>
      <c r="V239" s="98" t="str">
        <f>R239*T239</f>
      </c>
      <c r="W239" s="99" t="str">
        <f>S239*T239</f>
      </c>
      <c r="X239" t="n">
        <v>0</v>
      </c>
      <c r="Y239" s="100" t="n">
        <v>2017</v>
      </c>
      <c r="Z239" t="s">
        <v>389</v>
      </c>
      <c r="AA239" s="101" t="str">
        <f>IF(G239="shared-count-once",COUNTIFS($A$2:$A$807,A239,$B$2:$B$807,B239,$D$2:$D$807,D239),1)</f>
      </c>
    </row>
    <row r="240">
      <c r="A240" t="s">
        <v>202</v>
      </c>
      <c r="B240" s="79" t="n">
        <v>2029</v>
      </c>
      <c r="C240" t="s">
        <v>202</v>
      </c>
      <c r="D240" s="80" t="s">
        <v>393</v>
      </c>
      <c r="E240" s="81" t="s">
        <v>394</v>
      </c>
      <c r="F240" s="82" t="s">
        <v>206</v>
      </c>
      <c r="G240" s="83" t="s">
        <v>395</v>
      </c>
      <c r="H240" s="84" t="s">
        <v>386</v>
      </c>
      <c r="I240" s="85" t="n">
        <v>1</v>
      </c>
      <c r="J240" s="86" t="n">
        <v>1</v>
      </c>
      <c r="K240" s="87" t="n">
        <v>0.008775</v>
      </c>
      <c r="L240" s="88" t="n">
        <v>296342578.74281</v>
      </c>
      <c r="M240" s="89" t="n">
        <v>296341062.542853</v>
      </c>
      <c r="N240" s="90" t="str">
        <f>MIN(MAX((B240-'Calculation_Assumptions'!$B$5+1)/'Calculation_Assumptions'!$B$7,0),1)</f>
      </c>
      <c r="O240" s="91" t="str">
        <f>L240*I240</f>
      </c>
      <c r="P240" s="92" t="str">
        <f>M240*I240</f>
      </c>
      <c r="Q240" s="93" t="str">
        <f>P240*'Calculation_Assumptions'!$B$14*J240*K240</f>
      </c>
      <c r="R240" s="94" t="str">
        <f>O240*N240*J240*K240</f>
      </c>
      <c r="S240" s="95" t="str">
        <f>R240-Q240</f>
      </c>
      <c r="T240" s="96" t="str">
        <f>1/(1+'Calculation_Assumptions'!$B$8)^(B240-'Calculation_Assumptions'!$B$2)</f>
      </c>
      <c r="U240" s="97" t="str">
        <f>Q240*T240</f>
      </c>
      <c r="V240" s="98" t="str">
        <f>R240*T240</f>
      </c>
      <c r="W240" s="99" t="str">
        <f>S240*T240</f>
      </c>
      <c r="X240" t="n">
        <v>0</v>
      </c>
      <c r="Y240" s="100" t="n">
        <v>2017</v>
      </c>
      <c r="Z240" t="s">
        <v>389</v>
      </c>
      <c r="AA240" s="101" t="str">
        <f>IF(G240="shared-count-once",COUNTIFS($A$2:$A$807,A240,$B$2:$B$807,B240,$D$2:$D$807,D240),1)</f>
      </c>
    </row>
    <row r="241">
      <c r="A241" t="s">
        <v>202</v>
      </c>
      <c r="B241" s="79" t="n">
        <v>2030</v>
      </c>
      <c r="C241" t="s">
        <v>202</v>
      </c>
      <c r="D241" s="80" t="s">
        <v>393</v>
      </c>
      <c r="E241" s="81" t="s">
        <v>394</v>
      </c>
      <c r="F241" s="82" t="s">
        <v>206</v>
      </c>
      <c r="G241" s="83" t="s">
        <v>395</v>
      </c>
      <c r="H241" s="84" t="s">
        <v>386</v>
      </c>
      <c r="I241" s="85" t="n">
        <v>1</v>
      </c>
      <c r="J241" s="86" t="n">
        <v>1</v>
      </c>
      <c r="K241" s="87" t="n">
        <v>0.008775</v>
      </c>
      <c r="L241" s="88" t="n">
        <v>298283773.900016</v>
      </c>
      <c r="M241" s="89" t="n">
        <v>298280286.057263</v>
      </c>
      <c r="N241" s="90" t="str">
        <f>MIN(MAX((B241-'Calculation_Assumptions'!$B$5+1)/'Calculation_Assumptions'!$B$7,0),1)</f>
      </c>
      <c r="O241" s="91" t="str">
        <f>L241*I241</f>
      </c>
      <c r="P241" s="92" t="str">
        <f>M241*I241</f>
      </c>
      <c r="Q241" s="93" t="str">
        <f>P241*'Calculation_Assumptions'!$B$14*J241*K241</f>
      </c>
      <c r="R241" s="94" t="str">
        <f>O241*N241*J241*K241</f>
      </c>
      <c r="S241" s="95" t="str">
        <f>R241-Q241</f>
      </c>
      <c r="T241" s="96" t="str">
        <f>1/(1+'Calculation_Assumptions'!$B$8)^(B241-'Calculation_Assumptions'!$B$2)</f>
      </c>
      <c r="U241" s="97" t="str">
        <f>Q241*T241</f>
      </c>
      <c r="V241" s="98" t="str">
        <f>R241*T241</f>
      </c>
      <c r="W241" s="99" t="str">
        <f>S241*T241</f>
      </c>
      <c r="X241" t="n">
        <v>0</v>
      </c>
      <c r="Y241" s="100" t="n">
        <v>2017</v>
      </c>
      <c r="Z241" t="s">
        <v>389</v>
      </c>
      <c r="AA241" s="101" t="str">
        <f>IF(G241="shared-count-once",COUNTIFS($A$2:$A$807,A241,$B$2:$B$807,B241,$D$2:$D$807,D241),1)</f>
      </c>
    </row>
    <row r="242">
      <c r="A242" t="s">
        <v>202</v>
      </c>
      <c r="B242" s="79" t="n">
        <v>2031</v>
      </c>
      <c r="C242" t="s">
        <v>202</v>
      </c>
      <c r="D242" s="80" t="s">
        <v>393</v>
      </c>
      <c r="E242" s="81" t="s">
        <v>394</v>
      </c>
      <c r="F242" s="82" t="s">
        <v>206</v>
      </c>
      <c r="G242" s="83" t="s">
        <v>395</v>
      </c>
      <c r="H242" s="84" t="s">
        <v>386</v>
      </c>
      <c r="I242" s="85" t="n">
        <v>1</v>
      </c>
      <c r="J242" s="86" t="n">
        <v>1</v>
      </c>
      <c r="K242" s="87" t="n">
        <v>0.008775</v>
      </c>
      <c r="L242" s="88" t="n">
        <v>300159104.943965</v>
      </c>
      <c r="M242" s="89" t="n">
        <v>300152603.254782</v>
      </c>
      <c r="N242" s="90" t="str">
        <f>MIN(MAX((B242-'Calculation_Assumptions'!$B$5+1)/'Calculation_Assumptions'!$B$7,0),1)</f>
      </c>
      <c r="O242" s="91" t="str">
        <f>L242*I242</f>
      </c>
      <c r="P242" s="92" t="str">
        <f>M242*I242</f>
      </c>
      <c r="Q242" s="93" t="str">
        <f>P242*'Calculation_Assumptions'!$B$14*J242*K242</f>
      </c>
      <c r="R242" s="94" t="str">
        <f>O242*N242*J242*K242</f>
      </c>
      <c r="S242" s="95" t="str">
        <f>R242-Q242</f>
      </c>
      <c r="T242" s="96" t="str">
        <f>1/(1+'Calculation_Assumptions'!$B$8)^(B242-'Calculation_Assumptions'!$B$2)</f>
      </c>
      <c r="U242" s="97" t="str">
        <f>Q242*T242</f>
      </c>
      <c r="V242" s="98" t="str">
        <f>R242*T242</f>
      </c>
      <c r="W242" s="99" t="str">
        <f>S242*T242</f>
      </c>
      <c r="X242" t="n">
        <v>0</v>
      </c>
      <c r="Y242" s="100" t="n">
        <v>2017</v>
      </c>
      <c r="Z242" t="s">
        <v>389</v>
      </c>
      <c r="AA242" s="101" t="str">
        <f>IF(G242="shared-count-once",COUNTIFS($A$2:$A$807,A242,$B$2:$B$807,B242,$D$2:$D$807,D242),1)</f>
      </c>
    </row>
    <row r="243">
      <c r="A243" t="s">
        <v>202</v>
      </c>
      <c r="B243" s="79" t="n">
        <v>2032</v>
      </c>
      <c r="C243" t="s">
        <v>202</v>
      </c>
      <c r="D243" s="80" t="s">
        <v>393</v>
      </c>
      <c r="E243" s="81" t="s">
        <v>394</v>
      </c>
      <c r="F243" s="82" t="s">
        <v>206</v>
      </c>
      <c r="G243" s="83" t="s">
        <v>395</v>
      </c>
      <c r="H243" s="84" t="s">
        <v>386</v>
      </c>
      <c r="I243" s="85" t="n">
        <v>1</v>
      </c>
      <c r="J243" s="86" t="n">
        <v>1</v>
      </c>
      <c r="K243" s="87" t="n">
        <v>0.008775</v>
      </c>
      <c r="L243" s="88" t="n">
        <v>301896839.294119</v>
      </c>
      <c r="M243" s="89" t="n">
        <v>301959399.633888</v>
      </c>
      <c r="N243" s="90" t="str">
        <f>MIN(MAX((B243-'Calculation_Assumptions'!$B$5+1)/'Calculation_Assumptions'!$B$7,0),1)</f>
      </c>
      <c r="O243" s="91" t="str">
        <f>L243*I243</f>
      </c>
      <c r="P243" s="92" t="str">
        <f>M243*I243</f>
      </c>
      <c r="Q243" s="93" t="str">
        <f>P243*'Calculation_Assumptions'!$B$14*J243*K243</f>
      </c>
      <c r="R243" s="94" t="str">
        <f>O243*N243*J243*K243</f>
      </c>
      <c r="S243" s="95" t="str">
        <f>R243-Q243</f>
      </c>
      <c r="T243" s="96" t="str">
        <f>1/(1+'Calculation_Assumptions'!$B$8)^(B243-'Calculation_Assumptions'!$B$2)</f>
      </c>
      <c r="U243" s="97" t="str">
        <f>Q243*T243</f>
      </c>
      <c r="V243" s="98" t="str">
        <f>R243*T243</f>
      </c>
      <c r="W243" s="99" t="str">
        <f>S243*T243</f>
      </c>
      <c r="X243" t="n">
        <v>0</v>
      </c>
      <c r="Y243" s="100" t="n">
        <v>2017</v>
      </c>
      <c r="Z243" t="s">
        <v>389</v>
      </c>
      <c r="AA243" s="101" t="str">
        <f>IF(G243="shared-count-once",COUNTIFS($A$2:$A$807,A243,$B$2:$B$807,B243,$D$2:$D$807,D243),1)</f>
      </c>
    </row>
    <row r="244">
      <c r="A244" t="s">
        <v>202</v>
      </c>
      <c r="B244" s="79" t="n">
        <v>2033</v>
      </c>
      <c r="C244" t="s">
        <v>202</v>
      </c>
      <c r="D244" s="80" t="s">
        <v>393</v>
      </c>
      <c r="E244" s="81" t="s">
        <v>394</v>
      </c>
      <c r="F244" s="82" t="s">
        <v>206</v>
      </c>
      <c r="G244" s="83" t="s">
        <v>395</v>
      </c>
      <c r="H244" s="84" t="s">
        <v>386</v>
      </c>
      <c r="I244" s="85" t="n">
        <v>1</v>
      </c>
      <c r="J244" s="86" t="n">
        <v>1</v>
      </c>
      <c r="K244" s="87" t="n">
        <v>0.008775</v>
      </c>
      <c r="L244" s="88" t="n">
        <v>303635029.813073</v>
      </c>
      <c r="M244" s="89" t="n">
        <v>303701035.202051</v>
      </c>
      <c r="N244" s="90" t="str">
        <f>MIN(MAX((B244-'Calculation_Assumptions'!$B$5+1)/'Calculation_Assumptions'!$B$7,0),1)</f>
      </c>
      <c r="O244" s="91" t="str">
        <f>L244*I244</f>
      </c>
      <c r="P244" s="92" t="str">
        <f>M244*I244</f>
      </c>
      <c r="Q244" s="93" t="str">
        <f>P244*'Calculation_Assumptions'!$B$14*J244*K244</f>
      </c>
      <c r="R244" s="94" t="str">
        <f>O244*N244*J244*K244</f>
      </c>
      <c r="S244" s="95" t="str">
        <f>R244-Q244</f>
      </c>
      <c r="T244" s="96" t="str">
        <f>1/(1+'Calculation_Assumptions'!$B$8)^(B244-'Calculation_Assumptions'!$B$2)</f>
      </c>
      <c r="U244" s="97" t="str">
        <f>Q244*T244</f>
      </c>
      <c r="V244" s="98" t="str">
        <f>R244*T244</f>
      </c>
      <c r="W244" s="99" t="str">
        <f>S244*T244</f>
      </c>
      <c r="X244" t="n">
        <v>0</v>
      </c>
      <c r="Y244" s="100" t="n">
        <v>2017</v>
      </c>
      <c r="Z244" t="s">
        <v>389</v>
      </c>
      <c r="AA244" s="101" t="str">
        <f>IF(G244="shared-count-once",COUNTIFS($A$2:$A$807,A244,$B$2:$B$807,B244,$D$2:$D$807,D244),1)</f>
      </c>
    </row>
    <row r="245">
      <c r="A245" t="s">
        <v>202</v>
      </c>
      <c r="B245" s="79" t="n">
        <v>2034</v>
      </c>
      <c r="C245" t="s">
        <v>202</v>
      </c>
      <c r="D245" s="80" t="s">
        <v>393</v>
      </c>
      <c r="E245" s="81" t="s">
        <v>394</v>
      </c>
      <c r="F245" s="82" t="s">
        <v>206</v>
      </c>
      <c r="G245" s="83" t="s">
        <v>395</v>
      </c>
      <c r="H245" s="84" t="s">
        <v>386</v>
      </c>
      <c r="I245" s="85" t="n">
        <v>1</v>
      </c>
      <c r="J245" s="86" t="n">
        <v>1</v>
      </c>
      <c r="K245" s="87" t="n">
        <v>0.008775</v>
      </c>
      <c r="L245" s="88" t="n">
        <v>305309040.680225</v>
      </c>
      <c r="M245" s="89" t="n">
        <v>305377998.093319</v>
      </c>
      <c r="N245" s="90" t="str">
        <f>MIN(MAX((B245-'Calculation_Assumptions'!$B$5+1)/'Calculation_Assumptions'!$B$7,0),1)</f>
      </c>
      <c r="O245" s="91" t="str">
        <f>L245*I245</f>
      </c>
      <c r="P245" s="92" t="str">
        <f>M245*I245</f>
      </c>
      <c r="Q245" s="93" t="str">
        <f>P245*'Calculation_Assumptions'!$B$14*J245*K245</f>
      </c>
      <c r="R245" s="94" t="str">
        <f>O245*N245*J245*K245</f>
      </c>
      <c r="S245" s="95" t="str">
        <f>R245-Q245</f>
      </c>
      <c r="T245" s="96" t="str">
        <f>1/(1+'Calculation_Assumptions'!$B$8)^(B245-'Calculation_Assumptions'!$B$2)</f>
      </c>
      <c r="U245" s="97" t="str">
        <f>Q245*T245</f>
      </c>
      <c r="V245" s="98" t="str">
        <f>R245*T245</f>
      </c>
      <c r="W245" s="99" t="str">
        <f>S245*T245</f>
      </c>
      <c r="X245" t="n">
        <v>0</v>
      </c>
      <c r="Y245" s="100" t="n">
        <v>2017</v>
      </c>
      <c r="Z245" t="s">
        <v>389</v>
      </c>
      <c r="AA245" s="101" t="str">
        <f>IF(G245="shared-count-once",COUNTIFS($A$2:$A$807,A245,$B$2:$B$807,B245,$D$2:$D$807,D245),1)</f>
      </c>
    </row>
    <row r="246">
      <c r="A246" t="s">
        <v>202</v>
      </c>
      <c r="B246" s="79" t="n">
        <v>2035</v>
      </c>
      <c r="C246" t="s">
        <v>202</v>
      </c>
      <c r="D246" s="80" t="s">
        <v>393</v>
      </c>
      <c r="E246" s="81" t="s">
        <v>394</v>
      </c>
      <c r="F246" s="82" t="s">
        <v>206</v>
      </c>
      <c r="G246" s="83" t="s">
        <v>395</v>
      </c>
      <c r="H246" s="84" t="s">
        <v>386</v>
      </c>
      <c r="I246" s="85" t="n">
        <v>1</v>
      </c>
      <c r="J246" s="86" t="n">
        <v>1</v>
      </c>
      <c r="K246" s="87" t="n">
        <v>0.008775</v>
      </c>
      <c r="L246" s="88" t="n">
        <v>306917903.428073</v>
      </c>
      <c r="M246" s="89" t="n">
        <v>306989258.29407</v>
      </c>
      <c r="N246" s="90" t="str">
        <f>MIN(MAX((B246-'Calculation_Assumptions'!$B$5+1)/'Calculation_Assumptions'!$B$7,0),1)</f>
      </c>
      <c r="O246" s="91" t="str">
        <f>L246*I246</f>
      </c>
      <c r="P246" s="92" t="str">
        <f>M246*I246</f>
      </c>
      <c r="Q246" s="93" t="str">
        <f>P246*'Calculation_Assumptions'!$B$14*J246*K246</f>
      </c>
      <c r="R246" s="94" t="str">
        <f>O246*N246*J246*K246</f>
      </c>
      <c r="S246" s="95" t="str">
        <f>R246-Q246</f>
      </c>
      <c r="T246" s="96" t="str">
        <f>1/(1+'Calculation_Assumptions'!$B$8)^(B246-'Calculation_Assumptions'!$B$2)</f>
      </c>
      <c r="U246" s="97" t="str">
        <f>Q246*T246</f>
      </c>
      <c r="V246" s="98" t="str">
        <f>R246*T246</f>
      </c>
      <c r="W246" s="99" t="str">
        <f>S246*T246</f>
      </c>
      <c r="X246" t="n">
        <v>0</v>
      </c>
      <c r="Y246" s="100" t="n">
        <v>2017</v>
      </c>
      <c r="Z246" t="s">
        <v>389</v>
      </c>
      <c r="AA246" s="101" t="str">
        <f>IF(G246="shared-count-once",COUNTIFS($A$2:$A$807,A246,$B$2:$B$807,B246,$D$2:$D$807,D246),1)</f>
      </c>
    </row>
    <row r="247">
      <c r="A247" t="s">
        <v>202</v>
      </c>
      <c r="B247" s="79" t="n">
        <v>2036</v>
      </c>
      <c r="C247" t="s">
        <v>202</v>
      </c>
      <c r="D247" s="80" t="s">
        <v>393</v>
      </c>
      <c r="E247" s="81" t="s">
        <v>394</v>
      </c>
      <c r="F247" s="82" t="s">
        <v>206</v>
      </c>
      <c r="G247" s="83" t="s">
        <v>395</v>
      </c>
      <c r="H247" s="84" t="s">
        <v>386</v>
      </c>
      <c r="I247" s="85" t="n">
        <v>1</v>
      </c>
      <c r="J247" s="86" t="n">
        <v>1</v>
      </c>
      <c r="K247" s="87" t="n">
        <v>0.008775</v>
      </c>
      <c r="L247" s="88" t="n">
        <v>308464360.598986</v>
      </c>
      <c r="M247" s="89" t="n">
        <v>308537399.672094</v>
      </c>
      <c r="N247" s="90" t="str">
        <f>MIN(MAX((B247-'Calculation_Assumptions'!$B$5+1)/'Calculation_Assumptions'!$B$7,0),1)</f>
      </c>
      <c r="O247" s="91" t="str">
        <f>L247*I247</f>
      </c>
      <c r="P247" s="92" t="str">
        <f>M247*I247</f>
      </c>
      <c r="Q247" s="93" t="str">
        <f>P247*'Calculation_Assumptions'!$B$14*J247*K247</f>
      </c>
      <c r="R247" s="94" t="str">
        <f>O247*N247*J247*K247</f>
      </c>
      <c r="S247" s="95" t="str">
        <f>R247-Q247</f>
      </c>
      <c r="T247" s="96" t="str">
        <f>1/(1+'Calculation_Assumptions'!$B$8)^(B247-'Calculation_Assumptions'!$B$2)</f>
      </c>
      <c r="U247" s="97" t="str">
        <f>Q247*T247</f>
      </c>
      <c r="V247" s="98" t="str">
        <f>R247*T247</f>
      </c>
      <c r="W247" s="99" t="str">
        <f>S247*T247</f>
      </c>
      <c r="X247" t="n">
        <v>0</v>
      </c>
      <c r="Y247" s="100" t="n">
        <v>2017</v>
      </c>
      <c r="Z247" t="s">
        <v>389</v>
      </c>
      <c r="AA247" s="101" t="str">
        <f>IF(G247="shared-count-once",COUNTIFS($A$2:$A$807,A247,$B$2:$B$807,B247,$D$2:$D$807,D247),1)</f>
      </c>
    </row>
    <row r="248">
      <c r="A248" t="s">
        <v>202</v>
      </c>
      <c r="B248" s="79" t="n">
        <v>2037</v>
      </c>
      <c r="C248" t="s">
        <v>202</v>
      </c>
      <c r="D248" s="80" t="s">
        <v>393</v>
      </c>
      <c r="E248" s="81" t="s">
        <v>394</v>
      </c>
      <c r="F248" s="82" t="s">
        <v>206</v>
      </c>
      <c r="G248" s="83" t="s">
        <v>395</v>
      </c>
      <c r="H248" s="84" t="s">
        <v>386</v>
      </c>
      <c r="I248" s="85" t="n">
        <v>1</v>
      </c>
      <c r="J248" s="86" t="n">
        <v>1</v>
      </c>
      <c r="K248" s="87" t="n">
        <v>0.008775</v>
      </c>
      <c r="L248" s="88" t="n">
        <v>309949122.468691</v>
      </c>
      <c r="M248" s="89" t="n">
        <v>310023120.393472</v>
      </c>
      <c r="N248" s="90" t="str">
        <f>MIN(MAX((B248-'Calculation_Assumptions'!$B$5+1)/'Calculation_Assumptions'!$B$7,0),1)</f>
      </c>
      <c r="O248" s="91" t="str">
        <f>L248*I248</f>
      </c>
      <c r="P248" s="92" t="str">
        <f>M248*I248</f>
      </c>
      <c r="Q248" s="93" t="str">
        <f>P248*'Calculation_Assumptions'!$B$14*J248*K248</f>
      </c>
      <c r="R248" s="94" t="str">
        <f>O248*N248*J248*K248</f>
      </c>
      <c r="S248" s="95" t="str">
        <f>R248-Q248</f>
      </c>
      <c r="T248" s="96" t="str">
        <f>1/(1+'Calculation_Assumptions'!$B$8)^(B248-'Calculation_Assumptions'!$B$2)</f>
      </c>
      <c r="U248" s="97" t="str">
        <f>Q248*T248</f>
      </c>
      <c r="V248" s="98" t="str">
        <f>R248*T248</f>
      </c>
      <c r="W248" s="99" t="str">
        <f>S248*T248</f>
      </c>
      <c r="X248" t="n">
        <v>0</v>
      </c>
      <c r="Y248" s="100" t="n">
        <v>2017</v>
      </c>
      <c r="Z248" t="s">
        <v>389</v>
      </c>
      <c r="AA248" s="101" t="str">
        <f>IF(G248="shared-count-once",COUNTIFS($A$2:$A$807,A248,$B$2:$B$807,B248,$D$2:$D$807,D248),1)</f>
      </c>
    </row>
    <row r="249">
      <c r="A249" t="s">
        <v>202</v>
      </c>
      <c r="B249" s="79" t="n">
        <v>2038</v>
      </c>
      <c r="C249" t="s">
        <v>202</v>
      </c>
      <c r="D249" s="80" t="s">
        <v>393</v>
      </c>
      <c r="E249" s="81" t="s">
        <v>394</v>
      </c>
      <c r="F249" s="82" t="s">
        <v>206</v>
      </c>
      <c r="G249" s="83" t="s">
        <v>395</v>
      </c>
      <c r="H249" s="84" t="s">
        <v>386</v>
      </c>
      <c r="I249" s="85" t="n">
        <v>1</v>
      </c>
      <c r="J249" s="86" t="n">
        <v>1</v>
      </c>
      <c r="K249" s="87" t="n">
        <v>0.008775</v>
      </c>
      <c r="L249" s="88" t="n">
        <v>311372206.456657</v>
      </c>
      <c r="M249" s="89" t="n">
        <v>311445837.134625</v>
      </c>
      <c r="N249" s="90" t="str">
        <f>MIN(MAX((B249-'Calculation_Assumptions'!$B$5+1)/'Calculation_Assumptions'!$B$7,0),1)</f>
      </c>
      <c r="O249" s="91" t="str">
        <f>L249*I249</f>
      </c>
      <c r="P249" s="92" t="str">
        <f>M249*I249</f>
      </c>
      <c r="Q249" s="93" t="str">
        <f>P249*'Calculation_Assumptions'!$B$14*J249*K249</f>
      </c>
      <c r="R249" s="94" t="str">
        <f>O249*N249*J249*K249</f>
      </c>
      <c r="S249" s="95" t="str">
        <f>R249-Q249</f>
      </c>
      <c r="T249" s="96" t="str">
        <f>1/(1+'Calculation_Assumptions'!$B$8)^(B249-'Calculation_Assumptions'!$B$2)</f>
      </c>
      <c r="U249" s="97" t="str">
        <f>Q249*T249</f>
      </c>
      <c r="V249" s="98" t="str">
        <f>R249*T249</f>
      </c>
      <c r="W249" s="99" t="str">
        <f>S249*T249</f>
      </c>
      <c r="X249" t="n">
        <v>0</v>
      </c>
      <c r="Y249" s="100" t="n">
        <v>2017</v>
      </c>
      <c r="Z249" t="s">
        <v>389</v>
      </c>
      <c r="AA249" s="101" t="str">
        <f>IF(G249="shared-count-once",COUNTIFS($A$2:$A$807,A249,$B$2:$B$807,B249,$D$2:$D$807,D249),1)</f>
      </c>
    </row>
    <row r="250">
      <c r="A250" t="s">
        <v>202</v>
      </c>
      <c r="B250" s="79" t="n">
        <v>2039</v>
      </c>
      <c r="C250" t="s">
        <v>202</v>
      </c>
      <c r="D250" s="80" t="s">
        <v>393</v>
      </c>
      <c r="E250" s="81" t="s">
        <v>394</v>
      </c>
      <c r="F250" s="82" t="s">
        <v>206</v>
      </c>
      <c r="G250" s="83" t="s">
        <v>395</v>
      </c>
      <c r="H250" s="84" t="s">
        <v>386</v>
      </c>
      <c r="I250" s="85" t="n">
        <v>1</v>
      </c>
      <c r="J250" s="86" t="n">
        <v>1</v>
      </c>
      <c r="K250" s="87" t="n">
        <v>0.008775</v>
      </c>
      <c r="L250" s="88" t="n">
        <v>312734835.072185</v>
      </c>
      <c r="M250" s="89" t="n">
        <v>312806989.715685</v>
      </c>
      <c r="N250" s="90" t="str">
        <f>MIN(MAX((B250-'Calculation_Assumptions'!$B$5+1)/'Calculation_Assumptions'!$B$7,0),1)</f>
      </c>
      <c r="O250" s="91" t="str">
        <f>L250*I250</f>
      </c>
      <c r="P250" s="92" t="str">
        <f>M250*I250</f>
      </c>
      <c r="Q250" s="93" t="str">
        <f>P250*'Calculation_Assumptions'!$B$14*J250*K250</f>
      </c>
      <c r="R250" s="94" t="str">
        <f>O250*N250*J250*K250</f>
      </c>
      <c r="S250" s="95" t="str">
        <f>R250-Q250</f>
      </c>
      <c r="T250" s="96" t="str">
        <f>1/(1+'Calculation_Assumptions'!$B$8)^(B250-'Calculation_Assumptions'!$B$2)</f>
      </c>
      <c r="U250" s="97" t="str">
        <f>Q250*T250</f>
      </c>
      <c r="V250" s="98" t="str">
        <f>R250*T250</f>
      </c>
      <c r="W250" s="99" t="str">
        <f>S250*T250</f>
      </c>
      <c r="X250" t="n">
        <v>0</v>
      </c>
      <c r="Y250" s="100" t="n">
        <v>2017</v>
      </c>
      <c r="Z250" t="s">
        <v>389</v>
      </c>
      <c r="AA250" s="101" t="str">
        <f>IF(G250="shared-count-once",COUNTIFS($A$2:$A$807,A250,$B$2:$B$807,B250,$D$2:$D$807,D250),1)</f>
      </c>
    </row>
    <row r="251">
      <c r="A251" t="s">
        <v>202</v>
      </c>
      <c r="B251" s="79" t="n">
        <v>2040</v>
      </c>
      <c r="C251" t="s">
        <v>202</v>
      </c>
      <c r="D251" s="80" t="s">
        <v>393</v>
      </c>
      <c r="E251" s="81" t="s">
        <v>394</v>
      </c>
      <c r="F251" s="82" t="s">
        <v>206</v>
      </c>
      <c r="G251" s="83" t="s">
        <v>395</v>
      </c>
      <c r="H251" s="84" t="s">
        <v>386</v>
      </c>
      <c r="I251" s="85" t="n">
        <v>1</v>
      </c>
      <c r="J251" s="86" t="n">
        <v>1</v>
      </c>
      <c r="K251" s="87" t="n">
        <v>0.008775</v>
      </c>
      <c r="L251" s="88" t="n">
        <v>314039357.427635</v>
      </c>
      <c r="M251" s="89" t="n">
        <v>314109251.582649</v>
      </c>
      <c r="N251" s="90" t="str">
        <f>MIN(MAX((B251-'Calculation_Assumptions'!$B$5+1)/'Calculation_Assumptions'!$B$7,0),1)</f>
      </c>
      <c r="O251" s="91" t="str">
        <f>L251*I251</f>
      </c>
      <c r="P251" s="92" t="str">
        <f>M251*I251</f>
      </c>
      <c r="Q251" s="93" t="str">
        <f>P251*'Calculation_Assumptions'!$B$14*J251*K251</f>
      </c>
      <c r="R251" s="94" t="str">
        <f>O251*N251*J251*K251</f>
      </c>
      <c r="S251" s="95" t="str">
        <f>R251-Q251</f>
      </c>
      <c r="T251" s="96" t="str">
        <f>1/(1+'Calculation_Assumptions'!$B$8)^(B251-'Calculation_Assumptions'!$B$2)</f>
      </c>
      <c r="U251" s="97" t="str">
        <f>Q251*T251</f>
      </c>
      <c r="V251" s="98" t="str">
        <f>R251*T251</f>
      </c>
      <c r="W251" s="99" t="str">
        <f>S251*T251</f>
      </c>
      <c r="X251" t="n">
        <v>0</v>
      </c>
      <c r="Y251" s="100" t="n">
        <v>2017</v>
      </c>
      <c r="Z251" t="s">
        <v>389</v>
      </c>
      <c r="AA251" s="101" t="str">
        <f>IF(G251="shared-count-once",COUNTIFS($A$2:$A$807,A251,$B$2:$B$807,B251,$D$2:$D$807,D251),1)</f>
      </c>
    </row>
    <row r="252">
      <c r="A252" t="s">
        <v>202</v>
      </c>
      <c r="B252" s="79" t="n">
        <v>2041</v>
      </c>
      <c r="C252" t="s">
        <v>202</v>
      </c>
      <c r="D252" s="80" t="s">
        <v>393</v>
      </c>
      <c r="E252" s="81" t="s">
        <v>394</v>
      </c>
      <c r="F252" s="82" t="s">
        <v>206</v>
      </c>
      <c r="G252" s="83" t="s">
        <v>395</v>
      </c>
      <c r="H252" s="84" t="s">
        <v>386</v>
      </c>
      <c r="I252" s="85" t="n">
        <v>1</v>
      </c>
      <c r="J252" s="86" t="n">
        <v>1</v>
      </c>
      <c r="K252" s="87" t="n">
        <v>0.008775</v>
      </c>
      <c r="L252" s="88" t="n">
        <v>315284705.286685</v>
      </c>
      <c r="M252" s="89" t="n">
        <v>315352079.812423</v>
      </c>
      <c r="N252" s="90" t="str">
        <f>MIN(MAX((B252-'Calculation_Assumptions'!$B$5+1)/'Calculation_Assumptions'!$B$7,0),1)</f>
      </c>
      <c r="O252" s="91" t="str">
        <f>L252*I252</f>
      </c>
      <c r="P252" s="92" t="str">
        <f>M252*I252</f>
      </c>
      <c r="Q252" s="93" t="str">
        <f>P252*'Calculation_Assumptions'!$B$14*J252*K252</f>
      </c>
      <c r="R252" s="94" t="str">
        <f>O252*N252*J252*K252</f>
      </c>
      <c r="S252" s="95" t="str">
        <f>R252-Q252</f>
      </c>
      <c r="T252" s="96" t="str">
        <f>1/(1+'Calculation_Assumptions'!$B$8)^(B252-'Calculation_Assumptions'!$B$2)</f>
      </c>
      <c r="U252" s="97" t="str">
        <f>Q252*T252</f>
      </c>
      <c r="V252" s="98" t="str">
        <f>R252*T252</f>
      </c>
      <c r="W252" s="99" t="str">
        <f>S252*T252</f>
      </c>
      <c r="X252" t="n">
        <v>0</v>
      </c>
      <c r="Y252" s="100" t="n">
        <v>2017</v>
      </c>
      <c r="Z252" t="s">
        <v>389</v>
      </c>
      <c r="AA252" s="101" t="str">
        <f>IF(G252="shared-count-once",COUNTIFS($A$2:$A$807,A252,$B$2:$B$807,B252,$D$2:$D$807,D252),1)</f>
      </c>
    </row>
    <row r="253">
      <c r="A253" t="s">
        <v>202</v>
      </c>
      <c r="B253" s="79" t="n">
        <v>2042</v>
      </c>
      <c r="C253" t="s">
        <v>202</v>
      </c>
      <c r="D253" s="80" t="s">
        <v>393</v>
      </c>
      <c r="E253" s="81" t="s">
        <v>394</v>
      </c>
      <c r="F253" s="82" t="s">
        <v>206</v>
      </c>
      <c r="G253" s="83" t="s">
        <v>395</v>
      </c>
      <c r="H253" s="84" t="s">
        <v>386</v>
      </c>
      <c r="I253" s="85" t="n">
        <v>1</v>
      </c>
      <c r="J253" s="86" t="n">
        <v>1</v>
      </c>
      <c r="K253" s="87" t="n">
        <v>0.008775</v>
      </c>
      <c r="L253" s="88" t="n">
        <v>316471682.938031</v>
      </c>
      <c r="M253" s="89" t="n">
        <v>316395286.312016</v>
      </c>
      <c r="N253" s="90" t="str">
        <f>MIN(MAX((B253-'Calculation_Assumptions'!$B$5+1)/'Calculation_Assumptions'!$B$7,0),1)</f>
      </c>
      <c r="O253" s="91" t="str">
        <f>L253*I253</f>
      </c>
      <c r="P253" s="92" t="str">
        <f>M253*I253</f>
      </c>
      <c r="Q253" s="93" t="str">
        <f>P253*'Calculation_Assumptions'!$B$14*J253*K253</f>
      </c>
      <c r="R253" s="94" t="str">
        <f>O253*N253*J253*K253</f>
      </c>
      <c r="S253" s="95" t="str">
        <f>R253-Q253</f>
      </c>
      <c r="T253" s="96" t="str">
        <f>1/(1+'Calculation_Assumptions'!$B$8)^(B253-'Calculation_Assumptions'!$B$2)</f>
      </c>
      <c r="U253" s="97" t="str">
        <f>Q253*T253</f>
      </c>
      <c r="V253" s="98" t="str">
        <f>R253*T253</f>
      </c>
      <c r="W253" s="99" t="str">
        <f>S253*T253</f>
      </c>
      <c r="X253" t="n">
        <v>0</v>
      </c>
      <c r="Y253" s="100" t="n">
        <v>2017</v>
      </c>
      <c r="Z253" t="s">
        <v>389</v>
      </c>
      <c r="AA253" s="101" t="str">
        <f>IF(G253="shared-count-once",COUNTIFS($A$2:$A$807,A253,$B$2:$B$807,B253,$D$2:$D$807,D253),1)</f>
      </c>
    </row>
    <row r="254">
      <c r="A254" t="s">
        <v>202</v>
      </c>
      <c r="B254" s="79" t="n">
        <v>2043</v>
      </c>
      <c r="C254" t="s">
        <v>202</v>
      </c>
      <c r="D254" s="80" t="s">
        <v>393</v>
      </c>
      <c r="E254" s="81" t="s">
        <v>394</v>
      </c>
      <c r="F254" s="82" t="s">
        <v>206</v>
      </c>
      <c r="G254" s="83" t="s">
        <v>395</v>
      </c>
      <c r="H254" s="84" t="s">
        <v>386</v>
      </c>
      <c r="I254" s="85" t="n">
        <v>1</v>
      </c>
      <c r="J254" s="86" t="n">
        <v>1</v>
      </c>
      <c r="K254" s="87" t="n">
        <v>0.008775</v>
      </c>
      <c r="L254" s="88" t="n">
        <v>317558062.151628</v>
      </c>
      <c r="M254" s="89" t="n">
        <v>317619735.688289</v>
      </c>
      <c r="N254" s="90" t="str">
        <f>MIN(MAX((B254-'Calculation_Assumptions'!$B$5+1)/'Calculation_Assumptions'!$B$7,0),1)</f>
      </c>
      <c r="O254" s="91" t="str">
        <f>L254*I254</f>
      </c>
      <c r="P254" s="92" t="str">
        <f>M254*I254</f>
      </c>
      <c r="Q254" s="93" t="str">
        <f>P254*'Calculation_Assumptions'!$B$14*J254*K254</f>
      </c>
      <c r="R254" s="94" t="str">
        <f>O254*N254*J254*K254</f>
      </c>
      <c r="S254" s="95" t="str">
        <f>R254-Q254</f>
      </c>
      <c r="T254" s="96" t="str">
        <f>1/(1+'Calculation_Assumptions'!$B$8)^(B254-'Calculation_Assumptions'!$B$2)</f>
      </c>
      <c r="U254" s="97" t="str">
        <f>Q254*T254</f>
      </c>
      <c r="V254" s="98" t="str">
        <f>R254*T254</f>
      </c>
      <c r="W254" s="99" t="str">
        <f>S254*T254</f>
      </c>
      <c r="X254" t="n">
        <v>0</v>
      </c>
      <c r="Y254" s="100" t="n">
        <v>2017</v>
      </c>
      <c r="Z254" t="s">
        <v>389</v>
      </c>
      <c r="AA254" s="101" t="str">
        <f>IF(G254="shared-count-once",COUNTIFS($A$2:$A$807,A254,$B$2:$B$807,B254,$D$2:$D$807,D254),1)</f>
      </c>
    </row>
    <row r="255">
      <c r="A255" t="s">
        <v>202</v>
      </c>
      <c r="B255" s="79" t="n">
        <v>2044</v>
      </c>
      <c r="C255" t="s">
        <v>202</v>
      </c>
      <c r="D255" s="80" t="s">
        <v>393</v>
      </c>
      <c r="E255" s="81" t="s">
        <v>394</v>
      </c>
      <c r="F255" s="82" t="s">
        <v>206</v>
      </c>
      <c r="G255" s="83" t="s">
        <v>395</v>
      </c>
      <c r="H255" s="84" t="s">
        <v>386</v>
      </c>
      <c r="I255" s="85" t="n">
        <v>1</v>
      </c>
      <c r="J255" s="86" t="n">
        <v>1</v>
      </c>
      <c r="K255" s="87" t="n">
        <v>0.008775</v>
      </c>
      <c r="L255" s="88" t="n">
        <v>318638997.396504</v>
      </c>
      <c r="M255" s="89" t="n">
        <v>318697135.863652</v>
      </c>
      <c r="N255" s="90" t="str">
        <f>MIN(MAX((B255-'Calculation_Assumptions'!$B$5+1)/'Calculation_Assumptions'!$B$7,0),1)</f>
      </c>
      <c r="O255" s="91" t="str">
        <f>L255*I255</f>
      </c>
      <c r="P255" s="92" t="str">
        <f>M255*I255</f>
      </c>
      <c r="Q255" s="93" t="str">
        <f>P255*'Calculation_Assumptions'!$B$14*J255*K255</f>
      </c>
      <c r="R255" s="94" t="str">
        <f>O255*N255*J255*K255</f>
      </c>
      <c r="S255" s="95" t="str">
        <f>R255-Q255</f>
      </c>
      <c r="T255" s="96" t="str">
        <f>1/(1+'Calculation_Assumptions'!$B$8)^(B255-'Calculation_Assumptions'!$B$2)</f>
      </c>
      <c r="U255" s="97" t="str">
        <f>Q255*T255</f>
      </c>
      <c r="V255" s="98" t="str">
        <f>R255*T255</f>
      </c>
      <c r="W255" s="99" t="str">
        <f>S255*T255</f>
      </c>
      <c r="X255" t="n">
        <v>0</v>
      </c>
      <c r="Y255" s="100" t="n">
        <v>2017</v>
      </c>
      <c r="Z255" t="s">
        <v>389</v>
      </c>
      <c r="AA255" s="101" t="str">
        <f>IF(G255="shared-count-once",COUNTIFS($A$2:$A$807,A255,$B$2:$B$807,B255,$D$2:$D$807,D255),1)</f>
      </c>
    </row>
    <row r="256">
      <c r="A256" t="s">
        <v>202</v>
      </c>
      <c r="B256" s="79" t="n">
        <v>2045</v>
      </c>
      <c r="C256" t="s">
        <v>202</v>
      </c>
      <c r="D256" s="80" t="s">
        <v>393</v>
      </c>
      <c r="E256" s="81" t="s">
        <v>394</v>
      </c>
      <c r="F256" s="82" t="s">
        <v>206</v>
      </c>
      <c r="G256" s="83" t="s">
        <v>395</v>
      </c>
      <c r="H256" s="84" t="s">
        <v>386</v>
      </c>
      <c r="I256" s="85" t="n">
        <v>1</v>
      </c>
      <c r="J256" s="86" t="n">
        <v>1</v>
      </c>
      <c r="K256" s="87" t="n">
        <v>0.008775</v>
      </c>
      <c r="L256" s="88" t="n">
        <v>319662333.960087</v>
      </c>
      <c r="M256" s="89" t="n">
        <v>319717840.85179</v>
      </c>
      <c r="N256" s="90" t="str">
        <f>MIN(MAX((B256-'Calculation_Assumptions'!$B$5+1)/'Calculation_Assumptions'!$B$7,0),1)</f>
      </c>
      <c r="O256" s="91" t="str">
        <f>L256*I256</f>
      </c>
      <c r="P256" s="92" t="str">
        <f>M256*I256</f>
      </c>
      <c r="Q256" s="93" t="str">
        <f>P256*'Calculation_Assumptions'!$B$14*J256*K256</f>
      </c>
      <c r="R256" s="94" t="str">
        <f>O256*N256*J256*K256</f>
      </c>
      <c r="S256" s="95" t="str">
        <f>R256-Q256</f>
      </c>
      <c r="T256" s="96" t="str">
        <f>1/(1+'Calculation_Assumptions'!$B$8)^(B256-'Calculation_Assumptions'!$B$2)</f>
      </c>
      <c r="U256" s="97" t="str">
        <f>Q256*T256</f>
      </c>
      <c r="V256" s="98" t="str">
        <f>R256*T256</f>
      </c>
      <c r="W256" s="99" t="str">
        <f>S256*T256</f>
      </c>
      <c r="X256" t="n">
        <v>0</v>
      </c>
      <c r="Y256" s="100" t="n">
        <v>2017</v>
      </c>
      <c r="Z256" t="s">
        <v>389</v>
      </c>
      <c r="AA256" s="101" t="str">
        <f>IF(G256="shared-count-once",COUNTIFS($A$2:$A$807,A256,$B$2:$B$807,B256,$D$2:$D$807,D256),1)</f>
      </c>
    </row>
    <row r="257">
      <c r="A257" t="s">
        <v>202</v>
      </c>
      <c r="B257" s="79" t="n">
        <v>2046</v>
      </c>
      <c r="C257" t="s">
        <v>202</v>
      </c>
      <c r="D257" s="80" t="s">
        <v>393</v>
      </c>
      <c r="E257" s="81" t="s">
        <v>394</v>
      </c>
      <c r="F257" s="82" t="s">
        <v>206</v>
      </c>
      <c r="G257" s="83" t="s">
        <v>395</v>
      </c>
      <c r="H257" s="84" t="s">
        <v>386</v>
      </c>
      <c r="I257" s="85" t="n">
        <v>1</v>
      </c>
      <c r="J257" s="86" t="n">
        <v>1</v>
      </c>
      <c r="K257" s="87" t="n">
        <v>0.008775</v>
      </c>
      <c r="L257" s="88" t="n">
        <v>320628985.15383</v>
      </c>
      <c r="M257" s="89" t="n">
        <v>320683879.806276</v>
      </c>
      <c r="N257" s="90" t="str">
        <f>MIN(MAX((B257-'Calculation_Assumptions'!$B$5+1)/'Calculation_Assumptions'!$B$7,0),1)</f>
      </c>
      <c r="O257" s="91" t="str">
        <f>L257*I257</f>
      </c>
      <c r="P257" s="92" t="str">
        <f>M257*I257</f>
      </c>
      <c r="Q257" s="93" t="str">
        <f>P257*'Calculation_Assumptions'!$B$14*J257*K257</f>
      </c>
      <c r="R257" s="94" t="str">
        <f>O257*N257*J257*K257</f>
      </c>
      <c r="S257" s="95" t="str">
        <f>R257-Q257</f>
      </c>
      <c r="T257" s="96" t="str">
        <f>1/(1+'Calculation_Assumptions'!$B$8)^(B257-'Calculation_Assumptions'!$B$2)</f>
      </c>
      <c r="U257" s="97" t="str">
        <f>Q257*T257</f>
      </c>
      <c r="V257" s="98" t="str">
        <f>R257*T257</f>
      </c>
      <c r="W257" s="99" t="str">
        <f>S257*T257</f>
      </c>
      <c r="X257" t="n">
        <v>0</v>
      </c>
      <c r="Y257" s="100" t="n">
        <v>2017</v>
      </c>
      <c r="Z257" t="s">
        <v>389</v>
      </c>
      <c r="AA257" s="101" t="str">
        <f>IF(G257="shared-count-once",COUNTIFS($A$2:$A$807,A257,$B$2:$B$807,B257,$D$2:$D$807,D257),1)</f>
      </c>
    </row>
    <row r="258">
      <c r="A258" t="s">
        <v>202</v>
      </c>
      <c r="B258" s="79" t="n">
        <v>2047</v>
      </c>
      <c r="C258" t="s">
        <v>202</v>
      </c>
      <c r="D258" s="80" t="s">
        <v>393</v>
      </c>
      <c r="E258" s="81" t="s">
        <v>394</v>
      </c>
      <c r="F258" s="82" t="s">
        <v>206</v>
      </c>
      <c r="G258" s="83" t="s">
        <v>395</v>
      </c>
      <c r="H258" s="84" t="s">
        <v>386</v>
      </c>
      <c r="I258" s="85" t="n">
        <v>1</v>
      </c>
      <c r="J258" s="86" t="n">
        <v>1</v>
      </c>
      <c r="K258" s="87" t="n">
        <v>0.008775</v>
      </c>
      <c r="L258" s="88" t="n">
        <v>321539933.252781</v>
      </c>
      <c r="M258" s="89" t="n">
        <v>321595541.389526</v>
      </c>
      <c r="N258" s="90" t="str">
        <f>MIN(MAX((B258-'Calculation_Assumptions'!$B$5+1)/'Calculation_Assumptions'!$B$7,0),1)</f>
      </c>
      <c r="O258" s="91" t="str">
        <f>L258*I258</f>
      </c>
      <c r="P258" s="92" t="str">
        <f>M258*I258</f>
      </c>
      <c r="Q258" s="93" t="str">
        <f>P258*'Calculation_Assumptions'!$B$14*J258*K258</f>
      </c>
      <c r="R258" s="94" t="str">
        <f>O258*N258*J258*K258</f>
      </c>
      <c r="S258" s="95" t="str">
        <f>R258-Q258</f>
      </c>
      <c r="T258" s="96" t="str">
        <f>1/(1+'Calculation_Assumptions'!$B$8)^(B258-'Calculation_Assumptions'!$B$2)</f>
      </c>
      <c r="U258" s="97" t="str">
        <f>Q258*T258</f>
      </c>
      <c r="V258" s="98" t="str">
        <f>R258*T258</f>
      </c>
      <c r="W258" s="99" t="str">
        <f>S258*T258</f>
      </c>
      <c r="X258" t="n">
        <v>0</v>
      </c>
      <c r="Y258" s="100" t="n">
        <v>2017</v>
      </c>
      <c r="Z258" t="s">
        <v>389</v>
      </c>
      <c r="AA258" s="101" t="str">
        <f>IF(G258="shared-count-once",COUNTIFS($A$2:$A$807,A258,$B$2:$B$807,B258,$D$2:$D$807,D258),1)</f>
      </c>
    </row>
    <row r="259">
      <c r="A259" t="s">
        <v>202</v>
      </c>
      <c r="B259" s="79" t="n">
        <v>2048</v>
      </c>
      <c r="C259" t="s">
        <v>202</v>
      </c>
      <c r="D259" s="80" t="s">
        <v>393</v>
      </c>
      <c r="E259" s="81" t="s">
        <v>394</v>
      </c>
      <c r="F259" s="82" t="s">
        <v>206</v>
      </c>
      <c r="G259" s="83" t="s">
        <v>395</v>
      </c>
      <c r="H259" s="84" t="s">
        <v>386</v>
      </c>
      <c r="I259" s="85" t="n">
        <v>1</v>
      </c>
      <c r="J259" s="86" t="n">
        <v>1</v>
      </c>
      <c r="K259" s="87" t="n">
        <v>0.008775</v>
      </c>
      <c r="L259" s="88" t="n">
        <v>322396235.642267</v>
      </c>
      <c r="M259" s="89" t="n">
        <v>322453622.669464</v>
      </c>
      <c r="N259" s="90" t="str">
        <f>MIN(MAX((B259-'Calculation_Assumptions'!$B$5+1)/'Calculation_Assumptions'!$B$7,0),1)</f>
      </c>
      <c r="O259" s="91" t="str">
        <f>L259*I259</f>
      </c>
      <c r="P259" s="92" t="str">
        <f>M259*I259</f>
      </c>
      <c r="Q259" s="93" t="str">
        <f>P259*'Calculation_Assumptions'!$B$14*J259*K259</f>
      </c>
      <c r="R259" s="94" t="str">
        <f>O259*N259*J259*K259</f>
      </c>
      <c r="S259" s="95" t="str">
        <f>R259-Q259</f>
      </c>
      <c r="T259" s="96" t="str">
        <f>1/(1+'Calculation_Assumptions'!$B$8)^(B259-'Calculation_Assumptions'!$B$2)</f>
      </c>
      <c r="U259" s="97" t="str">
        <f>Q259*T259</f>
      </c>
      <c r="V259" s="98" t="str">
        <f>R259*T259</f>
      </c>
      <c r="W259" s="99" t="str">
        <f>S259*T259</f>
      </c>
      <c r="X259" t="n">
        <v>0</v>
      </c>
      <c r="Y259" s="100" t="n">
        <v>2017</v>
      </c>
      <c r="Z259" t="s">
        <v>389</v>
      </c>
      <c r="AA259" s="101" t="str">
        <f>IF(G259="shared-count-once",COUNTIFS($A$2:$A$807,A259,$B$2:$B$807,B259,$D$2:$D$807,D259),1)</f>
      </c>
    </row>
    <row r="260">
      <c r="A260" t="s">
        <v>202</v>
      </c>
      <c r="B260" s="79" t="n">
        <v>2049</v>
      </c>
      <c r="C260" t="s">
        <v>202</v>
      </c>
      <c r="D260" s="80" t="s">
        <v>393</v>
      </c>
      <c r="E260" s="81" t="s">
        <v>394</v>
      </c>
      <c r="F260" s="82" t="s">
        <v>206</v>
      </c>
      <c r="G260" s="83" t="s">
        <v>395</v>
      </c>
      <c r="H260" s="84" t="s">
        <v>386</v>
      </c>
      <c r="I260" s="85" t="n">
        <v>1</v>
      </c>
      <c r="J260" s="86" t="n">
        <v>1</v>
      </c>
      <c r="K260" s="87" t="n">
        <v>0.008775</v>
      </c>
      <c r="L260" s="88" t="n">
        <v>323199113.969356</v>
      </c>
      <c r="M260" s="89" t="n">
        <v>323259246.716719</v>
      </c>
      <c r="N260" s="90" t="str">
        <f>MIN(MAX((B260-'Calculation_Assumptions'!$B$5+1)/'Calculation_Assumptions'!$B$7,0),1)</f>
      </c>
      <c r="O260" s="91" t="str">
        <f>L260*I260</f>
      </c>
      <c r="P260" s="92" t="str">
        <f>M260*I260</f>
      </c>
      <c r="Q260" s="93" t="str">
        <f>P260*'Calculation_Assumptions'!$B$14*J260*K260</f>
      </c>
      <c r="R260" s="94" t="str">
        <f>O260*N260*J260*K260</f>
      </c>
      <c r="S260" s="95" t="str">
        <f>R260-Q260</f>
      </c>
      <c r="T260" s="96" t="str">
        <f>1/(1+'Calculation_Assumptions'!$B$8)^(B260-'Calculation_Assumptions'!$B$2)</f>
      </c>
      <c r="U260" s="97" t="str">
        <f>Q260*T260</f>
      </c>
      <c r="V260" s="98" t="str">
        <f>R260*T260</f>
      </c>
      <c r="W260" s="99" t="str">
        <f>S260*T260</f>
      </c>
      <c r="X260" t="n">
        <v>0</v>
      </c>
      <c r="Y260" s="100" t="n">
        <v>2017</v>
      </c>
      <c r="Z260" t="s">
        <v>389</v>
      </c>
      <c r="AA260" s="101" t="str">
        <f>IF(G260="shared-count-once",COUNTIFS($A$2:$A$807,A260,$B$2:$B$807,B260,$D$2:$D$807,D260),1)</f>
      </c>
    </row>
    <row r="261">
      <c r="A261" t="s">
        <v>202</v>
      </c>
      <c r="B261" s="79" t="n">
        <v>2050</v>
      </c>
      <c r="C261" t="s">
        <v>202</v>
      </c>
      <c r="D261" s="80" t="s">
        <v>393</v>
      </c>
      <c r="E261" s="81" t="s">
        <v>394</v>
      </c>
      <c r="F261" s="82" t="s">
        <v>206</v>
      </c>
      <c r="G261" s="83" t="s">
        <v>395</v>
      </c>
      <c r="H261" s="84" t="s">
        <v>386</v>
      </c>
      <c r="I261" s="85" t="n">
        <v>1</v>
      </c>
      <c r="J261" s="86" t="n">
        <v>1</v>
      </c>
      <c r="K261" s="87" t="n">
        <v>0.008775</v>
      </c>
      <c r="L261" s="88" t="n">
        <v>323949997.231237</v>
      </c>
      <c r="M261" s="89" t="n">
        <v>324013738.182479</v>
      </c>
      <c r="N261" s="90" t="str">
        <f>MIN(MAX((B261-'Calculation_Assumptions'!$B$5+1)/'Calculation_Assumptions'!$B$7,0),1)</f>
      </c>
      <c r="O261" s="91" t="str">
        <f>L261*I261</f>
      </c>
      <c r="P261" s="92" t="str">
        <f>M261*I261</f>
      </c>
      <c r="Q261" s="93" t="str">
        <f>P261*'Calculation_Assumptions'!$B$14*J261*K261</f>
      </c>
      <c r="R261" s="94" t="str">
        <f>O261*N261*J261*K261</f>
      </c>
      <c r="S261" s="95" t="str">
        <f>R261-Q261</f>
      </c>
      <c r="T261" s="96" t="str">
        <f>1/(1+'Calculation_Assumptions'!$B$8)^(B261-'Calculation_Assumptions'!$B$2)</f>
      </c>
      <c r="U261" s="97" t="str">
        <f>Q261*T261</f>
      </c>
      <c r="V261" s="98" t="str">
        <f>R261*T261</f>
      </c>
      <c r="W261" s="99" t="str">
        <f>S261*T261</f>
      </c>
      <c r="X261" t="n">
        <v>0</v>
      </c>
      <c r="Y261" s="100" t="n">
        <v>2017</v>
      </c>
      <c r="Z261" t="s">
        <v>389</v>
      </c>
      <c r="AA261" s="101" t="str">
        <f>IF(G261="shared-count-once",COUNTIFS($A$2:$A$807,A261,$B$2:$B$807,B261,$D$2:$D$807,D261),1)</f>
      </c>
    </row>
    <row r="262">
      <c r="A262" t="s">
        <v>244</v>
      </c>
      <c r="B262" s="79" t="n">
        <v>2025</v>
      </c>
      <c r="C262" t="s">
        <v>244</v>
      </c>
      <c r="D262" s="80" t="s">
        <v>405</v>
      </c>
      <c r="E262" s="81" t="s">
        <v>406</v>
      </c>
      <c r="F262" s="82" t="s">
        <v>248</v>
      </c>
      <c r="G262" s="83" t="s">
        <v>384</v>
      </c>
      <c r="H262" s="84" t="s">
        <v>386</v>
      </c>
      <c r="I262" s="85" t="n">
        <v>1</v>
      </c>
      <c r="J262" s="86" t="n">
        <v>1</v>
      </c>
      <c r="K262" s="87" t="n">
        <v>0.0087</v>
      </c>
      <c r="L262" s="88" t="n">
        <v>288000821.106462</v>
      </c>
      <c r="M262" s="89" t="n">
        <v>288000821.106462</v>
      </c>
      <c r="N262" s="90" t="str">
        <f>MIN(MAX((B262-'Calculation_Assumptions'!$B$5+1)/'Calculation_Assumptions'!$B$7,0),1)</f>
      </c>
      <c r="O262" s="91" t="str">
        <f>L262*I262</f>
      </c>
      <c r="P262" s="92" t="str">
        <f>M262*I262</f>
      </c>
      <c r="Q262" s="93" t="str">
        <f>P262*'Calculation_Assumptions'!$B$14*J262*K262</f>
      </c>
      <c r="R262" s="94" t="str">
        <f>O262*N262*J262*K262</f>
      </c>
      <c r="S262" s="95" t="str">
        <f>R262-Q262</f>
      </c>
      <c r="T262" s="96" t="str">
        <f>1/(1+'Calculation_Assumptions'!$B$8)^(B262-'Calculation_Assumptions'!$B$2)</f>
      </c>
      <c r="U262" s="97" t="str">
        <f>Q262*T262</f>
      </c>
      <c r="V262" s="98" t="str">
        <f>R262*T262</f>
      </c>
      <c r="W262" s="99" t="str">
        <f>S262*T262</f>
      </c>
      <c r="X262" t="n">
        <v>0</v>
      </c>
      <c r="Y262" s="100" t="n">
        <v>2017</v>
      </c>
      <c r="Z262" t="s">
        <v>389</v>
      </c>
      <c r="AA262" s="101" t="str">
        <f>IF(G262="shared-count-once",COUNTIFS($A$2:$A$807,A262,$B$2:$B$807,B262,$D$2:$D$807,D262),1)</f>
      </c>
    </row>
    <row r="263">
      <c r="A263" t="s">
        <v>244</v>
      </c>
      <c r="B263" s="79" t="n">
        <v>2026</v>
      </c>
      <c r="C263" t="s">
        <v>244</v>
      </c>
      <c r="D263" s="80" t="s">
        <v>405</v>
      </c>
      <c r="E263" s="81" t="s">
        <v>406</v>
      </c>
      <c r="F263" s="82" t="s">
        <v>248</v>
      </c>
      <c r="G263" s="83" t="s">
        <v>384</v>
      </c>
      <c r="H263" s="84" t="s">
        <v>386</v>
      </c>
      <c r="I263" s="85" t="n">
        <v>1</v>
      </c>
      <c r="J263" s="86" t="n">
        <v>1</v>
      </c>
      <c r="K263" s="87" t="n">
        <v>0.0087</v>
      </c>
      <c r="L263" s="88" t="n">
        <v>290123496.103219</v>
      </c>
      <c r="M263" s="89" t="n">
        <v>290123496.103219</v>
      </c>
      <c r="N263" s="90" t="str">
        <f>MIN(MAX((B263-'Calculation_Assumptions'!$B$5+1)/'Calculation_Assumptions'!$B$7,0),1)</f>
      </c>
      <c r="O263" s="91" t="str">
        <f>L263*I263</f>
      </c>
      <c r="P263" s="92" t="str">
        <f>M263*I263</f>
      </c>
      <c r="Q263" s="93" t="str">
        <f>P263*'Calculation_Assumptions'!$B$14*J263*K263</f>
      </c>
      <c r="R263" s="94" t="str">
        <f>O263*N263*J263*K263</f>
      </c>
      <c r="S263" s="95" t="str">
        <f>R263-Q263</f>
      </c>
      <c r="T263" s="96" t="str">
        <f>1/(1+'Calculation_Assumptions'!$B$8)^(B263-'Calculation_Assumptions'!$B$2)</f>
      </c>
      <c r="U263" s="97" t="str">
        <f>Q263*T263</f>
      </c>
      <c r="V263" s="98" t="str">
        <f>R263*T263</f>
      </c>
      <c r="W263" s="99" t="str">
        <f>S263*T263</f>
      </c>
      <c r="X263" t="n">
        <v>0</v>
      </c>
      <c r="Y263" s="100" t="n">
        <v>2017</v>
      </c>
      <c r="Z263" t="s">
        <v>389</v>
      </c>
      <c r="AA263" s="101" t="str">
        <f>IF(G263="shared-count-once",COUNTIFS($A$2:$A$807,A263,$B$2:$B$807,B263,$D$2:$D$807,D263),1)</f>
      </c>
    </row>
    <row r="264">
      <c r="A264" t="s">
        <v>244</v>
      </c>
      <c r="B264" s="79" t="n">
        <v>2027</v>
      </c>
      <c r="C264" t="s">
        <v>244</v>
      </c>
      <c r="D264" s="80" t="s">
        <v>405</v>
      </c>
      <c r="E264" s="81" t="s">
        <v>406</v>
      </c>
      <c r="F264" s="82" t="s">
        <v>248</v>
      </c>
      <c r="G264" s="83" t="s">
        <v>384</v>
      </c>
      <c r="H264" s="84" t="s">
        <v>386</v>
      </c>
      <c r="I264" s="85" t="n">
        <v>1</v>
      </c>
      <c r="J264" s="86" t="n">
        <v>1</v>
      </c>
      <c r="K264" s="87" t="n">
        <v>0.0087</v>
      </c>
      <c r="L264" s="88" t="n">
        <v>292252895.096956</v>
      </c>
      <c r="M264" s="89" t="n">
        <v>292252895.096956</v>
      </c>
      <c r="N264" s="90" t="str">
        <f>MIN(MAX((B264-'Calculation_Assumptions'!$B$5+1)/'Calculation_Assumptions'!$B$7,0),1)</f>
      </c>
      <c r="O264" s="91" t="str">
        <f>L264*I264</f>
      </c>
      <c r="P264" s="92" t="str">
        <f>M264*I264</f>
      </c>
      <c r="Q264" s="93" t="str">
        <f>P264*'Calculation_Assumptions'!$B$14*J264*K264</f>
      </c>
      <c r="R264" s="94" t="str">
        <f>O264*N264*J264*K264</f>
      </c>
      <c r="S264" s="95" t="str">
        <f>R264-Q264</f>
      </c>
      <c r="T264" s="96" t="str">
        <f>1/(1+'Calculation_Assumptions'!$B$8)^(B264-'Calculation_Assumptions'!$B$2)</f>
      </c>
      <c r="U264" s="97" t="str">
        <f>Q264*T264</f>
      </c>
      <c r="V264" s="98" t="str">
        <f>R264*T264</f>
      </c>
      <c r="W264" s="99" t="str">
        <f>S264*T264</f>
      </c>
      <c r="X264" t="n">
        <v>0</v>
      </c>
      <c r="Y264" s="100" t="n">
        <v>2017</v>
      </c>
      <c r="Z264" t="s">
        <v>389</v>
      </c>
      <c r="AA264" s="101" t="str">
        <f>IF(G264="shared-count-once",COUNTIFS($A$2:$A$807,A264,$B$2:$B$807,B264,$D$2:$D$807,D264),1)</f>
      </c>
    </row>
    <row r="265">
      <c r="A265" t="s">
        <v>244</v>
      </c>
      <c r="B265" s="79" t="n">
        <v>2028</v>
      </c>
      <c r="C265" t="s">
        <v>244</v>
      </c>
      <c r="D265" s="80" t="s">
        <v>405</v>
      </c>
      <c r="E265" s="81" t="s">
        <v>406</v>
      </c>
      <c r="F265" s="82" t="s">
        <v>248</v>
      </c>
      <c r="G265" s="83" t="s">
        <v>384</v>
      </c>
      <c r="H265" s="84" t="s">
        <v>386</v>
      </c>
      <c r="I265" s="85" t="n">
        <v>1</v>
      </c>
      <c r="J265" s="86" t="n">
        <v>1</v>
      </c>
      <c r="K265" s="87" t="n">
        <v>0.0087</v>
      </c>
      <c r="L265" s="88" t="n">
        <v>294160368.771013</v>
      </c>
      <c r="M265" s="89" t="n">
        <v>294314895.305465</v>
      </c>
      <c r="N265" s="90" t="str">
        <f>MIN(MAX((B265-'Calculation_Assumptions'!$B$5+1)/'Calculation_Assumptions'!$B$7,0),1)</f>
      </c>
      <c r="O265" s="91" t="str">
        <f>L265*I265</f>
      </c>
      <c r="P265" s="92" t="str">
        <f>M265*I265</f>
      </c>
      <c r="Q265" s="93" t="str">
        <f>P265*'Calculation_Assumptions'!$B$14*J265*K265</f>
      </c>
      <c r="R265" s="94" t="str">
        <f>O265*N265*J265*K265</f>
      </c>
      <c r="S265" s="95" t="str">
        <f>R265-Q265</f>
      </c>
      <c r="T265" s="96" t="str">
        <f>1/(1+'Calculation_Assumptions'!$B$8)^(B265-'Calculation_Assumptions'!$B$2)</f>
      </c>
      <c r="U265" s="97" t="str">
        <f>Q265*T265</f>
      </c>
      <c r="V265" s="98" t="str">
        <f>R265*T265</f>
      </c>
      <c r="W265" s="99" t="str">
        <f>S265*T265</f>
      </c>
      <c r="X265" t="n">
        <v>0</v>
      </c>
      <c r="Y265" s="100" t="n">
        <v>2017</v>
      </c>
      <c r="Z265" t="s">
        <v>389</v>
      </c>
      <c r="AA265" s="101" t="str">
        <f>IF(G265="shared-count-once",COUNTIFS($A$2:$A$807,A265,$B$2:$B$807,B265,$D$2:$D$807,D265),1)</f>
      </c>
    </row>
    <row r="266">
      <c r="A266" t="s">
        <v>244</v>
      </c>
      <c r="B266" s="79" t="n">
        <v>2029</v>
      </c>
      <c r="C266" t="s">
        <v>244</v>
      </c>
      <c r="D266" s="80" t="s">
        <v>405</v>
      </c>
      <c r="E266" s="81" t="s">
        <v>406</v>
      </c>
      <c r="F266" s="82" t="s">
        <v>248</v>
      </c>
      <c r="G266" s="83" t="s">
        <v>384</v>
      </c>
      <c r="H266" s="84" t="s">
        <v>386</v>
      </c>
      <c r="I266" s="85" t="n">
        <v>1</v>
      </c>
      <c r="J266" s="86" t="n">
        <v>1</v>
      </c>
      <c r="K266" s="87" t="n">
        <v>0.0087</v>
      </c>
      <c r="L266" s="88" t="n">
        <v>296226211.937892</v>
      </c>
      <c r="M266" s="89" t="n">
        <v>296341062.542853</v>
      </c>
      <c r="N266" s="90" t="str">
        <f>MIN(MAX((B266-'Calculation_Assumptions'!$B$5+1)/'Calculation_Assumptions'!$B$7,0),1)</f>
      </c>
      <c r="O266" s="91" t="str">
        <f>L266*I266</f>
      </c>
      <c r="P266" s="92" t="str">
        <f>M266*I266</f>
      </c>
      <c r="Q266" s="93" t="str">
        <f>P266*'Calculation_Assumptions'!$B$14*J266*K266</f>
      </c>
      <c r="R266" s="94" t="str">
        <f>O266*N266*J266*K266</f>
      </c>
      <c r="S266" s="95" t="str">
        <f>R266-Q266</f>
      </c>
      <c r="T266" s="96" t="str">
        <f>1/(1+'Calculation_Assumptions'!$B$8)^(B266-'Calculation_Assumptions'!$B$2)</f>
      </c>
      <c r="U266" s="97" t="str">
        <f>Q266*T266</f>
      </c>
      <c r="V266" s="98" t="str">
        <f>R266*T266</f>
      </c>
      <c r="W266" s="99" t="str">
        <f>S266*T266</f>
      </c>
      <c r="X266" t="n">
        <v>0</v>
      </c>
      <c r="Y266" s="100" t="n">
        <v>2017</v>
      </c>
      <c r="Z266" t="s">
        <v>389</v>
      </c>
      <c r="AA266" s="101" t="str">
        <f>IF(G266="shared-count-once",COUNTIFS($A$2:$A$807,A266,$B$2:$B$807,B266,$D$2:$D$807,D266),1)</f>
      </c>
    </row>
    <row r="267">
      <c r="A267" t="s">
        <v>244</v>
      </c>
      <c r="B267" s="79" t="n">
        <v>2030</v>
      </c>
      <c r="C267" t="s">
        <v>244</v>
      </c>
      <c r="D267" s="80" t="s">
        <v>405</v>
      </c>
      <c r="E267" s="81" t="s">
        <v>406</v>
      </c>
      <c r="F267" s="82" t="s">
        <v>248</v>
      </c>
      <c r="G267" s="83" t="s">
        <v>384</v>
      </c>
      <c r="H267" s="84" t="s">
        <v>386</v>
      </c>
      <c r="I267" s="85" t="n">
        <v>1</v>
      </c>
      <c r="J267" s="86" t="n">
        <v>1</v>
      </c>
      <c r="K267" s="87" t="n">
        <v>0.0087</v>
      </c>
      <c r="L267" s="88" t="n">
        <v>298206997.857454</v>
      </c>
      <c r="M267" s="89" t="n">
        <v>298280286.057263</v>
      </c>
      <c r="N267" s="90" t="str">
        <f>MIN(MAX((B267-'Calculation_Assumptions'!$B$5+1)/'Calculation_Assumptions'!$B$7,0),1)</f>
      </c>
      <c r="O267" s="91" t="str">
        <f>L267*I267</f>
      </c>
      <c r="P267" s="92" t="str">
        <f>M267*I267</f>
      </c>
      <c r="Q267" s="93" t="str">
        <f>P267*'Calculation_Assumptions'!$B$14*J267*K267</f>
      </c>
      <c r="R267" s="94" t="str">
        <f>O267*N267*J267*K267</f>
      </c>
      <c r="S267" s="95" t="str">
        <f>R267-Q267</f>
      </c>
      <c r="T267" s="96" t="str">
        <f>1/(1+'Calculation_Assumptions'!$B$8)^(B267-'Calculation_Assumptions'!$B$2)</f>
      </c>
      <c r="U267" s="97" t="str">
        <f>Q267*T267</f>
      </c>
      <c r="V267" s="98" t="str">
        <f>R267*T267</f>
      </c>
      <c r="W267" s="99" t="str">
        <f>S267*T267</f>
      </c>
      <c r="X267" t="n">
        <v>0</v>
      </c>
      <c r="Y267" s="100" t="n">
        <v>2017</v>
      </c>
      <c r="Z267" t="s">
        <v>389</v>
      </c>
      <c r="AA267" s="101" t="str">
        <f>IF(G267="shared-count-once",COUNTIFS($A$2:$A$807,A267,$B$2:$B$807,B267,$D$2:$D$807,D267),1)</f>
      </c>
    </row>
    <row r="268">
      <c r="A268" t="s">
        <v>244</v>
      </c>
      <c r="B268" s="79" t="n">
        <v>2031</v>
      </c>
      <c r="C268" t="s">
        <v>244</v>
      </c>
      <c r="D268" s="80" t="s">
        <v>405</v>
      </c>
      <c r="E268" s="81" t="s">
        <v>406</v>
      </c>
      <c r="F268" s="82" t="s">
        <v>248</v>
      </c>
      <c r="G268" s="83" t="s">
        <v>384</v>
      </c>
      <c r="H268" s="84" t="s">
        <v>386</v>
      </c>
      <c r="I268" s="85" t="n">
        <v>1</v>
      </c>
      <c r="J268" s="86" t="n">
        <v>1</v>
      </c>
      <c r="K268" s="87" t="n">
        <v>0.0087</v>
      </c>
      <c r="L268" s="88" t="n">
        <v>300122602.896479</v>
      </c>
      <c r="M268" s="89" t="n">
        <v>300152603.254782</v>
      </c>
      <c r="N268" s="90" t="str">
        <f>MIN(MAX((B268-'Calculation_Assumptions'!$B$5+1)/'Calculation_Assumptions'!$B$7,0),1)</f>
      </c>
      <c r="O268" s="91" t="str">
        <f>L268*I268</f>
      </c>
      <c r="P268" s="92" t="str">
        <f>M268*I268</f>
      </c>
      <c r="Q268" s="93" t="str">
        <f>P268*'Calculation_Assumptions'!$B$14*J268*K268</f>
      </c>
      <c r="R268" s="94" t="str">
        <f>O268*N268*J268*K268</f>
      </c>
      <c r="S268" s="95" t="str">
        <f>R268-Q268</f>
      </c>
      <c r="T268" s="96" t="str">
        <f>1/(1+'Calculation_Assumptions'!$B$8)^(B268-'Calculation_Assumptions'!$B$2)</f>
      </c>
      <c r="U268" s="97" t="str">
        <f>Q268*T268</f>
      </c>
      <c r="V268" s="98" t="str">
        <f>R268*T268</f>
      </c>
      <c r="W268" s="99" t="str">
        <f>S268*T268</f>
      </c>
      <c r="X268" t="n">
        <v>0</v>
      </c>
      <c r="Y268" s="100" t="n">
        <v>2017</v>
      </c>
      <c r="Z268" t="s">
        <v>389</v>
      </c>
      <c r="AA268" s="101" t="str">
        <f>IF(G268="shared-count-once",COUNTIFS($A$2:$A$807,A268,$B$2:$B$807,B268,$D$2:$D$807,D268),1)</f>
      </c>
    </row>
    <row r="269">
      <c r="A269" t="s">
        <v>244</v>
      </c>
      <c r="B269" s="79" t="n">
        <v>2032</v>
      </c>
      <c r="C269" t="s">
        <v>244</v>
      </c>
      <c r="D269" s="80" t="s">
        <v>405</v>
      </c>
      <c r="E269" s="81" t="s">
        <v>406</v>
      </c>
      <c r="F269" s="82" t="s">
        <v>248</v>
      </c>
      <c r="G269" s="83" t="s">
        <v>384</v>
      </c>
      <c r="H269" s="84" t="s">
        <v>386</v>
      </c>
      <c r="I269" s="85" t="n">
        <v>1</v>
      </c>
      <c r="J269" s="86" t="n">
        <v>1</v>
      </c>
      <c r="K269" s="87" t="n">
        <v>0.0087</v>
      </c>
      <c r="L269" s="88" t="n">
        <v>301974053.655319</v>
      </c>
      <c r="M269" s="89" t="n">
        <v>301959399.633888</v>
      </c>
      <c r="N269" s="90" t="str">
        <f>MIN(MAX((B269-'Calculation_Assumptions'!$B$5+1)/'Calculation_Assumptions'!$B$7,0),1)</f>
      </c>
      <c r="O269" s="91" t="str">
        <f>L269*I269</f>
      </c>
      <c r="P269" s="92" t="str">
        <f>M269*I269</f>
      </c>
      <c r="Q269" s="93" t="str">
        <f>P269*'Calculation_Assumptions'!$B$14*J269*K269</f>
      </c>
      <c r="R269" s="94" t="str">
        <f>O269*N269*J269*K269</f>
      </c>
      <c r="S269" s="95" t="str">
        <f>R269-Q269</f>
      </c>
      <c r="T269" s="96" t="str">
        <f>1/(1+'Calculation_Assumptions'!$B$8)^(B269-'Calculation_Assumptions'!$B$2)</f>
      </c>
      <c r="U269" s="97" t="str">
        <f>Q269*T269</f>
      </c>
      <c r="V269" s="98" t="str">
        <f>R269*T269</f>
      </c>
      <c r="W269" s="99" t="str">
        <f>S269*T269</f>
      </c>
      <c r="X269" t="n">
        <v>0</v>
      </c>
      <c r="Y269" s="100" t="n">
        <v>2017</v>
      </c>
      <c r="Z269" t="s">
        <v>389</v>
      </c>
      <c r="AA269" s="101" t="str">
        <f>IF(G269="shared-count-once",COUNTIFS($A$2:$A$807,A269,$B$2:$B$807,B269,$D$2:$D$807,D269),1)</f>
      </c>
    </row>
    <row r="270">
      <c r="A270" t="s">
        <v>244</v>
      </c>
      <c r="B270" s="79" t="n">
        <v>2033</v>
      </c>
      <c r="C270" t="s">
        <v>244</v>
      </c>
      <c r="D270" s="80" t="s">
        <v>405</v>
      </c>
      <c r="E270" s="81" t="s">
        <v>406</v>
      </c>
      <c r="F270" s="82" t="s">
        <v>248</v>
      </c>
      <c r="G270" s="83" t="s">
        <v>384</v>
      </c>
      <c r="H270" s="84" t="s">
        <v>386</v>
      </c>
      <c r="I270" s="85" t="n">
        <v>1</v>
      </c>
      <c r="J270" s="86" t="n">
        <v>1</v>
      </c>
      <c r="K270" s="87" t="n">
        <v>0.0087</v>
      </c>
      <c r="L270" s="88" t="n">
        <v>303521061.186681</v>
      </c>
      <c r="M270" s="89" t="n">
        <v>303701035.202051</v>
      </c>
      <c r="N270" s="90" t="str">
        <f>MIN(MAX((B270-'Calculation_Assumptions'!$B$5+1)/'Calculation_Assumptions'!$B$7,0),1)</f>
      </c>
      <c r="O270" s="91" t="str">
        <f>L270*I270</f>
      </c>
      <c r="P270" s="92" t="str">
        <f>M270*I270</f>
      </c>
      <c r="Q270" s="93" t="str">
        <f>P270*'Calculation_Assumptions'!$B$14*J270*K270</f>
      </c>
      <c r="R270" s="94" t="str">
        <f>O270*N270*J270*K270</f>
      </c>
      <c r="S270" s="95" t="str">
        <f>R270-Q270</f>
      </c>
      <c r="T270" s="96" t="str">
        <f>1/(1+'Calculation_Assumptions'!$B$8)^(B270-'Calculation_Assumptions'!$B$2)</f>
      </c>
      <c r="U270" s="97" t="str">
        <f>Q270*T270</f>
      </c>
      <c r="V270" s="98" t="str">
        <f>R270*T270</f>
      </c>
      <c r="W270" s="99" t="str">
        <f>S270*T270</f>
      </c>
      <c r="X270" t="n">
        <v>0</v>
      </c>
      <c r="Y270" s="100" t="n">
        <v>2017</v>
      </c>
      <c r="Z270" t="s">
        <v>389</v>
      </c>
      <c r="AA270" s="101" t="str">
        <f>IF(G270="shared-count-once",COUNTIFS($A$2:$A$807,A270,$B$2:$B$807,B270,$D$2:$D$807,D270),1)</f>
      </c>
    </row>
    <row r="271">
      <c r="A271" t="s">
        <v>244</v>
      </c>
      <c r="B271" s="79" t="n">
        <v>2034</v>
      </c>
      <c r="C271" t="s">
        <v>244</v>
      </c>
      <c r="D271" s="80" t="s">
        <v>405</v>
      </c>
      <c r="E271" s="81" t="s">
        <v>406</v>
      </c>
      <c r="F271" s="82" t="s">
        <v>248</v>
      </c>
      <c r="G271" s="83" t="s">
        <v>384</v>
      </c>
      <c r="H271" s="84" t="s">
        <v>386</v>
      </c>
      <c r="I271" s="85" t="n">
        <v>1</v>
      </c>
      <c r="J271" s="86" t="n">
        <v>1</v>
      </c>
      <c r="K271" s="87" t="n">
        <v>0.0087</v>
      </c>
      <c r="L271" s="88" t="n">
        <v>305219137.699594</v>
      </c>
      <c r="M271" s="89" t="n">
        <v>305377998.093319</v>
      </c>
      <c r="N271" s="90" t="str">
        <f>MIN(MAX((B271-'Calculation_Assumptions'!$B$5+1)/'Calculation_Assumptions'!$B$7,0),1)</f>
      </c>
      <c r="O271" s="91" t="str">
        <f>L271*I271</f>
      </c>
      <c r="P271" s="92" t="str">
        <f>M271*I271</f>
      </c>
      <c r="Q271" s="93" t="str">
        <f>P271*'Calculation_Assumptions'!$B$14*J271*K271</f>
      </c>
      <c r="R271" s="94" t="str">
        <f>O271*N271*J271*K271</f>
      </c>
      <c r="S271" s="95" t="str">
        <f>R271-Q271</f>
      </c>
      <c r="T271" s="96" t="str">
        <f>1/(1+'Calculation_Assumptions'!$B$8)^(B271-'Calculation_Assumptions'!$B$2)</f>
      </c>
      <c r="U271" s="97" t="str">
        <f>Q271*T271</f>
      </c>
      <c r="V271" s="98" t="str">
        <f>R271*T271</f>
      </c>
      <c r="W271" s="99" t="str">
        <f>S271*T271</f>
      </c>
      <c r="X271" t="n">
        <v>0</v>
      </c>
      <c r="Y271" s="100" t="n">
        <v>2017</v>
      </c>
      <c r="Z271" t="s">
        <v>389</v>
      </c>
      <c r="AA271" s="101" t="str">
        <f>IF(G271="shared-count-once",COUNTIFS($A$2:$A$807,A271,$B$2:$B$807,B271,$D$2:$D$807,D271),1)</f>
      </c>
    </row>
    <row r="272">
      <c r="A272" t="s">
        <v>244</v>
      </c>
      <c r="B272" s="79" t="n">
        <v>2035</v>
      </c>
      <c r="C272" t="s">
        <v>244</v>
      </c>
      <c r="D272" s="80" t="s">
        <v>405</v>
      </c>
      <c r="E272" s="81" t="s">
        <v>406</v>
      </c>
      <c r="F272" s="82" t="s">
        <v>248</v>
      </c>
      <c r="G272" s="83" t="s">
        <v>384</v>
      </c>
      <c r="H272" s="84" t="s">
        <v>386</v>
      </c>
      <c r="I272" s="85" t="n">
        <v>1</v>
      </c>
      <c r="J272" s="86" t="n">
        <v>1</v>
      </c>
      <c r="K272" s="87" t="n">
        <v>0.0087</v>
      </c>
      <c r="L272" s="88" t="n">
        <v>306853121.75192</v>
      </c>
      <c r="M272" s="89" t="n">
        <v>306989258.29407</v>
      </c>
      <c r="N272" s="90" t="str">
        <f>MIN(MAX((B272-'Calculation_Assumptions'!$B$5+1)/'Calculation_Assumptions'!$B$7,0),1)</f>
      </c>
      <c r="O272" s="91" t="str">
        <f>L272*I272</f>
      </c>
      <c r="P272" s="92" t="str">
        <f>M272*I272</f>
      </c>
      <c r="Q272" s="93" t="str">
        <f>P272*'Calculation_Assumptions'!$B$14*J272*K272</f>
      </c>
      <c r="R272" s="94" t="str">
        <f>O272*N272*J272*K272</f>
      </c>
      <c r="S272" s="95" t="str">
        <f>R272-Q272</f>
      </c>
      <c r="T272" s="96" t="str">
        <f>1/(1+'Calculation_Assumptions'!$B$8)^(B272-'Calculation_Assumptions'!$B$2)</f>
      </c>
      <c r="U272" s="97" t="str">
        <f>Q272*T272</f>
      </c>
      <c r="V272" s="98" t="str">
        <f>R272*T272</f>
      </c>
      <c r="W272" s="99" t="str">
        <f>S272*T272</f>
      </c>
      <c r="X272" t="n">
        <v>0</v>
      </c>
      <c r="Y272" s="100" t="n">
        <v>2017</v>
      </c>
      <c r="Z272" t="s">
        <v>389</v>
      </c>
      <c r="AA272" s="101" t="str">
        <f>IF(G272="shared-count-once",COUNTIFS($A$2:$A$807,A272,$B$2:$B$807,B272,$D$2:$D$807,D272),1)</f>
      </c>
    </row>
    <row r="273">
      <c r="A273" t="s">
        <v>244</v>
      </c>
      <c r="B273" s="79" t="n">
        <v>2036</v>
      </c>
      <c r="C273" t="s">
        <v>244</v>
      </c>
      <c r="D273" s="80" t="s">
        <v>405</v>
      </c>
      <c r="E273" s="81" t="s">
        <v>406</v>
      </c>
      <c r="F273" s="82" t="s">
        <v>248</v>
      </c>
      <c r="G273" s="83" t="s">
        <v>384</v>
      </c>
      <c r="H273" s="84" t="s">
        <v>386</v>
      </c>
      <c r="I273" s="85" t="n">
        <v>1</v>
      </c>
      <c r="J273" s="86" t="n">
        <v>1</v>
      </c>
      <c r="K273" s="87" t="n">
        <v>0.0087</v>
      </c>
      <c r="L273" s="88" t="n">
        <v>308423335.050101</v>
      </c>
      <c r="M273" s="89" t="n">
        <v>308537399.672094</v>
      </c>
      <c r="N273" s="90" t="str">
        <f>MIN(MAX((B273-'Calculation_Assumptions'!$B$5+1)/'Calculation_Assumptions'!$B$7,0),1)</f>
      </c>
      <c r="O273" s="91" t="str">
        <f>L273*I273</f>
      </c>
      <c r="P273" s="92" t="str">
        <f>M273*I273</f>
      </c>
      <c r="Q273" s="93" t="str">
        <f>P273*'Calculation_Assumptions'!$B$14*J273*K273</f>
      </c>
      <c r="R273" s="94" t="str">
        <f>O273*N273*J273*K273</f>
      </c>
      <c r="S273" s="95" t="str">
        <f>R273-Q273</f>
      </c>
      <c r="T273" s="96" t="str">
        <f>1/(1+'Calculation_Assumptions'!$B$8)^(B273-'Calculation_Assumptions'!$B$2)</f>
      </c>
      <c r="U273" s="97" t="str">
        <f>Q273*T273</f>
      </c>
      <c r="V273" s="98" t="str">
        <f>R273*T273</f>
      </c>
      <c r="W273" s="99" t="str">
        <f>S273*T273</f>
      </c>
      <c r="X273" t="n">
        <v>0</v>
      </c>
      <c r="Y273" s="100" t="n">
        <v>2017</v>
      </c>
      <c r="Z273" t="s">
        <v>389</v>
      </c>
      <c r="AA273" s="101" t="str">
        <f>IF(G273="shared-count-once",COUNTIFS($A$2:$A$807,A273,$B$2:$B$807,B273,$D$2:$D$807,D273),1)</f>
      </c>
    </row>
    <row r="274">
      <c r="A274" t="s">
        <v>244</v>
      </c>
      <c r="B274" s="79" t="n">
        <v>2037</v>
      </c>
      <c r="C274" t="s">
        <v>244</v>
      </c>
      <c r="D274" s="80" t="s">
        <v>405</v>
      </c>
      <c r="E274" s="81" t="s">
        <v>406</v>
      </c>
      <c r="F274" s="82" t="s">
        <v>248</v>
      </c>
      <c r="G274" s="83" t="s">
        <v>384</v>
      </c>
      <c r="H274" s="84" t="s">
        <v>386</v>
      </c>
      <c r="I274" s="85" t="n">
        <v>1</v>
      </c>
      <c r="J274" s="86" t="n">
        <v>1</v>
      </c>
      <c r="K274" s="87" t="n">
        <v>0.0087</v>
      </c>
      <c r="L274" s="88" t="n">
        <v>309930390.866241</v>
      </c>
      <c r="M274" s="89" t="n">
        <v>310023120.393472</v>
      </c>
      <c r="N274" s="90" t="str">
        <f>MIN(MAX((B274-'Calculation_Assumptions'!$B$5+1)/'Calculation_Assumptions'!$B$7,0),1)</f>
      </c>
      <c r="O274" s="91" t="str">
        <f>L274*I274</f>
      </c>
      <c r="P274" s="92" t="str">
        <f>M274*I274</f>
      </c>
      <c r="Q274" s="93" t="str">
        <f>P274*'Calculation_Assumptions'!$B$14*J274*K274</f>
      </c>
      <c r="R274" s="94" t="str">
        <f>O274*N274*J274*K274</f>
      </c>
      <c r="S274" s="95" t="str">
        <f>R274-Q274</f>
      </c>
      <c r="T274" s="96" t="str">
        <f>1/(1+'Calculation_Assumptions'!$B$8)^(B274-'Calculation_Assumptions'!$B$2)</f>
      </c>
      <c r="U274" s="97" t="str">
        <f>Q274*T274</f>
      </c>
      <c r="V274" s="98" t="str">
        <f>R274*T274</f>
      </c>
      <c r="W274" s="99" t="str">
        <f>S274*T274</f>
      </c>
      <c r="X274" t="n">
        <v>0</v>
      </c>
      <c r="Y274" s="100" t="n">
        <v>2017</v>
      </c>
      <c r="Z274" t="s">
        <v>389</v>
      </c>
      <c r="AA274" s="101" t="str">
        <f>IF(G274="shared-count-once",COUNTIFS($A$2:$A$807,A274,$B$2:$B$807,B274,$D$2:$D$807,D274),1)</f>
      </c>
    </row>
    <row r="275">
      <c r="A275" t="s">
        <v>244</v>
      </c>
      <c r="B275" s="79" t="n">
        <v>2038</v>
      </c>
      <c r="C275" t="s">
        <v>244</v>
      </c>
      <c r="D275" s="80" t="s">
        <v>405</v>
      </c>
      <c r="E275" s="81" t="s">
        <v>406</v>
      </c>
      <c r="F275" s="82" t="s">
        <v>248</v>
      </c>
      <c r="G275" s="83" t="s">
        <v>384</v>
      </c>
      <c r="H275" s="84" t="s">
        <v>386</v>
      </c>
      <c r="I275" s="85" t="n">
        <v>1</v>
      </c>
      <c r="J275" s="86" t="n">
        <v>1</v>
      </c>
      <c r="K275" s="87" t="n">
        <v>0.0087</v>
      </c>
      <c r="L275" s="88" t="n">
        <v>311253152.966929</v>
      </c>
      <c r="M275" s="89" t="n">
        <v>311445837.134625</v>
      </c>
      <c r="N275" s="90" t="str">
        <f>MIN(MAX((B275-'Calculation_Assumptions'!$B$5+1)/'Calculation_Assumptions'!$B$7,0),1)</f>
      </c>
      <c r="O275" s="91" t="str">
        <f>L275*I275</f>
      </c>
      <c r="P275" s="92" t="str">
        <f>M275*I275</f>
      </c>
      <c r="Q275" s="93" t="str">
        <f>P275*'Calculation_Assumptions'!$B$14*J275*K275</f>
      </c>
      <c r="R275" s="94" t="str">
        <f>O275*N275*J275*K275</f>
      </c>
      <c r="S275" s="95" t="str">
        <f>R275-Q275</f>
      </c>
      <c r="T275" s="96" t="str">
        <f>1/(1+'Calculation_Assumptions'!$B$8)^(B275-'Calculation_Assumptions'!$B$2)</f>
      </c>
      <c r="U275" s="97" t="str">
        <f>Q275*T275</f>
      </c>
      <c r="V275" s="98" t="str">
        <f>R275*T275</f>
      </c>
      <c r="W275" s="99" t="str">
        <f>S275*T275</f>
      </c>
      <c r="X275" t="n">
        <v>0</v>
      </c>
      <c r="Y275" s="100" t="n">
        <v>2017</v>
      </c>
      <c r="Z275" t="s">
        <v>389</v>
      </c>
      <c r="AA275" s="101" t="str">
        <f>IF(G275="shared-count-once",COUNTIFS($A$2:$A$807,A275,$B$2:$B$807,B275,$D$2:$D$807,D275),1)</f>
      </c>
    </row>
    <row r="276">
      <c r="A276" t="s">
        <v>244</v>
      </c>
      <c r="B276" s="79" t="n">
        <v>2039</v>
      </c>
      <c r="C276" t="s">
        <v>244</v>
      </c>
      <c r="D276" s="80" t="s">
        <v>405</v>
      </c>
      <c r="E276" s="81" t="s">
        <v>406</v>
      </c>
      <c r="F276" s="82" t="s">
        <v>248</v>
      </c>
      <c r="G276" s="83" t="s">
        <v>384</v>
      </c>
      <c r="H276" s="84" t="s">
        <v>386</v>
      </c>
      <c r="I276" s="85" t="n">
        <v>1</v>
      </c>
      <c r="J276" s="86" t="n">
        <v>1</v>
      </c>
      <c r="K276" s="87" t="n">
        <v>0.0087</v>
      </c>
      <c r="L276" s="88" t="n">
        <v>312629593.373961</v>
      </c>
      <c r="M276" s="89" t="n">
        <v>312806989.715685</v>
      </c>
      <c r="N276" s="90" t="str">
        <f>MIN(MAX((B276-'Calculation_Assumptions'!$B$5+1)/'Calculation_Assumptions'!$B$7,0),1)</f>
      </c>
      <c r="O276" s="91" t="str">
        <f>L276*I276</f>
      </c>
      <c r="P276" s="92" t="str">
        <f>M276*I276</f>
      </c>
      <c r="Q276" s="93" t="str">
        <f>P276*'Calculation_Assumptions'!$B$14*J276*K276</f>
      </c>
      <c r="R276" s="94" t="str">
        <f>O276*N276*J276*K276</f>
      </c>
      <c r="S276" s="95" t="str">
        <f>R276-Q276</f>
      </c>
      <c r="T276" s="96" t="str">
        <f>1/(1+'Calculation_Assumptions'!$B$8)^(B276-'Calculation_Assumptions'!$B$2)</f>
      </c>
      <c r="U276" s="97" t="str">
        <f>Q276*T276</f>
      </c>
      <c r="V276" s="98" t="str">
        <f>R276*T276</f>
      </c>
      <c r="W276" s="99" t="str">
        <f>S276*T276</f>
      </c>
      <c r="X276" t="n">
        <v>0</v>
      </c>
      <c r="Y276" s="100" t="n">
        <v>2017</v>
      </c>
      <c r="Z276" t="s">
        <v>389</v>
      </c>
      <c r="AA276" s="101" t="str">
        <f>IF(G276="shared-count-once",COUNTIFS($A$2:$A$807,A276,$B$2:$B$807,B276,$D$2:$D$807,D276),1)</f>
      </c>
    </row>
    <row r="277">
      <c r="A277" t="s">
        <v>244</v>
      </c>
      <c r="B277" s="79" t="n">
        <v>2040</v>
      </c>
      <c r="C277" t="s">
        <v>244</v>
      </c>
      <c r="D277" s="80" t="s">
        <v>405</v>
      </c>
      <c r="E277" s="81" t="s">
        <v>406</v>
      </c>
      <c r="F277" s="82" t="s">
        <v>248</v>
      </c>
      <c r="G277" s="83" t="s">
        <v>384</v>
      </c>
      <c r="H277" s="84" t="s">
        <v>386</v>
      </c>
      <c r="I277" s="85" t="n">
        <v>1</v>
      </c>
      <c r="J277" s="86" t="n">
        <v>1</v>
      </c>
      <c r="K277" s="87" t="n">
        <v>0.0087</v>
      </c>
      <c r="L277" s="88" t="n">
        <v>313945759.502805</v>
      </c>
      <c r="M277" s="89" t="n">
        <v>314109251.582649</v>
      </c>
      <c r="N277" s="90" t="str">
        <f>MIN(MAX((B277-'Calculation_Assumptions'!$B$5+1)/'Calculation_Assumptions'!$B$7,0),1)</f>
      </c>
      <c r="O277" s="91" t="str">
        <f>L277*I277</f>
      </c>
      <c r="P277" s="92" t="str">
        <f>M277*I277</f>
      </c>
      <c r="Q277" s="93" t="str">
        <f>P277*'Calculation_Assumptions'!$B$14*J277*K277</f>
      </c>
      <c r="R277" s="94" t="str">
        <f>O277*N277*J277*K277</f>
      </c>
      <c r="S277" s="95" t="str">
        <f>R277-Q277</f>
      </c>
      <c r="T277" s="96" t="str">
        <f>1/(1+'Calculation_Assumptions'!$B$8)^(B277-'Calculation_Assumptions'!$B$2)</f>
      </c>
      <c r="U277" s="97" t="str">
        <f>Q277*T277</f>
      </c>
      <c r="V277" s="98" t="str">
        <f>R277*T277</f>
      </c>
      <c r="W277" s="99" t="str">
        <f>S277*T277</f>
      </c>
      <c r="X277" t="n">
        <v>0</v>
      </c>
      <c r="Y277" s="100" t="n">
        <v>2017</v>
      </c>
      <c r="Z277" t="s">
        <v>389</v>
      </c>
      <c r="AA277" s="101" t="str">
        <f>IF(G277="shared-count-once",COUNTIFS($A$2:$A$807,A277,$B$2:$B$807,B277,$D$2:$D$807,D277),1)</f>
      </c>
    </row>
    <row r="278">
      <c r="A278" t="s">
        <v>244</v>
      </c>
      <c r="B278" s="79" t="n">
        <v>2041</v>
      </c>
      <c r="C278" t="s">
        <v>244</v>
      </c>
      <c r="D278" s="80" t="s">
        <v>405</v>
      </c>
      <c r="E278" s="81" t="s">
        <v>406</v>
      </c>
      <c r="F278" s="82" t="s">
        <v>248</v>
      </c>
      <c r="G278" s="83" t="s">
        <v>384</v>
      </c>
      <c r="H278" s="84" t="s">
        <v>386</v>
      </c>
      <c r="I278" s="85" t="n">
        <v>1</v>
      </c>
      <c r="J278" s="86" t="n">
        <v>1</v>
      </c>
      <c r="K278" s="87" t="n">
        <v>0.0087</v>
      </c>
      <c r="L278" s="88" t="n">
        <v>315202371.715614</v>
      </c>
      <c r="M278" s="89" t="n">
        <v>315352079.812423</v>
      </c>
      <c r="N278" s="90" t="str">
        <f>MIN(MAX((B278-'Calculation_Assumptions'!$B$5+1)/'Calculation_Assumptions'!$B$7,0),1)</f>
      </c>
      <c r="O278" s="91" t="str">
        <f>L278*I278</f>
      </c>
      <c r="P278" s="92" t="str">
        <f>M278*I278</f>
      </c>
      <c r="Q278" s="93" t="str">
        <f>P278*'Calculation_Assumptions'!$B$14*J278*K278</f>
      </c>
      <c r="R278" s="94" t="str">
        <f>O278*N278*J278*K278</f>
      </c>
      <c r="S278" s="95" t="str">
        <f>R278-Q278</f>
      </c>
      <c r="T278" s="96" t="str">
        <f>1/(1+'Calculation_Assumptions'!$B$8)^(B278-'Calculation_Assumptions'!$B$2)</f>
      </c>
      <c r="U278" s="97" t="str">
        <f>Q278*T278</f>
      </c>
      <c r="V278" s="98" t="str">
        <f>R278*T278</f>
      </c>
      <c r="W278" s="99" t="str">
        <f>S278*T278</f>
      </c>
      <c r="X278" t="n">
        <v>0</v>
      </c>
      <c r="Y278" s="100" t="n">
        <v>2017</v>
      </c>
      <c r="Z278" t="s">
        <v>389</v>
      </c>
      <c r="AA278" s="101" t="str">
        <f>IF(G278="shared-count-once",COUNTIFS($A$2:$A$807,A278,$B$2:$B$807,B278,$D$2:$D$807,D278),1)</f>
      </c>
    </row>
    <row r="279">
      <c r="A279" t="s">
        <v>244</v>
      </c>
      <c r="B279" s="79" t="n">
        <v>2042</v>
      </c>
      <c r="C279" t="s">
        <v>244</v>
      </c>
      <c r="D279" s="80" t="s">
        <v>405</v>
      </c>
      <c r="E279" s="81" t="s">
        <v>406</v>
      </c>
      <c r="F279" s="82" t="s">
        <v>248</v>
      </c>
      <c r="G279" s="83" t="s">
        <v>384</v>
      </c>
      <c r="H279" s="84" t="s">
        <v>386</v>
      </c>
      <c r="I279" s="85" t="n">
        <v>1</v>
      </c>
      <c r="J279" s="86" t="n">
        <v>1</v>
      </c>
      <c r="K279" s="87" t="n">
        <v>0.0087</v>
      </c>
      <c r="L279" s="88" t="n">
        <v>316399865.146708</v>
      </c>
      <c r="M279" s="89" t="n">
        <v>316395286.312016</v>
      </c>
      <c r="N279" s="90" t="str">
        <f>MIN(MAX((B279-'Calculation_Assumptions'!$B$5+1)/'Calculation_Assumptions'!$B$7,0),1)</f>
      </c>
      <c r="O279" s="91" t="str">
        <f>L279*I279</f>
      </c>
      <c r="P279" s="92" t="str">
        <f>M279*I279</f>
      </c>
      <c r="Q279" s="93" t="str">
        <f>P279*'Calculation_Assumptions'!$B$14*J279*K279</f>
      </c>
      <c r="R279" s="94" t="str">
        <f>O279*N279*J279*K279</f>
      </c>
      <c r="S279" s="95" t="str">
        <f>R279-Q279</f>
      </c>
      <c r="T279" s="96" t="str">
        <f>1/(1+'Calculation_Assumptions'!$B$8)^(B279-'Calculation_Assumptions'!$B$2)</f>
      </c>
      <c r="U279" s="97" t="str">
        <f>Q279*T279</f>
      </c>
      <c r="V279" s="98" t="str">
        <f>R279*T279</f>
      </c>
      <c r="W279" s="99" t="str">
        <f>S279*T279</f>
      </c>
      <c r="X279" t="n">
        <v>0</v>
      </c>
      <c r="Y279" s="100" t="n">
        <v>2017</v>
      </c>
      <c r="Z279" t="s">
        <v>389</v>
      </c>
      <c r="AA279" s="101" t="str">
        <f>IF(G279="shared-count-once",COUNTIFS($A$2:$A$807,A279,$B$2:$B$807,B279,$D$2:$D$807,D279),1)</f>
      </c>
    </row>
    <row r="280">
      <c r="A280" t="s">
        <v>244</v>
      </c>
      <c r="B280" s="79" t="n">
        <v>2043</v>
      </c>
      <c r="C280" t="s">
        <v>244</v>
      </c>
      <c r="D280" s="80" t="s">
        <v>405</v>
      </c>
      <c r="E280" s="81" t="s">
        <v>406</v>
      </c>
      <c r="F280" s="82" t="s">
        <v>248</v>
      </c>
      <c r="G280" s="83" t="s">
        <v>384</v>
      </c>
      <c r="H280" s="84" t="s">
        <v>386</v>
      </c>
      <c r="I280" s="85" t="n">
        <v>1</v>
      </c>
      <c r="J280" s="86" t="n">
        <v>1</v>
      </c>
      <c r="K280" s="87" t="n">
        <v>0.0087</v>
      </c>
      <c r="L280" s="88" t="n">
        <v>317538484.942735</v>
      </c>
      <c r="M280" s="89" t="n">
        <v>317619735.688289</v>
      </c>
      <c r="N280" s="90" t="str">
        <f>MIN(MAX((B280-'Calculation_Assumptions'!$B$5+1)/'Calculation_Assumptions'!$B$7,0),1)</f>
      </c>
      <c r="O280" s="91" t="str">
        <f>L280*I280</f>
      </c>
      <c r="P280" s="92" t="str">
        <f>M280*I280</f>
      </c>
      <c r="Q280" s="93" t="str">
        <f>P280*'Calculation_Assumptions'!$B$14*J280*K280</f>
      </c>
      <c r="R280" s="94" t="str">
        <f>O280*N280*J280*K280</f>
      </c>
      <c r="S280" s="95" t="str">
        <f>R280-Q280</f>
      </c>
      <c r="T280" s="96" t="str">
        <f>1/(1+'Calculation_Assumptions'!$B$8)^(B280-'Calculation_Assumptions'!$B$2)</f>
      </c>
      <c r="U280" s="97" t="str">
        <f>Q280*T280</f>
      </c>
      <c r="V280" s="98" t="str">
        <f>R280*T280</f>
      </c>
      <c r="W280" s="99" t="str">
        <f>S280*T280</f>
      </c>
      <c r="X280" t="n">
        <v>0</v>
      </c>
      <c r="Y280" s="100" t="n">
        <v>2017</v>
      </c>
      <c r="Z280" t="s">
        <v>389</v>
      </c>
      <c r="AA280" s="101" t="str">
        <f>IF(G280="shared-count-once",COUNTIFS($A$2:$A$807,A280,$B$2:$B$807,B280,$D$2:$D$807,D280),1)</f>
      </c>
    </row>
    <row r="281">
      <c r="A281" t="s">
        <v>244</v>
      </c>
      <c r="B281" s="79" t="n">
        <v>2044</v>
      </c>
      <c r="C281" t="s">
        <v>244</v>
      </c>
      <c r="D281" s="80" t="s">
        <v>405</v>
      </c>
      <c r="E281" s="81" t="s">
        <v>406</v>
      </c>
      <c r="F281" s="82" t="s">
        <v>248</v>
      </c>
      <c r="G281" s="83" t="s">
        <v>384</v>
      </c>
      <c r="H281" s="84" t="s">
        <v>386</v>
      </c>
      <c r="I281" s="85" t="n">
        <v>1</v>
      </c>
      <c r="J281" s="86" t="n">
        <v>1</v>
      </c>
      <c r="K281" s="87" t="n">
        <v>0.0087</v>
      </c>
      <c r="L281" s="88" t="n">
        <v>318618799.616954</v>
      </c>
      <c r="M281" s="89" t="n">
        <v>318697135.863652</v>
      </c>
      <c r="N281" s="90" t="str">
        <f>MIN(MAX((B281-'Calculation_Assumptions'!$B$5+1)/'Calculation_Assumptions'!$B$7,0),1)</f>
      </c>
      <c r="O281" s="91" t="str">
        <f>L281*I281</f>
      </c>
      <c r="P281" s="92" t="str">
        <f>M281*I281</f>
      </c>
      <c r="Q281" s="93" t="str">
        <f>P281*'Calculation_Assumptions'!$B$14*J281*K281</f>
      </c>
      <c r="R281" s="94" t="str">
        <f>O281*N281*J281*K281</f>
      </c>
      <c r="S281" s="95" t="str">
        <f>R281-Q281</f>
      </c>
      <c r="T281" s="96" t="str">
        <f>1/(1+'Calculation_Assumptions'!$B$8)^(B281-'Calculation_Assumptions'!$B$2)</f>
      </c>
      <c r="U281" s="97" t="str">
        <f>Q281*T281</f>
      </c>
      <c r="V281" s="98" t="str">
        <f>R281*T281</f>
      </c>
      <c r="W281" s="99" t="str">
        <f>S281*T281</f>
      </c>
      <c r="X281" t="n">
        <v>0</v>
      </c>
      <c r="Y281" s="100" t="n">
        <v>2017</v>
      </c>
      <c r="Z281" t="s">
        <v>389</v>
      </c>
      <c r="AA281" s="101" t="str">
        <f>IF(G281="shared-count-once",COUNTIFS($A$2:$A$807,A281,$B$2:$B$807,B281,$D$2:$D$807,D281),1)</f>
      </c>
    </row>
    <row r="282">
      <c r="A282" t="s">
        <v>244</v>
      </c>
      <c r="B282" s="79" t="n">
        <v>2045</v>
      </c>
      <c r="C282" t="s">
        <v>244</v>
      </c>
      <c r="D282" s="80" t="s">
        <v>405</v>
      </c>
      <c r="E282" s="81" t="s">
        <v>406</v>
      </c>
      <c r="F282" s="82" t="s">
        <v>248</v>
      </c>
      <c r="G282" s="83" t="s">
        <v>384</v>
      </c>
      <c r="H282" s="84" t="s">
        <v>386</v>
      </c>
      <c r="I282" s="85" t="n">
        <v>1</v>
      </c>
      <c r="J282" s="86" t="n">
        <v>1</v>
      </c>
      <c r="K282" s="87" t="n">
        <v>0.0087</v>
      </c>
      <c r="L282" s="88" t="n">
        <v>319641614.243805</v>
      </c>
      <c r="M282" s="89" t="n">
        <v>319717840.85179</v>
      </c>
      <c r="N282" s="90" t="str">
        <f>MIN(MAX((B282-'Calculation_Assumptions'!$B$5+1)/'Calculation_Assumptions'!$B$7,0),1)</f>
      </c>
      <c r="O282" s="91" t="str">
        <f>L282*I282</f>
      </c>
      <c r="P282" s="92" t="str">
        <f>M282*I282</f>
      </c>
      <c r="Q282" s="93" t="str">
        <f>P282*'Calculation_Assumptions'!$B$14*J282*K282</f>
      </c>
      <c r="R282" s="94" t="str">
        <f>O282*N282*J282*K282</f>
      </c>
      <c r="S282" s="95" t="str">
        <f>R282-Q282</f>
      </c>
      <c r="T282" s="96" t="str">
        <f>1/(1+'Calculation_Assumptions'!$B$8)^(B282-'Calculation_Assumptions'!$B$2)</f>
      </c>
      <c r="U282" s="97" t="str">
        <f>Q282*T282</f>
      </c>
      <c r="V282" s="98" t="str">
        <f>R282*T282</f>
      </c>
      <c r="W282" s="99" t="str">
        <f>S282*T282</f>
      </c>
      <c r="X282" t="n">
        <v>0</v>
      </c>
      <c r="Y282" s="100" t="n">
        <v>2017</v>
      </c>
      <c r="Z282" t="s">
        <v>389</v>
      </c>
      <c r="AA282" s="101" t="str">
        <f>IF(G282="shared-count-once",COUNTIFS($A$2:$A$807,A282,$B$2:$B$807,B282,$D$2:$D$807,D282),1)</f>
      </c>
    </row>
    <row r="283">
      <c r="A283" t="s">
        <v>244</v>
      </c>
      <c r="B283" s="79" t="n">
        <v>2046</v>
      </c>
      <c r="C283" t="s">
        <v>244</v>
      </c>
      <c r="D283" s="80" t="s">
        <v>405</v>
      </c>
      <c r="E283" s="81" t="s">
        <v>406</v>
      </c>
      <c r="F283" s="82" t="s">
        <v>248</v>
      </c>
      <c r="G283" s="83" t="s">
        <v>384</v>
      </c>
      <c r="H283" s="84" t="s">
        <v>386</v>
      </c>
      <c r="I283" s="85" t="n">
        <v>1</v>
      </c>
      <c r="J283" s="86" t="n">
        <v>1</v>
      </c>
      <c r="K283" s="87" t="n">
        <v>0.0087</v>
      </c>
      <c r="L283" s="88" t="n">
        <v>320607836.244838</v>
      </c>
      <c r="M283" s="89" t="n">
        <v>320683879.806276</v>
      </c>
      <c r="N283" s="90" t="str">
        <f>MIN(MAX((B283-'Calculation_Assumptions'!$B$5+1)/'Calculation_Assumptions'!$B$7,0),1)</f>
      </c>
      <c r="O283" s="91" t="str">
        <f>L283*I283</f>
      </c>
      <c r="P283" s="92" t="str">
        <f>M283*I283</f>
      </c>
      <c r="Q283" s="93" t="str">
        <f>P283*'Calculation_Assumptions'!$B$14*J283*K283</f>
      </c>
      <c r="R283" s="94" t="str">
        <f>O283*N283*J283*K283</f>
      </c>
      <c r="S283" s="95" t="str">
        <f>R283-Q283</f>
      </c>
      <c r="T283" s="96" t="str">
        <f>1/(1+'Calculation_Assumptions'!$B$8)^(B283-'Calculation_Assumptions'!$B$2)</f>
      </c>
      <c r="U283" s="97" t="str">
        <f>Q283*T283</f>
      </c>
      <c r="V283" s="98" t="str">
        <f>R283*T283</f>
      </c>
      <c r="W283" s="99" t="str">
        <f>S283*T283</f>
      </c>
      <c r="X283" t="n">
        <v>0</v>
      </c>
      <c r="Y283" s="100" t="n">
        <v>2017</v>
      </c>
      <c r="Z283" t="s">
        <v>389</v>
      </c>
      <c r="AA283" s="101" t="str">
        <f>IF(G283="shared-count-once",COUNTIFS($A$2:$A$807,A283,$B$2:$B$807,B283,$D$2:$D$807,D283),1)</f>
      </c>
    </row>
    <row r="284">
      <c r="A284" t="s">
        <v>244</v>
      </c>
      <c r="B284" s="79" t="n">
        <v>2047</v>
      </c>
      <c r="C284" t="s">
        <v>244</v>
      </c>
      <c r="D284" s="80" t="s">
        <v>405</v>
      </c>
      <c r="E284" s="81" t="s">
        <v>406</v>
      </c>
      <c r="F284" s="82" t="s">
        <v>248</v>
      </c>
      <c r="G284" s="83" t="s">
        <v>384</v>
      </c>
      <c r="H284" s="84" t="s">
        <v>386</v>
      </c>
      <c r="I284" s="85" t="n">
        <v>1</v>
      </c>
      <c r="J284" s="86" t="n">
        <v>1</v>
      </c>
      <c r="K284" s="87" t="n">
        <v>0.0087</v>
      </c>
      <c r="L284" s="88" t="n">
        <v>321518444.667873</v>
      </c>
      <c r="M284" s="89" t="n">
        <v>321595541.389526</v>
      </c>
      <c r="N284" s="90" t="str">
        <f>MIN(MAX((B284-'Calculation_Assumptions'!$B$5+1)/'Calculation_Assumptions'!$B$7,0),1)</f>
      </c>
      <c r="O284" s="91" t="str">
        <f>L284*I284</f>
      </c>
      <c r="P284" s="92" t="str">
        <f>M284*I284</f>
      </c>
      <c r="Q284" s="93" t="str">
        <f>P284*'Calculation_Assumptions'!$B$14*J284*K284</f>
      </c>
      <c r="R284" s="94" t="str">
        <f>O284*N284*J284*K284</f>
      </c>
      <c r="S284" s="95" t="str">
        <f>R284-Q284</f>
      </c>
      <c r="T284" s="96" t="str">
        <f>1/(1+'Calculation_Assumptions'!$B$8)^(B284-'Calculation_Assumptions'!$B$2)</f>
      </c>
      <c r="U284" s="97" t="str">
        <f>Q284*T284</f>
      </c>
      <c r="V284" s="98" t="str">
        <f>R284*T284</f>
      </c>
      <c r="W284" s="99" t="str">
        <f>S284*T284</f>
      </c>
      <c r="X284" t="n">
        <v>0</v>
      </c>
      <c r="Y284" s="100" t="n">
        <v>2017</v>
      </c>
      <c r="Z284" t="s">
        <v>389</v>
      </c>
      <c r="AA284" s="101" t="str">
        <f>IF(G284="shared-count-once",COUNTIFS($A$2:$A$807,A284,$B$2:$B$807,B284,$D$2:$D$807,D284),1)</f>
      </c>
    </row>
    <row r="285">
      <c r="A285" t="s">
        <v>244</v>
      </c>
      <c r="B285" s="79" t="n">
        <v>2048</v>
      </c>
      <c r="C285" t="s">
        <v>244</v>
      </c>
      <c r="D285" s="80" t="s">
        <v>405</v>
      </c>
      <c r="E285" s="81" t="s">
        <v>406</v>
      </c>
      <c r="F285" s="82" t="s">
        <v>248</v>
      </c>
      <c r="G285" s="83" t="s">
        <v>384</v>
      </c>
      <c r="H285" s="84" t="s">
        <v>386</v>
      </c>
      <c r="I285" s="85" t="n">
        <v>1</v>
      </c>
      <c r="J285" s="86" t="n">
        <v>1</v>
      </c>
      <c r="K285" s="87" t="n">
        <v>0.0087</v>
      </c>
      <c r="L285" s="88" t="n">
        <v>322374495.51702</v>
      </c>
      <c r="M285" s="89" t="n">
        <v>322453622.669464</v>
      </c>
      <c r="N285" s="90" t="str">
        <f>MIN(MAX((B285-'Calculation_Assumptions'!$B$5+1)/'Calculation_Assumptions'!$B$7,0),1)</f>
      </c>
      <c r="O285" s="91" t="str">
        <f>L285*I285</f>
      </c>
      <c r="P285" s="92" t="str">
        <f>M285*I285</f>
      </c>
      <c r="Q285" s="93" t="str">
        <f>P285*'Calculation_Assumptions'!$B$14*J285*K285</f>
      </c>
      <c r="R285" s="94" t="str">
        <f>O285*N285*J285*K285</f>
      </c>
      <c r="S285" s="95" t="str">
        <f>R285-Q285</f>
      </c>
      <c r="T285" s="96" t="str">
        <f>1/(1+'Calculation_Assumptions'!$B$8)^(B285-'Calculation_Assumptions'!$B$2)</f>
      </c>
      <c r="U285" s="97" t="str">
        <f>Q285*T285</f>
      </c>
      <c r="V285" s="98" t="str">
        <f>R285*T285</f>
      </c>
      <c r="W285" s="99" t="str">
        <f>S285*T285</f>
      </c>
      <c r="X285" t="n">
        <v>0</v>
      </c>
      <c r="Y285" s="100" t="n">
        <v>2017</v>
      </c>
      <c r="Z285" t="s">
        <v>389</v>
      </c>
      <c r="AA285" s="101" t="str">
        <f>IF(G285="shared-count-once",COUNTIFS($A$2:$A$807,A285,$B$2:$B$807,B285,$D$2:$D$807,D285),1)</f>
      </c>
    </row>
    <row r="286">
      <c r="A286" t="s">
        <v>244</v>
      </c>
      <c r="B286" s="79" t="n">
        <v>2049</v>
      </c>
      <c r="C286" t="s">
        <v>244</v>
      </c>
      <c r="D286" s="80" t="s">
        <v>405</v>
      </c>
      <c r="E286" s="81" t="s">
        <v>406</v>
      </c>
      <c r="F286" s="82" t="s">
        <v>248</v>
      </c>
      <c r="G286" s="83" t="s">
        <v>384</v>
      </c>
      <c r="H286" s="84" t="s">
        <v>386</v>
      </c>
      <c r="I286" s="85" t="n">
        <v>1</v>
      </c>
      <c r="J286" s="86" t="n">
        <v>1</v>
      </c>
      <c r="K286" s="87" t="n">
        <v>0.0087</v>
      </c>
      <c r="L286" s="88" t="n">
        <v>323177205.699292</v>
      </c>
      <c r="M286" s="89" t="n">
        <v>323259246.716719</v>
      </c>
      <c r="N286" s="90" t="str">
        <f>MIN(MAX((B286-'Calculation_Assumptions'!$B$5+1)/'Calculation_Assumptions'!$B$7,0),1)</f>
      </c>
      <c r="O286" s="91" t="str">
        <f>L286*I286</f>
      </c>
      <c r="P286" s="92" t="str">
        <f>M286*I286</f>
      </c>
      <c r="Q286" s="93" t="str">
        <f>P286*'Calculation_Assumptions'!$B$14*J286*K286</f>
      </c>
      <c r="R286" s="94" t="str">
        <f>O286*N286*J286*K286</f>
      </c>
      <c r="S286" s="95" t="str">
        <f>R286-Q286</f>
      </c>
      <c r="T286" s="96" t="str">
        <f>1/(1+'Calculation_Assumptions'!$B$8)^(B286-'Calculation_Assumptions'!$B$2)</f>
      </c>
      <c r="U286" s="97" t="str">
        <f>Q286*T286</f>
      </c>
      <c r="V286" s="98" t="str">
        <f>R286*T286</f>
      </c>
      <c r="W286" s="99" t="str">
        <f>S286*T286</f>
      </c>
      <c r="X286" t="n">
        <v>0</v>
      </c>
      <c r="Y286" s="100" t="n">
        <v>2017</v>
      </c>
      <c r="Z286" t="s">
        <v>389</v>
      </c>
      <c r="AA286" s="101" t="str">
        <f>IF(G286="shared-count-once",COUNTIFS($A$2:$A$807,A286,$B$2:$B$807,B286,$D$2:$D$807,D286),1)</f>
      </c>
    </row>
    <row r="287">
      <c r="A287" t="s">
        <v>244</v>
      </c>
      <c r="B287" s="79" t="n">
        <v>2050</v>
      </c>
      <c r="C287" t="s">
        <v>244</v>
      </c>
      <c r="D287" s="80" t="s">
        <v>405</v>
      </c>
      <c r="E287" s="81" t="s">
        <v>406</v>
      </c>
      <c r="F287" s="82" t="s">
        <v>248</v>
      </c>
      <c r="G287" s="83" t="s">
        <v>384</v>
      </c>
      <c r="H287" s="84" t="s">
        <v>386</v>
      </c>
      <c r="I287" s="85" t="n">
        <v>1</v>
      </c>
      <c r="J287" s="86" t="n">
        <v>1</v>
      </c>
      <c r="K287" s="87" t="n">
        <v>0.0087</v>
      </c>
      <c r="L287" s="88" t="n">
        <v>323927997.830927</v>
      </c>
      <c r="M287" s="89" t="n">
        <v>324013738.182479</v>
      </c>
      <c r="N287" s="90" t="str">
        <f>MIN(MAX((B287-'Calculation_Assumptions'!$B$5+1)/'Calculation_Assumptions'!$B$7,0),1)</f>
      </c>
      <c r="O287" s="91" t="str">
        <f>L287*I287</f>
      </c>
      <c r="P287" s="92" t="str">
        <f>M287*I287</f>
      </c>
      <c r="Q287" s="93" t="str">
        <f>P287*'Calculation_Assumptions'!$B$14*J287*K287</f>
      </c>
      <c r="R287" s="94" t="str">
        <f>O287*N287*J287*K287</f>
      </c>
      <c r="S287" s="95" t="str">
        <f>R287-Q287</f>
      </c>
      <c r="T287" s="96" t="str">
        <f>1/(1+'Calculation_Assumptions'!$B$8)^(B287-'Calculation_Assumptions'!$B$2)</f>
      </c>
      <c r="U287" s="97" t="str">
        <f>Q287*T287</f>
      </c>
      <c r="V287" s="98" t="str">
        <f>R287*T287</f>
      </c>
      <c r="W287" s="99" t="str">
        <f>S287*T287</f>
      </c>
      <c r="X287" t="n">
        <v>0</v>
      </c>
      <c r="Y287" s="100" t="n">
        <v>2017</v>
      </c>
      <c r="Z287" t="s">
        <v>389</v>
      </c>
      <c r="AA287" s="101" t="str">
        <f>IF(G287="shared-count-once",COUNTIFS($A$2:$A$807,A287,$B$2:$B$807,B287,$D$2:$D$807,D287),1)</f>
      </c>
    </row>
    <row r="288">
      <c r="A288" t="s">
        <v>233</v>
      </c>
      <c r="B288" s="79" t="n">
        <v>2025</v>
      </c>
      <c r="C288" t="s">
        <v>233</v>
      </c>
      <c r="D288" s="80" t="s">
        <v>403</v>
      </c>
      <c r="E288" s="81" t="s">
        <v>404</v>
      </c>
      <c r="F288" s="82" t="s">
        <v>239</v>
      </c>
      <c r="G288" s="83" t="s">
        <v>384</v>
      </c>
      <c r="H288" s="84" t="s">
        <v>386</v>
      </c>
      <c r="I288" s="85" t="n">
        <v>1</v>
      </c>
      <c r="J288" s="86" t="n">
        <v>1</v>
      </c>
      <c r="K288" s="87" t="n">
        <v>0.004</v>
      </c>
      <c r="L288" s="88" t="n">
        <v>288000821.106462</v>
      </c>
      <c r="M288" s="89" t="n">
        <v>288000821.106462</v>
      </c>
      <c r="N288" s="90" t="str">
        <f>MIN(MAX((B288-'Calculation_Assumptions'!$B$5+1)/'Calculation_Assumptions'!$B$7,0),1)</f>
      </c>
      <c r="O288" s="91" t="str">
        <f>L288*I288</f>
      </c>
      <c r="P288" s="92" t="str">
        <f>M288*I288</f>
      </c>
      <c r="Q288" s="93" t="str">
        <f>P288*'Calculation_Assumptions'!$B$14*J288*K288</f>
      </c>
      <c r="R288" s="94" t="str">
        <f>O288*N288*J288*K288</f>
      </c>
      <c r="S288" s="95" t="str">
        <f>R288-Q288</f>
      </c>
      <c r="T288" s="96" t="str">
        <f>1/(1+'Calculation_Assumptions'!$B$8)^(B288-'Calculation_Assumptions'!$B$2)</f>
      </c>
      <c r="U288" s="97" t="str">
        <f>Q288*T288</f>
      </c>
      <c r="V288" s="98" t="str">
        <f>R288*T288</f>
      </c>
      <c r="W288" s="99" t="str">
        <f>S288*T288</f>
      </c>
      <c r="X288" t="n">
        <v>0</v>
      </c>
      <c r="Y288" s="100" t="n">
        <v>2017</v>
      </c>
      <c r="Z288" t="s">
        <v>389</v>
      </c>
      <c r="AA288" s="101" t="str">
        <f>IF(G288="shared-count-once",COUNTIFS($A$2:$A$807,A288,$B$2:$B$807,B288,$D$2:$D$807,D288),1)</f>
      </c>
    </row>
    <row r="289">
      <c r="A289" t="s">
        <v>233</v>
      </c>
      <c r="B289" s="79" t="n">
        <v>2026</v>
      </c>
      <c r="C289" t="s">
        <v>233</v>
      </c>
      <c r="D289" s="80" t="s">
        <v>403</v>
      </c>
      <c r="E289" s="81" t="s">
        <v>404</v>
      </c>
      <c r="F289" s="82" t="s">
        <v>239</v>
      </c>
      <c r="G289" s="83" t="s">
        <v>384</v>
      </c>
      <c r="H289" s="84" t="s">
        <v>386</v>
      </c>
      <c r="I289" s="85" t="n">
        <v>1</v>
      </c>
      <c r="J289" s="86" t="n">
        <v>1</v>
      </c>
      <c r="K289" s="87" t="n">
        <v>0.004</v>
      </c>
      <c r="L289" s="88" t="n">
        <v>290123496.103219</v>
      </c>
      <c r="M289" s="89" t="n">
        <v>290123496.103219</v>
      </c>
      <c r="N289" s="90" t="str">
        <f>MIN(MAX((B289-'Calculation_Assumptions'!$B$5+1)/'Calculation_Assumptions'!$B$7,0),1)</f>
      </c>
      <c r="O289" s="91" t="str">
        <f>L289*I289</f>
      </c>
      <c r="P289" s="92" t="str">
        <f>M289*I289</f>
      </c>
      <c r="Q289" s="93" t="str">
        <f>P289*'Calculation_Assumptions'!$B$14*J289*K289</f>
      </c>
      <c r="R289" s="94" t="str">
        <f>O289*N289*J289*K289</f>
      </c>
      <c r="S289" s="95" t="str">
        <f>R289-Q289</f>
      </c>
      <c r="T289" s="96" t="str">
        <f>1/(1+'Calculation_Assumptions'!$B$8)^(B289-'Calculation_Assumptions'!$B$2)</f>
      </c>
      <c r="U289" s="97" t="str">
        <f>Q289*T289</f>
      </c>
      <c r="V289" s="98" t="str">
        <f>R289*T289</f>
      </c>
      <c r="W289" s="99" t="str">
        <f>S289*T289</f>
      </c>
      <c r="X289" t="n">
        <v>0</v>
      </c>
      <c r="Y289" s="100" t="n">
        <v>2017</v>
      </c>
      <c r="Z289" t="s">
        <v>389</v>
      </c>
      <c r="AA289" s="101" t="str">
        <f>IF(G289="shared-count-once",COUNTIFS($A$2:$A$807,A289,$B$2:$B$807,B289,$D$2:$D$807,D289),1)</f>
      </c>
    </row>
    <row r="290">
      <c r="A290" t="s">
        <v>233</v>
      </c>
      <c r="B290" s="79" t="n">
        <v>2027</v>
      </c>
      <c r="C290" t="s">
        <v>233</v>
      </c>
      <c r="D290" s="80" t="s">
        <v>403</v>
      </c>
      <c r="E290" s="81" t="s">
        <v>404</v>
      </c>
      <c r="F290" s="82" t="s">
        <v>239</v>
      </c>
      <c r="G290" s="83" t="s">
        <v>384</v>
      </c>
      <c r="H290" s="84" t="s">
        <v>386</v>
      </c>
      <c r="I290" s="85" t="n">
        <v>1</v>
      </c>
      <c r="J290" s="86" t="n">
        <v>1</v>
      </c>
      <c r="K290" s="87" t="n">
        <v>0.004</v>
      </c>
      <c r="L290" s="88" t="n">
        <v>292252895.096956</v>
      </c>
      <c r="M290" s="89" t="n">
        <v>292252895.096956</v>
      </c>
      <c r="N290" s="90" t="str">
        <f>MIN(MAX((B290-'Calculation_Assumptions'!$B$5+1)/'Calculation_Assumptions'!$B$7,0),1)</f>
      </c>
      <c r="O290" s="91" t="str">
        <f>L290*I290</f>
      </c>
      <c r="P290" s="92" t="str">
        <f>M290*I290</f>
      </c>
      <c r="Q290" s="93" t="str">
        <f>P290*'Calculation_Assumptions'!$B$14*J290*K290</f>
      </c>
      <c r="R290" s="94" t="str">
        <f>O290*N290*J290*K290</f>
      </c>
      <c r="S290" s="95" t="str">
        <f>R290-Q290</f>
      </c>
      <c r="T290" s="96" t="str">
        <f>1/(1+'Calculation_Assumptions'!$B$8)^(B290-'Calculation_Assumptions'!$B$2)</f>
      </c>
      <c r="U290" s="97" t="str">
        <f>Q290*T290</f>
      </c>
      <c r="V290" s="98" t="str">
        <f>R290*T290</f>
      </c>
      <c r="W290" s="99" t="str">
        <f>S290*T290</f>
      </c>
      <c r="X290" t="n">
        <v>0</v>
      </c>
      <c r="Y290" s="100" t="n">
        <v>2017</v>
      </c>
      <c r="Z290" t="s">
        <v>389</v>
      </c>
      <c r="AA290" s="101" t="str">
        <f>IF(G290="shared-count-once",COUNTIFS($A$2:$A$807,A290,$B$2:$B$807,B290,$D$2:$D$807,D290),1)</f>
      </c>
    </row>
    <row r="291">
      <c r="A291" t="s">
        <v>233</v>
      </c>
      <c r="B291" s="79" t="n">
        <v>2028</v>
      </c>
      <c r="C291" t="s">
        <v>233</v>
      </c>
      <c r="D291" s="80" t="s">
        <v>403</v>
      </c>
      <c r="E291" s="81" t="s">
        <v>404</v>
      </c>
      <c r="F291" s="82" t="s">
        <v>239</v>
      </c>
      <c r="G291" s="83" t="s">
        <v>384</v>
      </c>
      <c r="H291" s="84" t="s">
        <v>386</v>
      </c>
      <c r="I291" s="85" t="n">
        <v>1</v>
      </c>
      <c r="J291" s="86" t="n">
        <v>1</v>
      </c>
      <c r="K291" s="87" t="n">
        <v>0.004</v>
      </c>
      <c r="L291" s="88" t="n">
        <v>294034442.232159</v>
      </c>
      <c r="M291" s="89" t="n">
        <v>294314895.305465</v>
      </c>
      <c r="N291" s="90" t="str">
        <f>MIN(MAX((B291-'Calculation_Assumptions'!$B$5+1)/'Calculation_Assumptions'!$B$7,0),1)</f>
      </c>
      <c r="O291" s="91" t="str">
        <f>L291*I291</f>
      </c>
      <c r="P291" s="92" t="str">
        <f>M291*I291</f>
      </c>
      <c r="Q291" s="93" t="str">
        <f>P291*'Calculation_Assumptions'!$B$14*J291*K291</f>
      </c>
      <c r="R291" s="94" t="str">
        <f>O291*N291*J291*K291</f>
      </c>
      <c r="S291" s="95" t="str">
        <f>R291-Q291</f>
      </c>
      <c r="T291" s="96" t="str">
        <f>1/(1+'Calculation_Assumptions'!$B$8)^(B291-'Calculation_Assumptions'!$B$2)</f>
      </c>
      <c r="U291" s="97" t="str">
        <f>Q291*T291</f>
      </c>
      <c r="V291" s="98" t="str">
        <f>R291*T291</f>
      </c>
      <c r="W291" s="99" t="str">
        <f>S291*T291</f>
      </c>
      <c r="X291" t="n">
        <v>0</v>
      </c>
      <c r="Y291" s="100" t="n">
        <v>2017</v>
      </c>
      <c r="Z291" t="s">
        <v>389</v>
      </c>
      <c r="AA291" s="101" t="str">
        <f>IF(G291="shared-count-once",COUNTIFS($A$2:$A$807,A291,$B$2:$B$807,B291,$D$2:$D$807,D291),1)</f>
      </c>
    </row>
    <row r="292">
      <c r="A292" t="s">
        <v>233</v>
      </c>
      <c r="B292" s="79" t="n">
        <v>2029</v>
      </c>
      <c r="C292" t="s">
        <v>233</v>
      </c>
      <c r="D292" s="80" t="s">
        <v>403</v>
      </c>
      <c r="E292" s="81" t="s">
        <v>404</v>
      </c>
      <c r="F292" s="82" t="s">
        <v>239</v>
      </c>
      <c r="G292" s="83" t="s">
        <v>384</v>
      </c>
      <c r="H292" s="84" t="s">
        <v>386</v>
      </c>
      <c r="I292" s="85" t="n">
        <v>1</v>
      </c>
      <c r="J292" s="86" t="n">
        <v>1</v>
      </c>
      <c r="K292" s="87" t="n">
        <v>0.004</v>
      </c>
      <c r="L292" s="88" t="n">
        <v>296079110.626885</v>
      </c>
      <c r="M292" s="89" t="n">
        <v>296341062.542853</v>
      </c>
      <c r="N292" s="90" t="str">
        <f>MIN(MAX((B292-'Calculation_Assumptions'!$B$5+1)/'Calculation_Assumptions'!$B$7,0),1)</f>
      </c>
      <c r="O292" s="91" t="str">
        <f>L292*I292</f>
      </c>
      <c r="P292" s="92" t="str">
        <f>M292*I292</f>
      </c>
      <c r="Q292" s="93" t="str">
        <f>P292*'Calculation_Assumptions'!$B$14*J292*K292</f>
      </c>
      <c r="R292" s="94" t="str">
        <f>O292*N292*J292*K292</f>
      </c>
      <c r="S292" s="95" t="str">
        <f>R292-Q292</f>
      </c>
      <c r="T292" s="96" t="str">
        <f>1/(1+'Calculation_Assumptions'!$B$8)^(B292-'Calculation_Assumptions'!$B$2)</f>
      </c>
      <c r="U292" s="97" t="str">
        <f>Q292*T292</f>
      </c>
      <c r="V292" s="98" t="str">
        <f>R292*T292</f>
      </c>
      <c r="W292" s="99" t="str">
        <f>S292*T292</f>
      </c>
      <c r="X292" t="n">
        <v>0</v>
      </c>
      <c r="Y292" s="100" t="n">
        <v>2017</v>
      </c>
      <c r="Z292" t="s">
        <v>389</v>
      </c>
      <c r="AA292" s="101" t="str">
        <f>IF(G292="shared-count-once",COUNTIFS($A$2:$A$807,A292,$B$2:$B$807,B292,$D$2:$D$807,D292),1)</f>
      </c>
    </row>
    <row r="293">
      <c r="A293" t="s">
        <v>233</v>
      </c>
      <c r="B293" s="79" t="n">
        <v>2030</v>
      </c>
      <c r="C293" t="s">
        <v>233</v>
      </c>
      <c r="D293" s="80" t="s">
        <v>403</v>
      </c>
      <c r="E293" s="81" t="s">
        <v>404</v>
      </c>
      <c r="F293" s="82" t="s">
        <v>239</v>
      </c>
      <c r="G293" s="83" t="s">
        <v>384</v>
      </c>
      <c r="H293" s="84" t="s">
        <v>386</v>
      </c>
      <c r="I293" s="85" t="n">
        <v>1</v>
      </c>
      <c r="J293" s="86" t="n">
        <v>1</v>
      </c>
      <c r="K293" s="87" t="n">
        <v>0.004</v>
      </c>
      <c r="L293" s="88" t="n">
        <v>297979737.024064</v>
      </c>
      <c r="M293" s="89" t="n">
        <v>298280286.057263</v>
      </c>
      <c r="N293" s="90" t="str">
        <f>MIN(MAX((B293-'Calculation_Assumptions'!$B$5+1)/'Calculation_Assumptions'!$B$7,0),1)</f>
      </c>
      <c r="O293" s="91" t="str">
        <f>L293*I293</f>
      </c>
      <c r="P293" s="92" t="str">
        <f>M293*I293</f>
      </c>
      <c r="Q293" s="93" t="str">
        <f>P293*'Calculation_Assumptions'!$B$14*J293*K293</f>
      </c>
      <c r="R293" s="94" t="str">
        <f>O293*N293*J293*K293</f>
      </c>
      <c r="S293" s="95" t="str">
        <f>R293-Q293</f>
      </c>
      <c r="T293" s="96" t="str">
        <f>1/(1+'Calculation_Assumptions'!$B$8)^(B293-'Calculation_Assumptions'!$B$2)</f>
      </c>
      <c r="U293" s="97" t="str">
        <f>Q293*T293</f>
      </c>
      <c r="V293" s="98" t="str">
        <f>R293*T293</f>
      </c>
      <c r="W293" s="99" t="str">
        <f>S293*T293</f>
      </c>
      <c r="X293" t="n">
        <v>0</v>
      </c>
      <c r="Y293" s="100" t="n">
        <v>2017</v>
      </c>
      <c r="Z293" t="s">
        <v>389</v>
      </c>
      <c r="AA293" s="101" t="str">
        <f>IF(G293="shared-count-once",COUNTIFS($A$2:$A$807,A293,$B$2:$B$807,B293,$D$2:$D$807,D293),1)</f>
      </c>
    </row>
    <row r="294">
      <c r="A294" t="s">
        <v>233</v>
      </c>
      <c r="B294" s="79" t="n">
        <v>2031</v>
      </c>
      <c r="C294" t="s">
        <v>233</v>
      </c>
      <c r="D294" s="80" t="s">
        <v>403</v>
      </c>
      <c r="E294" s="81" t="s">
        <v>404</v>
      </c>
      <c r="F294" s="82" t="s">
        <v>239</v>
      </c>
      <c r="G294" s="83" t="s">
        <v>384</v>
      </c>
      <c r="H294" s="84" t="s">
        <v>386</v>
      </c>
      <c r="I294" s="85" t="n">
        <v>1</v>
      </c>
      <c r="J294" s="86" t="n">
        <v>1</v>
      </c>
      <c r="K294" s="87" t="n">
        <v>0.004</v>
      </c>
      <c r="L294" s="88" t="n">
        <v>299863820.434849</v>
      </c>
      <c r="M294" s="89" t="n">
        <v>300152603.254782</v>
      </c>
      <c r="N294" s="90" t="str">
        <f>MIN(MAX((B294-'Calculation_Assumptions'!$B$5+1)/'Calculation_Assumptions'!$B$7,0),1)</f>
      </c>
      <c r="O294" s="91" t="str">
        <f>L294*I294</f>
      </c>
      <c r="P294" s="92" t="str">
        <f>M294*I294</f>
      </c>
      <c r="Q294" s="93" t="str">
        <f>P294*'Calculation_Assumptions'!$B$14*J294*K294</f>
      </c>
      <c r="R294" s="94" t="str">
        <f>O294*N294*J294*K294</f>
      </c>
      <c r="S294" s="95" t="str">
        <f>R294-Q294</f>
      </c>
      <c r="T294" s="96" t="str">
        <f>1/(1+'Calculation_Assumptions'!$B$8)^(B294-'Calculation_Assumptions'!$B$2)</f>
      </c>
      <c r="U294" s="97" t="str">
        <f>Q294*T294</f>
      </c>
      <c r="V294" s="98" t="str">
        <f>R294*T294</f>
      </c>
      <c r="W294" s="99" t="str">
        <f>S294*T294</f>
      </c>
      <c r="X294" t="n">
        <v>0</v>
      </c>
      <c r="Y294" s="100" t="n">
        <v>2017</v>
      </c>
      <c r="Z294" t="s">
        <v>389</v>
      </c>
      <c r="AA294" s="101" t="str">
        <f>IF(G294="shared-count-once",COUNTIFS($A$2:$A$807,A294,$B$2:$B$807,B294,$D$2:$D$807,D294),1)</f>
      </c>
    </row>
    <row r="295">
      <c r="A295" t="s">
        <v>233</v>
      </c>
      <c r="B295" s="79" t="n">
        <v>2032</v>
      </c>
      <c r="C295" t="s">
        <v>233</v>
      </c>
      <c r="D295" s="80" t="s">
        <v>403</v>
      </c>
      <c r="E295" s="81" t="s">
        <v>404</v>
      </c>
      <c r="F295" s="82" t="s">
        <v>239</v>
      </c>
      <c r="G295" s="83" t="s">
        <v>384</v>
      </c>
      <c r="H295" s="84" t="s">
        <v>386</v>
      </c>
      <c r="I295" s="85" t="n">
        <v>1</v>
      </c>
      <c r="J295" s="86" t="n">
        <v>1</v>
      </c>
      <c r="K295" s="87" t="n">
        <v>0.004</v>
      </c>
      <c r="L295" s="88" t="n">
        <v>301681727.871736</v>
      </c>
      <c r="M295" s="89" t="n">
        <v>301959399.633888</v>
      </c>
      <c r="N295" s="90" t="str">
        <f>MIN(MAX((B295-'Calculation_Assumptions'!$B$5+1)/'Calculation_Assumptions'!$B$7,0),1)</f>
      </c>
      <c r="O295" s="91" t="str">
        <f>L295*I295</f>
      </c>
      <c r="P295" s="92" t="str">
        <f>M295*I295</f>
      </c>
      <c r="Q295" s="93" t="str">
        <f>P295*'Calculation_Assumptions'!$B$14*J295*K295</f>
      </c>
      <c r="R295" s="94" t="str">
        <f>O295*N295*J295*K295</f>
      </c>
      <c r="S295" s="95" t="str">
        <f>R295-Q295</f>
      </c>
      <c r="T295" s="96" t="str">
        <f>1/(1+'Calculation_Assumptions'!$B$8)^(B295-'Calculation_Assumptions'!$B$2)</f>
      </c>
      <c r="U295" s="97" t="str">
        <f>Q295*T295</f>
      </c>
      <c r="V295" s="98" t="str">
        <f>R295*T295</f>
      </c>
      <c r="W295" s="99" t="str">
        <f>S295*T295</f>
      </c>
      <c r="X295" t="n">
        <v>0</v>
      </c>
      <c r="Y295" s="100" t="n">
        <v>2017</v>
      </c>
      <c r="Z295" t="s">
        <v>389</v>
      </c>
      <c r="AA295" s="101" t="str">
        <f>IF(G295="shared-count-once",COUNTIFS($A$2:$A$807,A295,$B$2:$B$807,B295,$D$2:$D$807,D295),1)</f>
      </c>
    </row>
    <row r="296">
      <c r="A296" t="s">
        <v>233</v>
      </c>
      <c r="B296" s="79" t="n">
        <v>2033</v>
      </c>
      <c r="C296" t="s">
        <v>233</v>
      </c>
      <c r="D296" s="80" t="s">
        <v>403</v>
      </c>
      <c r="E296" s="81" t="s">
        <v>404</v>
      </c>
      <c r="F296" s="82" t="s">
        <v>239</v>
      </c>
      <c r="G296" s="83" t="s">
        <v>384</v>
      </c>
      <c r="H296" s="84" t="s">
        <v>386</v>
      </c>
      <c r="I296" s="85" t="n">
        <v>1</v>
      </c>
      <c r="J296" s="86" t="n">
        <v>1</v>
      </c>
      <c r="K296" s="87" t="n">
        <v>0.004</v>
      </c>
      <c r="L296" s="88" t="n">
        <v>303433917.031672</v>
      </c>
      <c r="M296" s="89" t="n">
        <v>303701035.202051</v>
      </c>
      <c r="N296" s="90" t="str">
        <f>MIN(MAX((B296-'Calculation_Assumptions'!$B$5+1)/'Calculation_Assumptions'!$B$7,0),1)</f>
      </c>
      <c r="O296" s="91" t="str">
        <f>L296*I296</f>
      </c>
      <c r="P296" s="92" t="str">
        <f>M296*I296</f>
      </c>
      <c r="Q296" s="93" t="str">
        <f>P296*'Calculation_Assumptions'!$B$14*J296*K296</f>
      </c>
      <c r="R296" s="94" t="str">
        <f>O296*N296*J296*K296</f>
      </c>
      <c r="S296" s="95" t="str">
        <f>R296-Q296</f>
      </c>
      <c r="T296" s="96" t="str">
        <f>1/(1+'Calculation_Assumptions'!$B$8)^(B296-'Calculation_Assumptions'!$B$2)</f>
      </c>
      <c r="U296" s="97" t="str">
        <f>Q296*T296</f>
      </c>
      <c r="V296" s="98" t="str">
        <f>R296*T296</f>
      </c>
      <c r="W296" s="99" t="str">
        <f>S296*T296</f>
      </c>
      <c r="X296" t="n">
        <v>0</v>
      </c>
      <c r="Y296" s="100" t="n">
        <v>2017</v>
      </c>
      <c r="Z296" t="s">
        <v>389</v>
      </c>
      <c r="AA296" s="101" t="str">
        <f>IF(G296="shared-count-once",COUNTIFS($A$2:$A$807,A296,$B$2:$B$807,B296,$D$2:$D$807,D296),1)</f>
      </c>
    </row>
    <row r="297">
      <c r="A297" t="s">
        <v>233</v>
      </c>
      <c r="B297" s="79" t="n">
        <v>2034</v>
      </c>
      <c r="C297" t="s">
        <v>233</v>
      </c>
      <c r="D297" s="80" t="s">
        <v>403</v>
      </c>
      <c r="E297" s="81" t="s">
        <v>404</v>
      </c>
      <c r="F297" s="82" t="s">
        <v>239</v>
      </c>
      <c r="G297" s="83" t="s">
        <v>384</v>
      </c>
      <c r="H297" s="84" t="s">
        <v>386</v>
      </c>
      <c r="I297" s="85" t="n">
        <v>1</v>
      </c>
      <c r="J297" s="86" t="n">
        <v>1</v>
      </c>
      <c r="K297" s="87" t="n">
        <v>0.004</v>
      </c>
      <c r="L297" s="88" t="n">
        <v>305120983.318362</v>
      </c>
      <c r="M297" s="89" t="n">
        <v>305377998.093319</v>
      </c>
      <c r="N297" s="90" t="str">
        <f>MIN(MAX((B297-'Calculation_Assumptions'!$B$5+1)/'Calculation_Assumptions'!$B$7,0),1)</f>
      </c>
      <c r="O297" s="91" t="str">
        <f>L297*I297</f>
      </c>
      <c r="P297" s="92" t="str">
        <f>M297*I297</f>
      </c>
      <c r="Q297" s="93" t="str">
        <f>P297*'Calculation_Assumptions'!$B$14*J297*K297</f>
      </c>
      <c r="R297" s="94" t="str">
        <f>O297*N297*J297*K297</f>
      </c>
      <c r="S297" s="95" t="str">
        <f>R297-Q297</f>
      </c>
      <c r="T297" s="96" t="str">
        <f>1/(1+'Calculation_Assumptions'!$B$8)^(B297-'Calculation_Assumptions'!$B$2)</f>
      </c>
      <c r="U297" s="97" t="str">
        <f>Q297*T297</f>
      </c>
      <c r="V297" s="98" t="str">
        <f>R297*T297</f>
      </c>
      <c r="W297" s="99" t="str">
        <f>S297*T297</f>
      </c>
      <c r="X297" t="n">
        <v>0</v>
      </c>
      <c r="Y297" s="100" t="n">
        <v>2017</v>
      </c>
      <c r="Z297" t="s">
        <v>389</v>
      </c>
      <c r="AA297" s="101" t="str">
        <f>IF(G297="shared-count-once",COUNTIFS($A$2:$A$807,A297,$B$2:$B$807,B297,$D$2:$D$807,D297),1)</f>
      </c>
    </row>
    <row r="298">
      <c r="A298" t="s">
        <v>233</v>
      </c>
      <c r="B298" s="79" t="n">
        <v>2035</v>
      </c>
      <c r="C298" t="s">
        <v>233</v>
      </c>
      <c r="D298" s="80" t="s">
        <v>403</v>
      </c>
      <c r="E298" s="81" t="s">
        <v>404</v>
      </c>
      <c r="F298" s="82" t="s">
        <v>239</v>
      </c>
      <c r="G298" s="83" t="s">
        <v>384</v>
      </c>
      <c r="H298" s="84" t="s">
        <v>386</v>
      </c>
      <c r="I298" s="85" t="n">
        <v>1</v>
      </c>
      <c r="J298" s="86" t="n">
        <v>1</v>
      </c>
      <c r="K298" s="87" t="n">
        <v>0.004</v>
      </c>
      <c r="L298" s="88" t="n">
        <v>306743605.693121</v>
      </c>
      <c r="M298" s="89" t="n">
        <v>306989258.29407</v>
      </c>
      <c r="N298" s="90" t="str">
        <f>MIN(MAX((B298-'Calculation_Assumptions'!$B$5+1)/'Calculation_Assumptions'!$B$7,0),1)</f>
      </c>
      <c r="O298" s="91" t="str">
        <f>L298*I298</f>
      </c>
      <c r="P298" s="92" t="str">
        <f>M298*I298</f>
      </c>
      <c r="Q298" s="93" t="str">
        <f>P298*'Calculation_Assumptions'!$B$14*J298*K298</f>
      </c>
      <c r="R298" s="94" t="str">
        <f>O298*N298*J298*K298</f>
      </c>
      <c r="S298" s="95" t="str">
        <f>R298-Q298</f>
      </c>
      <c r="T298" s="96" t="str">
        <f>1/(1+'Calculation_Assumptions'!$B$8)^(B298-'Calculation_Assumptions'!$B$2)</f>
      </c>
      <c r="U298" s="97" t="str">
        <f>Q298*T298</f>
      </c>
      <c r="V298" s="98" t="str">
        <f>R298*T298</f>
      </c>
      <c r="W298" s="99" t="str">
        <f>S298*T298</f>
      </c>
      <c r="X298" t="n">
        <v>0</v>
      </c>
      <c r="Y298" s="100" t="n">
        <v>2017</v>
      </c>
      <c r="Z298" t="s">
        <v>389</v>
      </c>
      <c r="AA298" s="101" t="str">
        <f>IF(G298="shared-count-once",COUNTIFS($A$2:$A$807,A298,$B$2:$B$807,B298,$D$2:$D$807,D298),1)</f>
      </c>
    </row>
    <row r="299">
      <c r="A299" t="s">
        <v>233</v>
      </c>
      <c r="B299" s="79" t="n">
        <v>2036</v>
      </c>
      <c r="C299" t="s">
        <v>233</v>
      </c>
      <c r="D299" s="80" t="s">
        <v>403</v>
      </c>
      <c r="E299" s="81" t="s">
        <v>404</v>
      </c>
      <c r="F299" s="82" t="s">
        <v>239</v>
      </c>
      <c r="G299" s="83" t="s">
        <v>384</v>
      </c>
      <c r="H299" s="84" t="s">
        <v>386</v>
      </c>
      <c r="I299" s="85" t="n">
        <v>1</v>
      </c>
      <c r="J299" s="86" t="n">
        <v>1</v>
      </c>
      <c r="K299" s="87" t="n">
        <v>0.004</v>
      </c>
      <c r="L299" s="88" t="n">
        <v>308302397.526322</v>
      </c>
      <c r="M299" s="89" t="n">
        <v>308537399.672094</v>
      </c>
      <c r="N299" s="90" t="str">
        <f>MIN(MAX((B299-'Calculation_Assumptions'!$B$5+1)/'Calculation_Assumptions'!$B$7,0),1)</f>
      </c>
      <c r="O299" s="91" t="str">
        <f>L299*I299</f>
      </c>
      <c r="P299" s="92" t="str">
        <f>M299*I299</f>
      </c>
      <c r="Q299" s="93" t="str">
        <f>P299*'Calculation_Assumptions'!$B$14*J299*K299</f>
      </c>
      <c r="R299" s="94" t="str">
        <f>O299*N299*J299*K299</f>
      </c>
      <c r="S299" s="95" t="str">
        <f>R299-Q299</f>
      </c>
      <c r="T299" s="96" t="str">
        <f>1/(1+'Calculation_Assumptions'!$B$8)^(B299-'Calculation_Assumptions'!$B$2)</f>
      </c>
      <c r="U299" s="97" t="str">
        <f>Q299*T299</f>
      </c>
      <c r="V299" s="98" t="str">
        <f>R299*T299</f>
      </c>
      <c r="W299" s="99" t="str">
        <f>S299*T299</f>
      </c>
      <c r="X299" t="n">
        <v>0</v>
      </c>
      <c r="Y299" s="100" t="n">
        <v>2017</v>
      </c>
      <c r="Z299" t="s">
        <v>389</v>
      </c>
      <c r="AA299" s="101" t="str">
        <f>IF(G299="shared-count-once",COUNTIFS($A$2:$A$807,A299,$B$2:$B$807,B299,$D$2:$D$807,D299),1)</f>
      </c>
    </row>
    <row r="300">
      <c r="A300" t="s">
        <v>233</v>
      </c>
      <c r="B300" s="79" t="n">
        <v>2037</v>
      </c>
      <c r="C300" t="s">
        <v>233</v>
      </c>
      <c r="D300" s="80" t="s">
        <v>403</v>
      </c>
      <c r="E300" s="81" t="s">
        <v>404</v>
      </c>
      <c r="F300" s="82" t="s">
        <v>239</v>
      </c>
      <c r="G300" s="83" t="s">
        <v>384</v>
      </c>
      <c r="H300" s="84" t="s">
        <v>386</v>
      </c>
      <c r="I300" s="85" t="n">
        <v>1</v>
      </c>
      <c r="J300" s="86" t="n">
        <v>1</v>
      </c>
      <c r="K300" s="87" t="n">
        <v>0.004</v>
      </c>
      <c r="L300" s="88" t="n">
        <v>309798095.727397</v>
      </c>
      <c r="M300" s="89" t="n">
        <v>310023120.393472</v>
      </c>
      <c r="N300" s="90" t="str">
        <f>MIN(MAX((B300-'Calculation_Assumptions'!$B$5+1)/'Calculation_Assumptions'!$B$7,0),1)</f>
      </c>
      <c r="O300" s="91" t="str">
        <f>L300*I300</f>
      </c>
      <c r="P300" s="92" t="str">
        <f>M300*I300</f>
      </c>
      <c r="Q300" s="93" t="str">
        <f>P300*'Calculation_Assumptions'!$B$14*J300*K300</f>
      </c>
      <c r="R300" s="94" t="str">
        <f>O300*N300*J300*K300</f>
      </c>
      <c r="S300" s="95" t="str">
        <f>R300-Q300</f>
      </c>
      <c r="T300" s="96" t="str">
        <f>1/(1+'Calculation_Assumptions'!$B$8)^(B300-'Calculation_Assumptions'!$B$2)</f>
      </c>
      <c r="U300" s="97" t="str">
        <f>Q300*T300</f>
      </c>
      <c r="V300" s="98" t="str">
        <f>R300*T300</f>
      </c>
      <c r="W300" s="99" t="str">
        <f>S300*T300</f>
      </c>
      <c r="X300" t="n">
        <v>0</v>
      </c>
      <c r="Y300" s="100" t="n">
        <v>2017</v>
      </c>
      <c r="Z300" t="s">
        <v>389</v>
      </c>
      <c r="AA300" s="101" t="str">
        <f>IF(G300="shared-count-once",COUNTIFS($A$2:$A$807,A300,$B$2:$B$807,B300,$D$2:$D$807,D300),1)</f>
      </c>
    </row>
    <row r="301">
      <c r="A301" t="s">
        <v>233</v>
      </c>
      <c r="B301" s="79" t="n">
        <v>2038</v>
      </c>
      <c r="C301" t="s">
        <v>233</v>
      </c>
      <c r="D301" s="80" t="s">
        <v>403</v>
      </c>
      <c r="E301" s="81" t="s">
        <v>404</v>
      </c>
      <c r="F301" s="82" t="s">
        <v>239</v>
      </c>
      <c r="G301" s="83" t="s">
        <v>384</v>
      </c>
      <c r="H301" s="84" t="s">
        <v>386</v>
      </c>
      <c r="I301" s="85" t="n">
        <v>1</v>
      </c>
      <c r="J301" s="86" t="n">
        <v>1</v>
      </c>
      <c r="K301" s="87" t="n">
        <v>0.004</v>
      </c>
      <c r="L301" s="88" t="n">
        <v>311231614.46089</v>
      </c>
      <c r="M301" s="89" t="n">
        <v>311445837.134625</v>
      </c>
      <c r="N301" s="90" t="str">
        <f>MIN(MAX((B301-'Calculation_Assumptions'!$B$5+1)/'Calculation_Assumptions'!$B$7,0),1)</f>
      </c>
      <c r="O301" s="91" t="str">
        <f>L301*I301</f>
      </c>
      <c r="P301" s="92" t="str">
        <f>M301*I301</f>
      </c>
      <c r="Q301" s="93" t="str">
        <f>P301*'Calculation_Assumptions'!$B$14*J301*K301</f>
      </c>
      <c r="R301" s="94" t="str">
        <f>O301*N301*J301*K301</f>
      </c>
      <c r="S301" s="95" t="str">
        <f>R301-Q301</f>
      </c>
      <c r="T301" s="96" t="str">
        <f>1/(1+'Calculation_Assumptions'!$B$8)^(B301-'Calculation_Assumptions'!$B$2)</f>
      </c>
      <c r="U301" s="97" t="str">
        <f>Q301*T301</f>
      </c>
      <c r="V301" s="98" t="str">
        <f>R301*T301</f>
      </c>
      <c r="W301" s="99" t="str">
        <f>S301*T301</f>
      </c>
      <c r="X301" t="n">
        <v>0</v>
      </c>
      <c r="Y301" s="100" t="n">
        <v>2017</v>
      </c>
      <c r="Z301" t="s">
        <v>389</v>
      </c>
      <c r="AA301" s="101" t="str">
        <f>IF(G301="shared-count-once",COUNTIFS($A$2:$A$807,A301,$B$2:$B$807,B301,$D$2:$D$807,D301),1)</f>
      </c>
    </row>
    <row r="302">
      <c r="A302" t="s">
        <v>233</v>
      </c>
      <c r="B302" s="79" t="n">
        <v>2039</v>
      </c>
      <c r="C302" t="s">
        <v>233</v>
      </c>
      <c r="D302" s="80" t="s">
        <v>403</v>
      </c>
      <c r="E302" s="81" t="s">
        <v>404</v>
      </c>
      <c r="F302" s="82" t="s">
        <v>239</v>
      </c>
      <c r="G302" s="83" t="s">
        <v>384</v>
      </c>
      <c r="H302" s="84" t="s">
        <v>386</v>
      </c>
      <c r="I302" s="85" t="n">
        <v>1</v>
      </c>
      <c r="J302" s="86" t="n">
        <v>1</v>
      </c>
      <c r="K302" s="87" t="n">
        <v>0.004</v>
      </c>
      <c r="L302" s="88" t="n">
        <v>312603869.365231</v>
      </c>
      <c r="M302" s="89" t="n">
        <v>312806989.715685</v>
      </c>
      <c r="N302" s="90" t="str">
        <f>MIN(MAX((B302-'Calculation_Assumptions'!$B$5+1)/'Calculation_Assumptions'!$B$7,0),1)</f>
      </c>
      <c r="O302" s="91" t="str">
        <f>L302*I302</f>
      </c>
      <c r="P302" s="92" t="str">
        <f>M302*I302</f>
      </c>
      <c r="Q302" s="93" t="str">
        <f>P302*'Calculation_Assumptions'!$B$14*J302*K302</f>
      </c>
      <c r="R302" s="94" t="str">
        <f>O302*N302*J302*K302</f>
      </c>
      <c r="S302" s="95" t="str">
        <f>R302-Q302</f>
      </c>
      <c r="T302" s="96" t="str">
        <f>1/(1+'Calculation_Assumptions'!$B$8)^(B302-'Calculation_Assumptions'!$B$2)</f>
      </c>
      <c r="U302" s="97" t="str">
        <f>Q302*T302</f>
      </c>
      <c r="V302" s="98" t="str">
        <f>R302*T302</f>
      </c>
      <c r="W302" s="99" t="str">
        <f>S302*T302</f>
      </c>
      <c r="X302" t="n">
        <v>0</v>
      </c>
      <c r="Y302" s="100" t="n">
        <v>2017</v>
      </c>
      <c r="Z302" t="s">
        <v>389</v>
      </c>
      <c r="AA302" s="101" t="str">
        <f>IF(G302="shared-count-once",COUNTIFS($A$2:$A$807,A302,$B$2:$B$807,B302,$D$2:$D$807,D302),1)</f>
      </c>
    </row>
    <row r="303">
      <c r="A303" t="s">
        <v>233</v>
      </c>
      <c r="B303" s="79" t="n">
        <v>2040</v>
      </c>
      <c r="C303" t="s">
        <v>233</v>
      </c>
      <c r="D303" s="80" t="s">
        <v>403</v>
      </c>
      <c r="E303" s="81" t="s">
        <v>404</v>
      </c>
      <c r="F303" s="82" t="s">
        <v>239</v>
      </c>
      <c r="G303" s="83" t="s">
        <v>384</v>
      </c>
      <c r="H303" s="84" t="s">
        <v>386</v>
      </c>
      <c r="I303" s="85" t="n">
        <v>1</v>
      </c>
      <c r="J303" s="86" t="n">
        <v>1</v>
      </c>
      <c r="K303" s="87" t="n">
        <v>0.004</v>
      </c>
      <c r="L303" s="88" t="n">
        <v>313915614.504025</v>
      </c>
      <c r="M303" s="89" t="n">
        <v>314109251.582649</v>
      </c>
      <c r="N303" s="90" t="str">
        <f>MIN(MAX((B303-'Calculation_Assumptions'!$B$5+1)/'Calculation_Assumptions'!$B$7,0),1)</f>
      </c>
      <c r="O303" s="91" t="str">
        <f>L303*I303</f>
      </c>
      <c r="P303" s="92" t="str">
        <f>M303*I303</f>
      </c>
      <c r="Q303" s="93" t="str">
        <f>P303*'Calculation_Assumptions'!$B$14*J303*K303</f>
      </c>
      <c r="R303" s="94" t="str">
        <f>O303*N303*J303*K303</f>
      </c>
      <c r="S303" s="95" t="str">
        <f>R303-Q303</f>
      </c>
      <c r="T303" s="96" t="str">
        <f>1/(1+'Calculation_Assumptions'!$B$8)^(B303-'Calculation_Assumptions'!$B$2)</f>
      </c>
      <c r="U303" s="97" t="str">
        <f>Q303*T303</f>
      </c>
      <c r="V303" s="98" t="str">
        <f>R303*T303</f>
      </c>
      <c r="W303" s="99" t="str">
        <f>S303*T303</f>
      </c>
      <c r="X303" t="n">
        <v>0</v>
      </c>
      <c r="Y303" s="100" t="n">
        <v>2017</v>
      </c>
      <c r="Z303" t="s">
        <v>389</v>
      </c>
      <c r="AA303" s="101" t="str">
        <f>IF(G303="shared-count-once",COUNTIFS($A$2:$A$807,A303,$B$2:$B$807,B303,$D$2:$D$807,D303),1)</f>
      </c>
    </row>
    <row r="304">
      <c r="A304" t="s">
        <v>233</v>
      </c>
      <c r="B304" s="79" t="n">
        <v>2041</v>
      </c>
      <c r="C304" t="s">
        <v>233</v>
      </c>
      <c r="D304" s="80" t="s">
        <v>403</v>
      </c>
      <c r="E304" s="81" t="s">
        <v>404</v>
      </c>
      <c r="F304" s="82" t="s">
        <v>239</v>
      </c>
      <c r="G304" s="83" t="s">
        <v>384</v>
      </c>
      <c r="H304" s="84" t="s">
        <v>386</v>
      </c>
      <c r="I304" s="85" t="n">
        <v>1</v>
      </c>
      <c r="J304" s="86" t="n">
        <v>1</v>
      </c>
      <c r="K304" s="87" t="n">
        <v>0.004</v>
      </c>
      <c r="L304" s="88" t="n">
        <v>315167606.269237</v>
      </c>
      <c r="M304" s="89" t="n">
        <v>315352079.812423</v>
      </c>
      <c r="N304" s="90" t="str">
        <f>MIN(MAX((B304-'Calculation_Assumptions'!$B$5+1)/'Calculation_Assumptions'!$B$7,0),1)</f>
      </c>
      <c r="O304" s="91" t="str">
        <f>L304*I304</f>
      </c>
      <c r="P304" s="92" t="str">
        <f>M304*I304</f>
      </c>
      <c r="Q304" s="93" t="str">
        <f>P304*'Calculation_Assumptions'!$B$14*J304*K304</f>
      </c>
      <c r="R304" s="94" t="str">
        <f>O304*N304*J304*K304</f>
      </c>
      <c r="S304" s="95" t="str">
        <f>R304-Q304</f>
      </c>
      <c r="T304" s="96" t="str">
        <f>1/(1+'Calculation_Assumptions'!$B$8)^(B304-'Calculation_Assumptions'!$B$2)</f>
      </c>
      <c r="U304" s="97" t="str">
        <f>Q304*T304</f>
      </c>
      <c r="V304" s="98" t="str">
        <f>R304*T304</f>
      </c>
      <c r="W304" s="99" t="str">
        <f>S304*T304</f>
      </c>
      <c r="X304" t="n">
        <v>0</v>
      </c>
      <c r="Y304" s="100" t="n">
        <v>2017</v>
      </c>
      <c r="Z304" t="s">
        <v>389</v>
      </c>
      <c r="AA304" s="101" t="str">
        <f>IF(G304="shared-count-once",COUNTIFS($A$2:$A$807,A304,$B$2:$B$807,B304,$D$2:$D$807,D304),1)</f>
      </c>
    </row>
    <row r="305">
      <c r="A305" t="s">
        <v>233</v>
      </c>
      <c r="B305" s="79" t="n">
        <v>2042</v>
      </c>
      <c r="C305" t="s">
        <v>233</v>
      </c>
      <c r="D305" s="80" t="s">
        <v>403</v>
      </c>
      <c r="E305" s="81" t="s">
        <v>404</v>
      </c>
      <c r="F305" s="82" t="s">
        <v>239</v>
      </c>
      <c r="G305" s="83" t="s">
        <v>384</v>
      </c>
      <c r="H305" s="84" t="s">
        <v>386</v>
      </c>
      <c r="I305" s="85" t="n">
        <v>1</v>
      </c>
      <c r="J305" s="86" t="n">
        <v>1</v>
      </c>
      <c r="K305" s="87" t="n">
        <v>0.004</v>
      </c>
      <c r="L305" s="88" t="n">
        <v>316360314.946582</v>
      </c>
      <c r="M305" s="89" t="n">
        <v>316395286.312016</v>
      </c>
      <c r="N305" s="90" t="str">
        <f>MIN(MAX((B305-'Calculation_Assumptions'!$B$5+1)/'Calculation_Assumptions'!$B$7,0),1)</f>
      </c>
      <c r="O305" s="91" t="str">
        <f>L305*I305</f>
      </c>
      <c r="P305" s="92" t="str">
        <f>M305*I305</f>
      </c>
      <c r="Q305" s="93" t="str">
        <f>P305*'Calculation_Assumptions'!$B$14*J305*K305</f>
      </c>
      <c r="R305" s="94" t="str">
        <f>O305*N305*J305*K305</f>
      </c>
      <c r="S305" s="95" t="str">
        <f>R305-Q305</f>
      </c>
      <c r="T305" s="96" t="str">
        <f>1/(1+'Calculation_Assumptions'!$B$8)^(B305-'Calculation_Assumptions'!$B$2)</f>
      </c>
      <c r="U305" s="97" t="str">
        <f>Q305*T305</f>
      </c>
      <c r="V305" s="98" t="str">
        <f>R305*T305</f>
      </c>
      <c r="W305" s="99" t="str">
        <f>S305*T305</f>
      </c>
      <c r="X305" t="n">
        <v>0</v>
      </c>
      <c r="Y305" s="100" t="n">
        <v>2017</v>
      </c>
      <c r="Z305" t="s">
        <v>389</v>
      </c>
      <c r="AA305" s="101" t="str">
        <f>IF(G305="shared-count-once",COUNTIFS($A$2:$A$807,A305,$B$2:$B$807,B305,$D$2:$D$807,D305),1)</f>
      </c>
    </row>
    <row r="306">
      <c r="A306" t="s">
        <v>233</v>
      </c>
      <c r="B306" s="79" t="n">
        <v>2043</v>
      </c>
      <c r="C306" t="s">
        <v>233</v>
      </c>
      <c r="D306" s="80" t="s">
        <v>403</v>
      </c>
      <c r="E306" s="81" t="s">
        <v>404</v>
      </c>
      <c r="F306" s="82" t="s">
        <v>239</v>
      </c>
      <c r="G306" s="83" t="s">
        <v>384</v>
      </c>
      <c r="H306" s="84" t="s">
        <v>386</v>
      </c>
      <c r="I306" s="85" t="n">
        <v>1</v>
      </c>
      <c r="J306" s="86" t="n">
        <v>1</v>
      </c>
      <c r="K306" s="87" t="n">
        <v>0.004</v>
      </c>
      <c r="L306" s="88" t="n">
        <v>317494019.213493</v>
      </c>
      <c r="M306" s="89" t="n">
        <v>317619735.688289</v>
      </c>
      <c r="N306" s="90" t="str">
        <f>MIN(MAX((B306-'Calculation_Assumptions'!$B$5+1)/'Calculation_Assumptions'!$B$7,0),1)</f>
      </c>
      <c r="O306" s="91" t="str">
        <f>L306*I306</f>
      </c>
      <c r="P306" s="92" t="str">
        <f>M306*I306</f>
      </c>
      <c r="Q306" s="93" t="str">
        <f>P306*'Calculation_Assumptions'!$B$14*J306*K306</f>
      </c>
      <c r="R306" s="94" t="str">
        <f>O306*N306*J306*K306</f>
      </c>
      <c r="S306" s="95" t="str">
        <f>R306-Q306</f>
      </c>
      <c r="T306" s="96" t="str">
        <f>1/(1+'Calculation_Assumptions'!$B$8)^(B306-'Calculation_Assumptions'!$B$2)</f>
      </c>
      <c r="U306" s="97" t="str">
        <f>Q306*T306</f>
      </c>
      <c r="V306" s="98" t="str">
        <f>R306*T306</f>
      </c>
      <c r="W306" s="99" t="str">
        <f>S306*T306</f>
      </c>
      <c r="X306" t="n">
        <v>0</v>
      </c>
      <c r="Y306" s="100" t="n">
        <v>2017</v>
      </c>
      <c r="Z306" t="s">
        <v>389</v>
      </c>
      <c r="AA306" s="101" t="str">
        <f>IF(G306="shared-count-once",COUNTIFS($A$2:$A$807,A306,$B$2:$B$807,B306,$D$2:$D$807,D306),1)</f>
      </c>
    </row>
    <row r="307">
      <c r="A307" t="s">
        <v>233</v>
      </c>
      <c r="B307" s="79" t="n">
        <v>2044</v>
      </c>
      <c r="C307" t="s">
        <v>233</v>
      </c>
      <c r="D307" s="80" t="s">
        <v>403</v>
      </c>
      <c r="E307" s="81" t="s">
        <v>404</v>
      </c>
      <c r="F307" s="82" t="s">
        <v>239</v>
      </c>
      <c r="G307" s="83" t="s">
        <v>384</v>
      </c>
      <c r="H307" s="84" t="s">
        <v>386</v>
      </c>
      <c r="I307" s="85" t="n">
        <v>1</v>
      </c>
      <c r="J307" s="86" t="n">
        <v>1</v>
      </c>
      <c r="K307" s="87" t="n">
        <v>0.004</v>
      </c>
      <c r="L307" s="88" t="n">
        <v>318569318.432734</v>
      </c>
      <c r="M307" s="89" t="n">
        <v>318697135.863652</v>
      </c>
      <c r="N307" s="90" t="str">
        <f>MIN(MAX((B307-'Calculation_Assumptions'!$B$5+1)/'Calculation_Assumptions'!$B$7,0),1)</f>
      </c>
      <c r="O307" s="91" t="str">
        <f>L307*I307</f>
      </c>
      <c r="P307" s="92" t="str">
        <f>M307*I307</f>
      </c>
      <c r="Q307" s="93" t="str">
        <f>P307*'Calculation_Assumptions'!$B$14*J307*K307</f>
      </c>
      <c r="R307" s="94" t="str">
        <f>O307*N307*J307*K307</f>
      </c>
      <c r="S307" s="95" t="str">
        <f>R307-Q307</f>
      </c>
      <c r="T307" s="96" t="str">
        <f>1/(1+'Calculation_Assumptions'!$B$8)^(B307-'Calculation_Assumptions'!$B$2)</f>
      </c>
      <c r="U307" s="97" t="str">
        <f>Q307*T307</f>
      </c>
      <c r="V307" s="98" t="str">
        <f>R307*T307</f>
      </c>
      <c r="W307" s="99" t="str">
        <f>S307*T307</f>
      </c>
      <c r="X307" t="n">
        <v>0</v>
      </c>
      <c r="Y307" s="100" t="n">
        <v>2017</v>
      </c>
      <c r="Z307" t="s">
        <v>389</v>
      </c>
      <c r="AA307" s="101" t="str">
        <f>IF(G307="shared-count-once",COUNTIFS($A$2:$A$807,A307,$B$2:$B$807,B307,$D$2:$D$807,D307),1)</f>
      </c>
    </row>
    <row r="308">
      <c r="A308" t="s">
        <v>233</v>
      </c>
      <c r="B308" s="79" t="n">
        <v>2045</v>
      </c>
      <c r="C308" t="s">
        <v>233</v>
      </c>
      <c r="D308" s="80" t="s">
        <v>403</v>
      </c>
      <c r="E308" s="81" t="s">
        <v>404</v>
      </c>
      <c r="F308" s="82" t="s">
        <v>239</v>
      </c>
      <c r="G308" s="83" t="s">
        <v>384</v>
      </c>
      <c r="H308" s="84" t="s">
        <v>386</v>
      </c>
      <c r="I308" s="85" t="n">
        <v>1</v>
      </c>
      <c r="J308" s="86" t="n">
        <v>1</v>
      </c>
      <c r="K308" s="87" t="n">
        <v>0.004</v>
      </c>
      <c r="L308" s="88" t="n">
        <v>319587045.795454</v>
      </c>
      <c r="M308" s="89" t="n">
        <v>319717840.85179</v>
      </c>
      <c r="N308" s="90" t="str">
        <f>MIN(MAX((B308-'Calculation_Assumptions'!$B$5+1)/'Calculation_Assumptions'!$B$7,0),1)</f>
      </c>
      <c r="O308" s="91" t="str">
        <f>L308*I308</f>
      </c>
      <c r="P308" s="92" t="str">
        <f>M308*I308</f>
      </c>
      <c r="Q308" s="93" t="str">
        <f>P308*'Calculation_Assumptions'!$B$14*J308*K308</f>
      </c>
      <c r="R308" s="94" t="str">
        <f>O308*N308*J308*K308</f>
      </c>
      <c r="S308" s="95" t="str">
        <f>R308-Q308</f>
      </c>
      <c r="T308" s="96" t="str">
        <f>1/(1+'Calculation_Assumptions'!$B$8)^(B308-'Calculation_Assumptions'!$B$2)</f>
      </c>
      <c r="U308" s="97" t="str">
        <f>Q308*T308</f>
      </c>
      <c r="V308" s="98" t="str">
        <f>R308*T308</f>
      </c>
      <c r="W308" s="99" t="str">
        <f>S308*T308</f>
      </c>
      <c r="X308" t="n">
        <v>0</v>
      </c>
      <c r="Y308" s="100" t="n">
        <v>2017</v>
      </c>
      <c r="Z308" t="s">
        <v>389</v>
      </c>
      <c r="AA308" s="101" t="str">
        <f>IF(G308="shared-count-once",COUNTIFS($A$2:$A$807,A308,$B$2:$B$807,B308,$D$2:$D$807,D308),1)</f>
      </c>
    </row>
    <row r="309">
      <c r="A309" t="s">
        <v>233</v>
      </c>
      <c r="B309" s="79" t="n">
        <v>2046</v>
      </c>
      <c r="C309" t="s">
        <v>233</v>
      </c>
      <c r="D309" s="80" t="s">
        <v>403</v>
      </c>
      <c r="E309" s="81" t="s">
        <v>404</v>
      </c>
      <c r="F309" s="82" t="s">
        <v>239</v>
      </c>
      <c r="G309" s="83" t="s">
        <v>384</v>
      </c>
      <c r="H309" s="84" t="s">
        <v>386</v>
      </c>
      <c r="I309" s="85" t="n">
        <v>1</v>
      </c>
      <c r="J309" s="86" t="n">
        <v>1</v>
      </c>
      <c r="K309" s="87" t="n">
        <v>0.004</v>
      </c>
      <c r="L309" s="88" t="n">
        <v>320548135.919897</v>
      </c>
      <c r="M309" s="89" t="n">
        <v>320683879.806276</v>
      </c>
      <c r="N309" s="90" t="str">
        <f>MIN(MAX((B309-'Calculation_Assumptions'!$B$5+1)/'Calculation_Assumptions'!$B$7,0),1)</f>
      </c>
      <c r="O309" s="91" t="str">
        <f>L309*I309</f>
      </c>
      <c r="P309" s="92" t="str">
        <f>M309*I309</f>
      </c>
      <c r="Q309" s="93" t="str">
        <f>P309*'Calculation_Assumptions'!$B$14*J309*K309</f>
      </c>
      <c r="R309" s="94" t="str">
        <f>O309*N309*J309*K309</f>
      </c>
      <c r="S309" s="95" t="str">
        <f>R309-Q309</f>
      </c>
      <c r="T309" s="96" t="str">
        <f>1/(1+'Calculation_Assumptions'!$B$8)^(B309-'Calculation_Assumptions'!$B$2)</f>
      </c>
      <c r="U309" s="97" t="str">
        <f>Q309*T309</f>
      </c>
      <c r="V309" s="98" t="str">
        <f>R309*T309</f>
      </c>
      <c r="W309" s="99" t="str">
        <f>S309*T309</f>
      </c>
      <c r="X309" t="n">
        <v>0</v>
      </c>
      <c r="Y309" s="100" t="n">
        <v>2017</v>
      </c>
      <c r="Z309" t="s">
        <v>389</v>
      </c>
      <c r="AA309" s="101" t="str">
        <f>IF(G309="shared-count-once",COUNTIFS($A$2:$A$807,A309,$B$2:$B$807,B309,$D$2:$D$807,D309),1)</f>
      </c>
    </row>
    <row r="310">
      <c r="A310" t="s">
        <v>233</v>
      </c>
      <c r="B310" s="79" t="n">
        <v>2047</v>
      </c>
      <c r="C310" t="s">
        <v>233</v>
      </c>
      <c r="D310" s="80" t="s">
        <v>403</v>
      </c>
      <c r="E310" s="81" t="s">
        <v>404</v>
      </c>
      <c r="F310" s="82" t="s">
        <v>239</v>
      </c>
      <c r="G310" s="83" t="s">
        <v>384</v>
      </c>
      <c r="H310" s="84" t="s">
        <v>386</v>
      </c>
      <c r="I310" s="85" t="n">
        <v>1</v>
      </c>
      <c r="J310" s="86" t="n">
        <v>1</v>
      </c>
      <c r="K310" s="87" t="n">
        <v>0.004</v>
      </c>
      <c r="L310" s="88" t="n">
        <v>321453592.039052</v>
      </c>
      <c r="M310" s="89" t="n">
        <v>321595541.389526</v>
      </c>
      <c r="N310" s="90" t="str">
        <f>MIN(MAX((B310-'Calculation_Assumptions'!$B$5+1)/'Calculation_Assumptions'!$B$7,0),1)</f>
      </c>
      <c r="O310" s="91" t="str">
        <f>L310*I310</f>
      </c>
      <c r="P310" s="92" t="str">
        <f>M310*I310</f>
      </c>
      <c r="Q310" s="93" t="str">
        <f>P310*'Calculation_Assumptions'!$B$14*J310*K310</f>
      </c>
      <c r="R310" s="94" t="str">
        <f>O310*N310*J310*K310</f>
      </c>
      <c r="S310" s="95" t="str">
        <f>R310-Q310</f>
      </c>
      <c r="T310" s="96" t="str">
        <f>1/(1+'Calculation_Assumptions'!$B$8)^(B310-'Calculation_Assumptions'!$B$2)</f>
      </c>
      <c r="U310" s="97" t="str">
        <f>Q310*T310</f>
      </c>
      <c r="V310" s="98" t="str">
        <f>R310*T310</f>
      </c>
      <c r="W310" s="99" t="str">
        <f>S310*T310</f>
      </c>
      <c r="X310" t="n">
        <v>0</v>
      </c>
      <c r="Y310" s="100" t="n">
        <v>2017</v>
      </c>
      <c r="Z310" t="s">
        <v>389</v>
      </c>
      <c r="AA310" s="101" t="str">
        <f>IF(G310="shared-count-once",COUNTIFS($A$2:$A$807,A310,$B$2:$B$807,B310,$D$2:$D$807,D310),1)</f>
      </c>
    </row>
    <row r="311">
      <c r="A311" t="s">
        <v>233</v>
      </c>
      <c r="B311" s="79" t="n">
        <v>2048</v>
      </c>
      <c r="C311" t="s">
        <v>233</v>
      </c>
      <c r="D311" s="80" t="s">
        <v>403</v>
      </c>
      <c r="E311" s="81" t="s">
        <v>404</v>
      </c>
      <c r="F311" s="82" t="s">
        <v>239</v>
      </c>
      <c r="G311" s="83" t="s">
        <v>384</v>
      </c>
      <c r="H311" s="84" t="s">
        <v>386</v>
      </c>
      <c r="I311" s="85" t="n">
        <v>1</v>
      </c>
      <c r="J311" s="86" t="n">
        <v>1</v>
      </c>
      <c r="K311" s="87" t="n">
        <v>0.004</v>
      </c>
      <c r="L311" s="88" t="n">
        <v>322304491.314801</v>
      </c>
      <c r="M311" s="89" t="n">
        <v>322453622.669464</v>
      </c>
      <c r="N311" s="90" t="str">
        <f>MIN(MAX((B311-'Calculation_Assumptions'!$B$5+1)/'Calculation_Assumptions'!$B$7,0),1)</f>
      </c>
      <c r="O311" s="91" t="str">
        <f>L311*I311</f>
      </c>
      <c r="P311" s="92" t="str">
        <f>M311*I311</f>
      </c>
      <c r="Q311" s="93" t="str">
        <f>P311*'Calculation_Assumptions'!$B$14*J311*K311</f>
      </c>
      <c r="R311" s="94" t="str">
        <f>O311*N311*J311*K311</f>
      </c>
      <c r="S311" s="95" t="str">
        <f>R311-Q311</f>
      </c>
      <c r="T311" s="96" t="str">
        <f>1/(1+'Calculation_Assumptions'!$B$8)^(B311-'Calculation_Assumptions'!$B$2)</f>
      </c>
      <c r="U311" s="97" t="str">
        <f>Q311*T311</f>
      </c>
      <c r="V311" s="98" t="str">
        <f>R311*T311</f>
      </c>
      <c r="W311" s="99" t="str">
        <f>S311*T311</f>
      </c>
      <c r="X311" t="n">
        <v>0</v>
      </c>
      <c r="Y311" s="100" t="n">
        <v>2017</v>
      </c>
      <c r="Z311" t="s">
        <v>389</v>
      </c>
      <c r="AA311" s="101" t="str">
        <f>IF(G311="shared-count-once",COUNTIFS($A$2:$A$807,A311,$B$2:$B$807,B311,$D$2:$D$807,D311),1)</f>
      </c>
    </row>
    <row r="312">
      <c r="A312" t="s">
        <v>233</v>
      </c>
      <c r="B312" s="79" t="n">
        <v>2049</v>
      </c>
      <c r="C312" t="s">
        <v>233</v>
      </c>
      <c r="D312" s="80" t="s">
        <v>403</v>
      </c>
      <c r="E312" s="81" t="s">
        <v>404</v>
      </c>
      <c r="F312" s="82" t="s">
        <v>239</v>
      </c>
      <c r="G312" s="83" t="s">
        <v>384</v>
      </c>
      <c r="H312" s="84" t="s">
        <v>386</v>
      </c>
      <c r="I312" s="85" t="n">
        <v>1</v>
      </c>
      <c r="J312" s="86" t="n">
        <v>1</v>
      </c>
      <c r="K312" s="87" t="n">
        <v>0.004</v>
      </c>
      <c r="L312" s="88" t="n">
        <v>323102073.211205</v>
      </c>
      <c r="M312" s="89" t="n">
        <v>323259246.716719</v>
      </c>
      <c r="N312" s="90" t="str">
        <f>MIN(MAX((B312-'Calculation_Assumptions'!$B$5+1)/'Calculation_Assumptions'!$B$7,0),1)</f>
      </c>
      <c r="O312" s="91" t="str">
        <f>L312*I312</f>
      </c>
      <c r="P312" s="92" t="str">
        <f>M312*I312</f>
      </c>
      <c r="Q312" s="93" t="str">
        <f>P312*'Calculation_Assumptions'!$B$14*J312*K312</f>
      </c>
      <c r="R312" s="94" t="str">
        <f>O312*N312*J312*K312</f>
      </c>
      <c r="S312" s="95" t="str">
        <f>R312-Q312</f>
      </c>
      <c r="T312" s="96" t="str">
        <f>1/(1+'Calculation_Assumptions'!$B$8)^(B312-'Calculation_Assumptions'!$B$2)</f>
      </c>
      <c r="U312" s="97" t="str">
        <f>Q312*T312</f>
      </c>
      <c r="V312" s="98" t="str">
        <f>R312*T312</f>
      </c>
      <c r="W312" s="99" t="str">
        <f>S312*T312</f>
      </c>
      <c r="X312" t="n">
        <v>0</v>
      </c>
      <c r="Y312" s="100" t="n">
        <v>2017</v>
      </c>
      <c r="Z312" t="s">
        <v>389</v>
      </c>
      <c r="AA312" s="101" t="str">
        <f>IF(G312="shared-count-once",COUNTIFS($A$2:$A$807,A312,$B$2:$B$807,B312,$D$2:$D$807,D312),1)</f>
      </c>
    </row>
    <row r="313">
      <c r="A313" t="s">
        <v>233</v>
      </c>
      <c r="B313" s="79" t="n">
        <v>2050</v>
      </c>
      <c r="C313" t="s">
        <v>233</v>
      </c>
      <c r="D313" s="80" t="s">
        <v>403</v>
      </c>
      <c r="E313" s="81" t="s">
        <v>404</v>
      </c>
      <c r="F313" s="82" t="s">
        <v>239</v>
      </c>
      <c r="G313" s="83" t="s">
        <v>384</v>
      </c>
      <c r="H313" s="84" t="s">
        <v>386</v>
      </c>
      <c r="I313" s="85" t="n">
        <v>1</v>
      </c>
      <c r="J313" s="86" t="n">
        <v>1</v>
      </c>
      <c r="K313" s="87" t="n">
        <v>0.004</v>
      </c>
      <c r="L313" s="88" t="n">
        <v>323847783.417897</v>
      </c>
      <c r="M313" s="89" t="n">
        <v>324013738.182479</v>
      </c>
      <c r="N313" s="90" t="str">
        <f>MIN(MAX((B313-'Calculation_Assumptions'!$B$5+1)/'Calculation_Assumptions'!$B$7,0),1)</f>
      </c>
      <c r="O313" s="91" t="str">
        <f>L313*I313</f>
      </c>
      <c r="P313" s="92" t="str">
        <f>M313*I313</f>
      </c>
      <c r="Q313" s="93" t="str">
        <f>P313*'Calculation_Assumptions'!$B$14*J313*K313</f>
      </c>
      <c r="R313" s="94" t="str">
        <f>O313*N313*J313*K313</f>
      </c>
      <c r="S313" s="95" t="str">
        <f>R313-Q313</f>
      </c>
      <c r="T313" s="96" t="str">
        <f>1/(1+'Calculation_Assumptions'!$B$8)^(B313-'Calculation_Assumptions'!$B$2)</f>
      </c>
      <c r="U313" s="97" t="str">
        <f>Q313*T313</f>
      </c>
      <c r="V313" s="98" t="str">
        <f>R313*T313</f>
      </c>
      <c r="W313" s="99" t="str">
        <f>S313*T313</f>
      </c>
      <c r="X313" t="n">
        <v>0</v>
      </c>
      <c r="Y313" s="100" t="n">
        <v>2017</v>
      </c>
      <c r="Z313" t="s">
        <v>389</v>
      </c>
      <c r="AA313" s="101" t="str">
        <f>IF(G313="shared-count-once",COUNTIFS($A$2:$A$807,A313,$B$2:$B$807,B313,$D$2:$D$807,D313),1)</f>
      </c>
    </row>
    <row r="314">
      <c r="A314" t="s">
        <v>263</v>
      </c>
      <c r="B314" s="79" t="n">
        <v>2025</v>
      </c>
      <c r="C314" t="s">
        <v>259</v>
      </c>
      <c r="D314" s="80" t="s">
        <v>409</v>
      </c>
      <c r="E314" s="81" t="s">
        <v>410</v>
      </c>
      <c r="F314" s="82" t="s">
        <v>262</v>
      </c>
      <c r="G314" s="83" t="s">
        <v>395</v>
      </c>
      <c r="H314" s="84" t="s">
        <v>386</v>
      </c>
      <c r="I314" s="85" t="n">
        <v>1</v>
      </c>
      <c r="J314" s="86" t="n">
        <v>1</v>
      </c>
      <c r="K314" s="87" t="n">
        <v>0.0077</v>
      </c>
      <c r="L314" s="88" t="n">
        <v>288000821.106462</v>
      </c>
      <c r="M314" s="89" t="n">
        <v>288000821.106462</v>
      </c>
      <c r="N314" s="90" t="str">
        <f>MIN(MAX((B314-'Calculation_Assumptions'!$B$5+1)/'Calculation_Assumptions'!$B$7,0),1)</f>
      </c>
      <c r="O314" s="91" t="str">
        <f>L314*I314</f>
      </c>
      <c r="P314" s="92" t="str">
        <f>M314*I314</f>
      </c>
      <c r="Q314" s="93" t="str">
        <f>P314*'Calculation_Assumptions'!$B$14*J314*K314</f>
      </c>
      <c r="R314" s="94" t="str">
        <f>O314*N314*J314*K314</f>
      </c>
      <c r="S314" s="95" t="str">
        <f>R314-Q314</f>
      </c>
      <c r="T314" s="96" t="str">
        <f>1/(1+'Calculation_Assumptions'!$B$8)^(B314-'Calculation_Assumptions'!$B$2)</f>
      </c>
      <c r="U314" s="97" t="str">
        <f>Q314*T314</f>
      </c>
      <c r="V314" s="98" t="str">
        <f>R314*T314</f>
      </c>
      <c r="W314" s="99" t="str">
        <f>S314*T314</f>
      </c>
      <c r="X314" t="n">
        <v>0</v>
      </c>
      <c r="Y314" s="100" t="n">
        <v>2017</v>
      </c>
      <c r="Z314" t="s">
        <v>389</v>
      </c>
      <c r="AA314" s="101" t="str">
        <f>IF(G314="shared-count-once",COUNTIFS($A$2:$A$807,A314,$B$2:$B$807,B314,$D$2:$D$807,D314),1)</f>
      </c>
    </row>
    <row r="315">
      <c r="A315" t="s">
        <v>263</v>
      </c>
      <c r="B315" s="79" t="n">
        <v>2026</v>
      </c>
      <c r="C315" t="s">
        <v>259</v>
      </c>
      <c r="D315" s="80" t="s">
        <v>409</v>
      </c>
      <c r="E315" s="81" t="s">
        <v>410</v>
      </c>
      <c r="F315" s="82" t="s">
        <v>262</v>
      </c>
      <c r="G315" s="83" t="s">
        <v>395</v>
      </c>
      <c r="H315" s="84" t="s">
        <v>386</v>
      </c>
      <c r="I315" s="85" t="n">
        <v>1</v>
      </c>
      <c r="J315" s="86" t="n">
        <v>1</v>
      </c>
      <c r="K315" s="87" t="n">
        <v>0.0077</v>
      </c>
      <c r="L315" s="88" t="n">
        <v>290123496.103219</v>
      </c>
      <c r="M315" s="89" t="n">
        <v>290123496.103219</v>
      </c>
      <c r="N315" s="90" t="str">
        <f>MIN(MAX((B315-'Calculation_Assumptions'!$B$5+1)/'Calculation_Assumptions'!$B$7,0),1)</f>
      </c>
      <c r="O315" s="91" t="str">
        <f>L315*I315</f>
      </c>
      <c r="P315" s="92" t="str">
        <f>M315*I315</f>
      </c>
      <c r="Q315" s="93" t="str">
        <f>P315*'Calculation_Assumptions'!$B$14*J315*K315</f>
      </c>
      <c r="R315" s="94" t="str">
        <f>O315*N315*J315*K315</f>
      </c>
      <c r="S315" s="95" t="str">
        <f>R315-Q315</f>
      </c>
      <c r="T315" s="96" t="str">
        <f>1/(1+'Calculation_Assumptions'!$B$8)^(B315-'Calculation_Assumptions'!$B$2)</f>
      </c>
      <c r="U315" s="97" t="str">
        <f>Q315*T315</f>
      </c>
      <c r="V315" s="98" t="str">
        <f>R315*T315</f>
      </c>
      <c r="W315" s="99" t="str">
        <f>S315*T315</f>
      </c>
      <c r="X315" t="n">
        <v>0</v>
      </c>
      <c r="Y315" s="100" t="n">
        <v>2017</v>
      </c>
      <c r="Z315" t="s">
        <v>389</v>
      </c>
      <c r="AA315" s="101" t="str">
        <f>IF(G315="shared-count-once",COUNTIFS($A$2:$A$807,A315,$B$2:$B$807,B315,$D$2:$D$807,D315),1)</f>
      </c>
    </row>
    <row r="316">
      <c r="A316" t="s">
        <v>263</v>
      </c>
      <c r="B316" s="79" t="n">
        <v>2027</v>
      </c>
      <c r="C316" t="s">
        <v>259</v>
      </c>
      <c r="D316" s="80" t="s">
        <v>409</v>
      </c>
      <c r="E316" s="81" t="s">
        <v>410</v>
      </c>
      <c r="F316" s="82" t="s">
        <v>262</v>
      </c>
      <c r="G316" s="83" t="s">
        <v>395</v>
      </c>
      <c r="H316" s="84" t="s">
        <v>386</v>
      </c>
      <c r="I316" s="85" t="n">
        <v>1</v>
      </c>
      <c r="J316" s="86" t="n">
        <v>1</v>
      </c>
      <c r="K316" s="87" t="n">
        <v>0.0077</v>
      </c>
      <c r="L316" s="88" t="n">
        <v>292252895.096956</v>
      </c>
      <c r="M316" s="89" t="n">
        <v>292252895.096956</v>
      </c>
      <c r="N316" s="90" t="str">
        <f>MIN(MAX((B316-'Calculation_Assumptions'!$B$5+1)/'Calculation_Assumptions'!$B$7,0),1)</f>
      </c>
      <c r="O316" s="91" t="str">
        <f>L316*I316</f>
      </c>
      <c r="P316" s="92" t="str">
        <f>M316*I316</f>
      </c>
      <c r="Q316" s="93" t="str">
        <f>P316*'Calculation_Assumptions'!$B$14*J316*K316</f>
      </c>
      <c r="R316" s="94" t="str">
        <f>O316*N316*J316*K316</f>
      </c>
      <c r="S316" s="95" t="str">
        <f>R316-Q316</f>
      </c>
      <c r="T316" s="96" t="str">
        <f>1/(1+'Calculation_Assumptions'!$B$8)^(B316-'Calculation_Assumptions'!$B$2)</f>
      </c>
      <c r="U316" s="97" t="str">
        <f>Q316*T316</f>
      </c>
      <c r="V316" s="98" t="str">
        <f>R316*T316</f>
      </c>
      <c r="W316" s="99" t="str">
        <f>S316*T316</f>
      </c>
      <c r="X316" t="n">
        <v>0</v>
      </c>
      <c r="Y316" s="100" t="n">
        <v>2017</v>
      </c>
      <c r="Z316" t="s">
        <v>389</v>
      </c>
      <c r="AA316" s="101" t="str">
        <f>IF(G316="shared-count-once",COUNTIFS($A$2:$A$807,A316,$B$2:$B$807,B316,$D$2:$D$807,D316),1)</f>
      </c>
    </row>
    <row r="317">
      <c r="A317" t="s">
        <v>263</v>
      </c>
      <c r="B317" s="79" t="n">
        <v>2028</v>
      </c>
      <c r="C317" t="s">
        <v>259</v>
      </c>
      <c r="D317" s="80" t="s">
        <v>409</v>
      </c>
      <c r="E317" s="81" t="s">
        <v>410</v>
      </c>
      <c r="F317" s="82" t="s">
        <v>262</v>
      </c>
      <c r="G317" s="83" t="s">
        <v>395</v>
      </c>
      <c r="H317" s="84" t="s">
        <v>386</v>
      </c>
      <c r="I317" s="85" t="n">
        <v>1</v>
      </c>
      <c r="J317" s="86" t="n">
        <v>1</v>
      </c>
      <c r="K317" s="87" t="n">
        <v>0.0077</v>
      </c>
      <c r="L317" s="88" t="n">
        <v>294314895.305465</v>
      </c>
      <c r="M317" s="89" t="n">
        <v>294314895.305465</v>
      </c>
      <c r="N317" s="90" t="str">
        <f>MIN(MAX((B317-'Calculation_Assumptions'!$B$5+1)/'Calculation_Assumptions'!$B$7,0),1)</f>
      </c>
      <c r="O317" s="91" t="str">
        <f>L317*I317</f>
      </c>
      <c r="P317" s="92" t="str">
        <f>M317*I317</f>
      </c>
      <c r="Q317" s="93" t="str">
        <f>P317*'Calculation_Assumptions'!$B$14*J317*K317</f>
      </c>
      <c r="R317" s="94" t="str">
        <f>O317*N317*J317*K317</f>
      </c>
      <c r="S317" s="95" t="str">
        <f>R317-Q317</f>
      </c>
      <c r="T317" s="96" t="str">
        <f>1/(1+'Calculation_Assumptions'!$B$8)^(B317-'Calculation_Assumptions'!$B$2)</f>
      </c>
      <c r="U317" s="97" t="str">
        <f>Q317*T317</f>
      </c>
      <c r="V317" s="98" t="str">
        <f>R317*T317</f>
      </c>
      <c r="W317" s="99" t="str">
        <f>S317*T317</f>
      </c>
      <c r="X317" t="n">
        <v>0</v>
      </c>
      <c r="Y317" s="100" t="n">
        <v>2017</v>
      </c>
      <c r="Z317" t="s">
        <v>389</v>
      </c>
      <c r="AA317" s="101" t="str">
        <f>IF(G317="shared-count-once",COUNTIFS($A$2:$A$807,A317,$B$2:$B$807,B317,$D$2:$D$807,D317),1)</f>
      </c>
    </row>
    <row r="318">
      <c r="A318" t="s">
        <v>263</v>
      </c>
      <c r="B318" s="79" t="n">
        <v>2029</v>
      </c>
      <c r="C318" t="s">
        <v>259</v>
      </c>
      <c r="D318" s="80" t="s">
        <v>409</v>
      </c>
      <c r="E318" s="81" t="s">
        <v>410</v>
      </c>
      <c r="F318" s="82" t="s">
        <v>262</v>
      </c>
      <c r="G318" s="83" t="s">
        <v>395</v>
      </c>
      <c r="H318" s="84" t="s">
        <v>386</v>
      </c>
      <c r="I318" s="85" t="n">
        <v>1</v>
      </c>
      <c r="J318" s="86" t="n">
        <v>1</v>
      </c>
      <c r="K318" s="87" t="n">
        <v>0.0077</v>
      </c>
      <c r="L318" s="88" t="n">
        <v>296341245.393897</v>
      </c>
      <c r="M318" s="89" t="n">
        <v>296341062.542853</v>
      </c>
      <c r="N318" s="90" t="str">
        <f>MIN(MAX((B318-'Calculation_Assumptions'!$B$5+1)/'Calculation_Assumptions'!$B$7,0),1)</f>
      </c>
      <c r="O318" s="91" t="str">
        <f>L318*I318</f>
      </c>
      <c r="P318" s="92" t="str">
        <f>M318*I318</f>
      </c>
      <c r="Q318" s="93" t="str">
        <f>P318*'Calculation_Assumptions'!$B$14*J318*K318</f>
      </c>
      <c r="R318" s="94" t="str">
        <f>O318*N318*J318*K318</f>
      </c>
      <c r="S318" s="95" t="str">
        <f>R318-Q318</f>
      </c>
      <c r="T318" s="96" t="str">
        <f>1/(1+'Calculation_Assumptions'!$B$8)^(B318-'Calculation_Assumptions'!$B$2)</f>
      </c>
      <c r="U318" s="97" t="str">
        <f>Q318*T318</f>
      </c>
      <c r="V318" s="98" t="str">
        <f>R318*T318</f>
      </c>
      <c r="W318" s="99" t="str">
        <f>S318*T318</f>
      </c>
      <c r="X318" t="n">
        <v>0</v>
      </c>
      <c r="Y318" s="100" t="n">
        <v>2017</v>
      </c>
      <c r="Z318" t="s">
        <v>389</v>
      </c>
      <c r="AA318" s="101" t="str">
        <f>IF(G318="shared-count-once",COUNTIFS($A$2:$A$807,A318,$B$2:$B$807,B318,$D$2:$D$807,D318),1)</f>
      </c>
    </row>
    <row r="319">
      <c r="A319" t="s">
        <v>263</v>
      </c>
      <c r="B319" s="79" t="n">
        <v>2030</v>
      </c>
      <c r="C319" t="s">
        <v>259</v>
      </c>
      <c r="D319" s="80" t="s">
        <v>409</v>
      </c>
      <c r="E319" s="81" t="s">
        <v>410</v>
      </c>
      <c r="F319" s="82" t="s">
        <v>262</v>
      </c>
      <c r="G319" s="83" t="s">
        <v>395</v>
      </c>
      <c r="H319" s="84" t="s">
        <v>386</v>
      </c>
      <c r="I319" s="85" t="n">
        <v>1</v>
      </c>
      <c r="J319" s="86" t="n">
        <v>1</v>
      </c>
      <c r="K319" s="87" t="n">
        <v>0.0077</v>
      </c>
      <c r="L319" s="88" t="n">
        <v>298280952.043994</v>
      </c>
      <c r="M319" s="89" t="n">
        <v>298280286.057263</v>
      </c>
      <c r="N319" s="90" t="str">
        <f>MIN(MAX((B319-'Calculation_Assumptions'!$B$5+1)/'Calculation_Assumptions'!$B$7,0),1)</f>
      </c>
      <c r="O319" s="91" t="str">
        <f>L319*I319</f>
      </c>
      <c r="P319" s="92" t="str">
        <f>M319*I319</f>
      </c>
      <c r="Q319" s="93" t="str">
        <f>P319*'Calculation_Assumptions'!$B$14*J319*K319</f>
      </c>
      <c r="R319" s="94" t="str">
        <f>O319*N319*J319*K319</f>
      </c>
      <c r="S319" s="95" t="str">
        <f>R319-Q319</f>
      </c>
      <c r="T319" s="96" t="str">
        <f>1/(1+'Calculation_Assumptions'!$B$8)^(B319-'Calculation_Assumptions'!$B$2)</f>
      </c>
      <c r="U319" s="97" t="str">
        <f>Q319*T319</f>
      </c>
      <c r="V319" s="98" t="str">
        <f>R319*T319</f>
      </c>
      <c r="W319" s="99" t="str">
        <f>S319*T319</f>
      </c>
      <c r="X319" t="n">
        <v>0</v>
      </c>
      <c r="Y319" s="100" t="n">
        <v>2017</v>
      </c>
      <c r="Z319" t="s">
        <v>389</v>
      </c>
      <c r="AA319" s="101" t="str">
        <f>IF(G319="shared-count-once",COUNTIFS($A$2:$A$807,A319,$B$2:$B$807,B319,$D$2:$D$807,D319),1)</f>
      </c>
    </row>
    <row r="320">
      <c r="A320" t="s">
        <v>263</v>
      </c>
      <c r="B320" s="79" t="n">
        <v>2031</v>
      </c>
      <c r="C320" t="s">
        <v>259</v>
      </c>
      <c r="D320" s="80" t="s">
        <v>409</v>
      </c>
      <c r="E320" s="81" t="s">
        <v>410</v>
      </c>
      <c r="F320" s="82" t="s">
        <v>262</v>
      </c>
      <c r="G320" s="83" t="s">
        <v>395</v>
      </c>
      <c r="H320" s="84" t="s">
        <v>386</v>
      </c>
      <c r="I320" s="85" t="n">
        <v>1</v>
      </c>
      <c r="J320" s="86" t="n">
        <v>1</v>
      </c>
      <c r="K320" s="87" t="n">
        <v>0.0077</v>
      </c>
      <c r="L320" s="88" t="n">
        <v>300154142.159223</v>
      </c>
      <c r="M320" s="89" t="n">
        <v>300152603.254782</v>
      </c>
      <c r="N320" s="90" t="str">
        <f>MIN(MAX((B320-'Calculation_Assumptions'!$B$5+1)/'Calculation_Assumptions'!$B$7,0),1)</f>
      </c>
      <c r="O320" s="91" t="str">
        <f>L320*I320</f>
      </c>
      <c r="P320" s="92" t="str">
        <f>M320*I320</f>
      </c>
      <c r="Q320" s="93" t="str">
        <f>P320*'Calculation_Assumptions'!$B$14*J320*K320</f>
      </c>
      <c r="R320" s="94" t="str">
        <f>O320*N320*J320*K320</f>
      </c>
      <c r="S320" s="95" t="str">
        <f>R320-Q320</f>
      </c>
      <c r="T320" s="96" t="str">
        <f>1/(1+'Calculation_Assumptions'!$B$8)^(B320-'Calculation_Assumptions'!$B$2)</f>
      </c>
      <c r="U320" s="97" t="str">
        <f>Q320*T320</f>
      </c>
      <c r="V320" s="98" t="str">
        <f>R320*T320</f>
      </c>
      <c r="W320" s="99" t="str">
        <f>S320*T320</f>
      </c>
      <c r="X320" t="n">
        <v>0</v>
      </c>
      <c r="Y320" s="100" t="n">
        <v>2017</v>
      </c>
      <c r="Z320" t="s">
        <v>389</v>
      </c>
      <c r="AA320" s="101" t="str">
        <f>IF(G320="shared-count-once",COUNTIFS($A$2:$A$807,A320,$B$2:$B$807,B320,$D$2:$D$807,D320),1)</f>
      </c>
    </row>
    <row r="321">
      <c r="A321" t="s">
        <v>263</v>
      </c>
      <c r="B321" s="79" t="n">
        <v>2032</v>
      </c>
      <c r="C321" t="s">
        <v>259</v>
      </c>
      <c r="D321" s="80" t="s">
        <v>409</v>
      </c>
      <c r="E321" s="81" t="s">
        <v>410</v>
      </c>
      <c r="F321" s="82" t="s">
        <v>262</v>
      </c>
      <c r="G321" s="83" t="s">
        <v>395</v>
      </c>
      <c r="H321" s="84" t="s">
        <v>386</v>
      </c>
      <c r="I321" s="85" t="n">
        <v>1</v>
      </c>
      <c r="J321" s="86" t="n">
        <v>1</v>
      </c>
      <c r="K321" s="87" t="n">
        <v>0.0077</v>
      </c>
      <c r="L321" s="88" t="n">
        <v>301962269.72229</v>
      </c>
      <c r="M321" s="89" t="n">
        <v>301959399.633888</v>
      </c>
      <c r="N321" s="90" t="str">
        <f>MIN(MAX((B321-'Calculation_Assumptions'!$B$5+1)/'Calculation_Assumptions'!$B$7,0),1)</f>
      </c>
      <c r="O321" s="91" t="str">
        <f>L321*I321</f>
      </c>
      <c r="P321" s="92" t="str">
        <f>M321*I321</f>
      </c>
      <c r="Q321" s="93" t="str">
        <f>P321*'Calculation_Assumptions'!$B$14*J321*K321</f>
      </c>
      <c r="R321" s="94" t="str">
        <f>O321*N321*J321*K321</f>
      </c>
      <c r="S321" s="95" t="str">
        <f>R321-Q321</f>
      </c>
      <c r="T321" s="96" t="str">
        <f>1/(1+'Calculation_Assumptions'!$B$8)^(B321-'Calculation_Assumptions'!$B$2)</f>
      </c>
      <c r="U321" s="97" t="str">
        <f>Q321*T321</f>
      </c>
      <c r="V321" s="98" t="str">
        <f>R321*T321</f>
      </c>
      <c r="W321" s="99" t="str">
        <f>S321*T321</f>
      </c>
      <c r="X321" t="n">
        <v>0</v>
      </c>
      <c r="Y321" s="100" t="n">
        <v>2017</v>
      </c>
      <c r="Z321" t="s">
        <v>389</v>
      </c>
      <c r="AA321" s="101" t="str">
        <f>IF(G321="shared-count-once",COUNTIFS($A$2:$A$807,A321,$B$2:$B$807,B321,$D$2:$D$807,D321),1)</f>
      </c>
    </row>
    <row r="322">
      <c r="A322" t="s">
        <v>263</v>
      </c>
      <c r="B322" s="79" t="n">
        <v>2033</v>
      </c>
      <c r="C322" t="s">
        <v>259</v>
      </c>
      <c r="D322" s="80" t="s">
        <v>409</v>
      </c>
      <c r="E322" s="81" t="s">
        <v>410</v>
      </c>
      <c r="F322" s="82" t="s">
        <v>262</v>
      </c>
      <c r="G322" s="83" t="s">
        <v>395</v>
      </c>
      <c r="H322" s="84" t="s">
        <v>386</v>
      </c>
      <c r="I322" s="85" t="n">
        <v>1</v>
      </c>
      <c r="J322" s="86" t="n">
        <v>1</v>
      </c>
      <c r="K322" s="87" t="n">
        <v>0.0077</v>
      </c>
      <c r="L322" s="88" t="n">
        <v>303705748.865937</v>
      </c>
      <c r="M322" s="89" t="n">
        <v>303701035.202051</v>
      </c>
      <c r="N322" s="90" t="str">
        <f>MIN(MAX((B322-'Calculation_Assumptions'!$B$5+1)/'Calculation_Assumptions'!$B$7,0),1)</f>
      </c>
      <c r="O322" s="91" t="str">
        <f>L322*I322</f>
      </c>
      <c r="P322" s="92" t="str">
        <f>M322*I322</f>
      </c>
      <c r="Q322" s="93" t="str">
        <f>P322*'Calculation_Assumptions'!$B$14*J322*K322</f>
      </c>
      <c r="R322" s="94" t="str">
        <f>O322*N322*J322*K322</f>
      </c>
      <c r="S322" s="95" t="str">
        <f>R322-Q322</f>
      </c>
      <c r="T322" s="96" t="str">
        <f>1/(1+'Calculation_Assumptions'!$B$8)^(B322-'Calculation_Assumptions'!$B$2)</f>
      </c>
      <c r="U322" s="97" t="str">
        <f>Q322*T322</f>
      </c>
      <c r="V322" s="98" t="str">
        <f>R322*T322</f>
      </c>
      <c r="W322" s="99" t="str">
        <f>S322*T322</f>
      </c>
      <c r="X322" t="n">
        <v>0</v>
      </c>
      <c r="Y322" s="100" t="n">
        <v>2017</v>
      </c>
      <c r="Z322" t="s">
        <v>389</v>
      </c>
      <c r="AA322" s="101" t="str">
        <f>IF(G322="shared-count-once",COUNTIFS($A$2:$A$807,A322,$B$2:$B$807,B322,$D$2:$D$807,D322),1)</f>
      </c>
    </row>
    <row r="323">
      <c r="A323" t="s">
        <v>263</v>
      </c>
      <c r="B323" s="79" t="n">
        <v>2034</v>
      </c>
      <c r="C323" t="s">
        <v>259</v>
      </c>
      <c r="D323" s="80" t="s">
        <v>409</v>
      </c>
      <c r="E323" s="81" t="s">
        <v>410</v>
      </c>
      <c r="F323" s="82" t="s">
        <v>262</v>
      </c>
      <c r="G323" s="83" t="s">
        <v>395</v>
      </c>
      <c r="H323" s="84" t="s">
        <v>386</v>
      </c>
      <c r="I323" s="85" t="n">
        <v>1</v>
      </c>
      <c r="J323" s="86" t="n">
        <v>1</v>
      </c>
      <c r="K323" s="87" t="n">
        <v>0.0077</v>
      </c>
      <c r="L323" s="88" t="n">
        <v>305295013.817194</v>
      </c>
      <c r="M323" s="89" t="n">
        <v>305377998.093319</v>
      </c>
      <c r="N323" s="90" t="str">
        <f>MIN(MAX((B323-'Calculation_Assumptions'!$B$5+1)/'Calculation_Assumptions'!$B$7,0),1)</f>
      </c>
      <c r="O323" s="91" t="str">
        <f>L323*I323</f>
      </c>
      <c r="P323" s="92" t="str">
        <f>M323*I323</f>
      </c>
      <c r="Q323" s="93" t="str">
        <f>P323*'Calculation_Assumptions'!$B$14*J323*K323</f>
      </c>
      <c r="R323" s="94" t="str">
        <f>O323*N323*J323*K323</f>
      </c>
      <c r="S323" s="95" t="str">
        <f>R323-Q323</f>
      </c>
      <c r="T323" s="96" t="str">
        <f>1/(1+'Calculation_Assumptions'!$B$8)^(B323-'Calculation_Assumptions'!$B$2)</f>
      </c>
      <c r="U323" s="97" t="str">
        <f>Q323*T323</f>
      </c>
      <c r="V323" s="98" t="str">
        <f>R323*T323</f>
      </c>
      <c r="W323" s="99" t="str">
        <f>S323*T323</f>
      </c>
      <c r="X323" t="n">
        <v>0</v>
      </c>
      <c r="Y323" s="100" t="n">
        <v>2017</v>
      </c>
      <c r="Z323" t="s">
        <v>389</v>
      </c>
      <c r="AA323" s="101" t="str">
        <f>IF(G323="shared-count-once",COUNTIFS($A$2:$A$807,A323,$B$2:$B$807,B323,$D$2:$D$807,D323),1)</f>
      </c>
    </row>
    <row r="324">
      <c r="A324" t="s">
        <v>263</v>
      </c>
      <c r="B324" s="79" t="n">
        <v>2035</v>
      </c>
      <c r="C324" t="s">
        <v>259</v>
      </c>
      <c r="D324" s="80" t="s">
        <v>409</v>
      </c>
      <c r="E324" s="81" t="s">
        <v>410</v>
      </c>
      <c r="F324" s="82" t="s">
        <v>262</v>
      </c>
      <c r="G324" s="83" t="s">
        <v>395</v>
      </c>
      <c r="H324" s="84" t="s">
        <v>386</v>
      </c>
      <c r="I324" s="85" t="n">
        <v>1</v>
      </c>
      <c r="J324" s="86" t="n">
        <v>1</v>
      </c>
      <c r="K324" s="87" t="n">
        <v>0.0077</v>
      </c>
      <c r="L324" s="88" t="n">
        <v>306900803.866169</v>
      </c>
      <c r="M324" s="89" t="n">
        <v>306989258.29407</v>
      </c>
      <c r="N324" s="90" t="str">
        <f>MIN(MAX((B324-'Calculation_Assumptions'!$B$5+1)/'Calculation_Assumptions'!$B$7,0),1)</f>
      </c>
      <c r="O324" s="91" t="str">
        <f>L324*I324</f>
      </c>
      <c r="P324" s="92" t="str">
        <f>M324*I324</f>
      </c>
      <c r="Q324" s="93" t="str">
        <f>P324*'Calculation_Assumptions'!$B$14*J324*K324</f>
      </c>
      <c r="R324" s="94" t="str">
        <f>O324*N324*J324*K324</f>
      </c>
      <c r="S324" s="95" t="str">
        <f>R324-Q324</f>
      </c>
      <c r="T324" s="96" t="str">
        <f>1/(1+'Calculation_Assumptions'!$B$8)^(B324-'Calculation_Assumptions'!$B$2)</f>
      </c>
      <c r="U324" s="97" t="str">
        <f>Q324*T324</f>
      </c>
      <c r="V324" s="98" t="str">
        <f>R324*T324</f>
      </c>
      <c r="W324" s="99" t="str">
        <f>S324*T324</f>
      </c>
      <c r="X324" t="n">
        <v>0</v>
      </c>
      <c r="Y324" s="100" t="n">
        <v>2017</v>
      </c>
      <c r="Z324" t="s">
        <v>389</v>
      </c>
      <c r="AA324" s="101" t="str">
        <f>IF(G324="shared-count-once",COUNTIFS($A$2:$A$807,A324,$B$2:$B$807,B324,$D$2:$D$807,D324),1)</f>
      </c>
    </row>
    <row r="325">
      <c r="A325" t="s">
        <v>263</v>
      </c>
      <c r="B325" s="79" t="n">
        <v>2036</v>
      </c>
      <c r="C325" t="s">
        <v>259</v>
      </c>
      <c r="D325" s="80" t="s">
        <v>409</v>
      </c>
      <c r="E325" s="81" t="s">
        <v>410</v>
      </c>
      <c r="F325" s="82" t="s">
        <v>262</v>
      </c>
      <c r="G325" s="83" t="s">
        <v>395</v>
      </c>
      <c r="H325" s="84" t="s">
        <v>386</v>
      </c>
      <c r="I325" s="85" t="n">
        <v>1</v>
      </c>
      <c r="J325" s="86" t="n">
        <v>1</v>
      </c>
      <c r="K325" s="87" t="n">
        <v>0.0077</v>
      </c>
      <c r="L325" s="88" t="n">
        <v>308444396.270037</v>
      </c>
      <c r="M325" s="89" t="n">
        <v>308537399.672094</v>
      </c>
      <c r="N325" s="90" t="str">
        <f>MIN(MAX((B325-'Calculation_Assumptions'!$B$5+1)/'Calculation_Assumptions'!$B$7,0),1)</f>
      </c>
      <c r="O325" s="91" t="str">
        <f>L325*I325</f>
      </c>
      <c r="P325" s="92" t="str">
        <f>M325*I325</f>
      </c>
      <c r="Q325" s="93" t="str">
        <f>P325*'Calculation_Assumptions'!$B$14*J325*K325</f>
      </c>
      <c r="R325" s="94" t="str">
        <f>O325*N325*J325*K325</f>
      </c>
      <c r="S325" s="95" t="str">
        <f>R325-Q325</f>
      </c>
      <c r="T325" s="96" t="str">
        <f>1/(1+'Calculation_Assumptions'!$B$8)^(B325-'Calculation_Assumptions'!$B$2)</f>
      </c>
      <c r="U325" s="97" t="str">
        <f>Q325*T325</f>
      </c>
      <c r="V325" s="98" t="str">
        <f>R325*T325</f>
      </c>
      <c r="W325" s="99" t="str">
        <f>S325*T325</f>
      </c>
      <c r="X325" t="n">
        <v>0</v>
      </c>
      <c r="Y325" s="100" t="n">
        <v>2017</v>
      </c>
      <c r="Z325" t="s">
        <v>389</v>
      </c>
      <c r="AA325" s="101" t="str">
        <f>IF(G325="shared-count-once",COUNTIFS($A$2:$A$807,A325,$B$2:$B$807,B325,$D$2:$D$807,D325),1)</f>
      </c>
    </row>
    <row r="326">
      <c r="A326" t="s">
        <v>263</v>
      </c>
      <c r="B326" s="79" t="n">
        <v>2037</v>
      </c>
      <c r="C326" t="s">
        <v>259</v>
      </c>
      <c r="D326" s="80" t="s">
        <v>409</v>
      </c>
      <c r="E326" s="81" t="s">
        <v>410</v>
      </c>
      <c r="F326" s="82" t="s">
        <v>262</v>
      </c>
      <c r="G326" s="83" t="s">
        <v>395</v>
      </c>
      <c r="H326" s="84" t="s">
        <v>386</v>
      </c>
      <c r="I326" s="85" t="n">
        <v>1</v>
      </c>
      <c r="J326" s="86" t="n">
        <v>1</v>
      </c>
      <c r="K326" s="87" t="n">
        <v>0.0077</v>
      </c>
      <c r="L326" s="88" t="n">
        <v>309926586.801066</v>
      </c>
      <c r="M326" s="89" t="n">
        <v>310023120.393472</v>
      </c>
      <c r="N326" s="90" t="str">
        <f>MIN(MAX((B326-'Calculation_Assumptions'!$B$5+1)/'Calculation_Assumptions'!$B$7,0),1)</f>
      </c>
      <c r="O326" s="91" t="str">
        <f>L326*I326</f>
      </c>
      <c r="P326" s="92" t="str">
        <f>M326*I326</f>
      </c>
      <c r="Q326" s="93" t="str">
        <f>P326*'Calculation_Assumptions'!$B$14*J326*K326</f>
      </c>
      <c r="R326" s="94" t="str">
        <f>O326*N326*J326*K326</f>
      </c>
      <c r="S326" s="95" t="str">
        <f>R326-Q326</f>
      </c>
      <c r="T326" s="96" t="str">
        <f>1/(1+'Calculation_Assumptions'!$B$8)^(B326-'Calculation_Assumptions'!$B$2)</f>
      </c>
      <c r="U326" s="97" t="str">
        <f>Q326*T326</f>
      </c>
      <c r="V326" s="98" t="str">
        <f>R326*T326</f>
      </c>
      <c r="W326" s="99" t="str">
        <f>S326*T326</f>
      </c>
      <c r="X326" t="n">
        <v>0</v>
      </c>
      <c r="Y326" s="100" t="n">
        <v>2017</v>
      </c>
      <c r="Z326" t="s">
        <v>389</v>
      </c>
      <c r="AA326" s="101" t="str">
        <f>IF(G326="shared-count-once",COUNTIFS($A$2:$A$807,A326,$B$2:$B$807,B326,$D$2:$D$807,D326),1)</f>
      </c>
    </row>
    <row r="327">
      <c r="A327" t="s">
        <v>263</v>
      </c>
      <c r="B327" s="79" t="n">
        <v>2038</v>
      </c>
      <c r="C327" t="s">
        <v>259</v>
      </c>
      <c r="D327" s="80" t="s">
        <v>409</v>
      </c>
      <c r="E327" s="81" t="s">
        <v>410</v>
      </c>
      <c r="F327" s="82" t="s">
        <v>262</v>
      </c>
      <c r="G327" s="83" t="s">
        <v>395</v>
      </c>
      <c r="H327" s="84" t="s">
        <v>386</v>
      </c>
      <c r="I327" s="85" t="n">
        <v>1</v>
      </c>
      <c r="J327" s="86" t="n">
        <v>1</v>
      </c>
      <c r="K327" s="87" t="n">
        <v>0.0077</v>
      </c>
      <c r="L327" s="88" t="n">
        <v>311347459.096139</v>
      </c>
      <c r="M327" s="89" t="n">
        <v>311445837.134625</v>
      </c>
      <c r="N327" s="90" t="str">
        <f>MIN(MAX((B327-'Calculation_Assumptions'!$B$5+1)/'Calculation_Assumptions'!$B$7,0),1)</f>
      </c>
      <c r="O327" s="91" t="str">
        <f>L327*I327</f>
      </c>
      <c r="P327" s="92" t="str">
        <f>M327*I327</f>
      </c>
      <c r="Q327" s="93" t="str">
        <f>P327*'Calculation_Assumptions'!$B$14*J327*K327</f>
      </c>
      <c r="R327" s="94" t="str">
        <f>O327*N327*J327*K327</f>
      </c>
      <c r="S327" s="95" t="str">
        <f>R327-Q327</f>
      </c>
      <c r="T327" s="96" t="str">
        <f>1/(1+'Calculation_Assumptions'!$B$8)^(B327-'Calculation_Assumptions'!$B$2)</f>
      </c>
      <c r="U327" s="97" t="str">
        <f>Q327*T327</f>
      </c>
      <c r="V327" s="98" t="str">
        <f>R327*T327</f>
      </c>
      <c r="W327" s="99" t="str">
        <f>S327*T327</f>
      </c>
      <c r="X327" t="n">
        <v>0</v>
      </c>
      <c r="Y327" s="100" t="n">
        <v>2017</v>
      </c>
      <c r="Z327" t="s">
        <v>389</v>
      </c>
      <c r="AA327" s="101" t="str">
        <f>IF(G327="shared-count-once",COUNTIFS($A$2:$A$807,A327,$B$2:$B$807,B327,$D$2:$D$807,D327),1)</f>
      </c>
    </row>
    <row r="328">
      <c r="A328" t="s">
        <v>263</v>
      </c>
      <c r="B328" s="79" t="n">
        <v>2039</v>
      </c>
      <c r="C328" t="s">
        <v>259</v>
      </c>
      <c r="D328" s="80" t="s">
        <v>409</v>
      </c>
      <c r="E328" s="81" t="s">
        <v>410</v>
      </c>
      <c r="F328" s="82" t="s">
        <v>262</v>
      </c>
      <c r="G328" s="83" t="s">
        <v>395</v>
      </c>
      <c r="H328" s="84" t="s">
        <v>386</v>
      </c>
      <c r="I328" s="85" t="n">
        <v>1</v>
      </c>
      <c r="J328" s="86" t="n">
        <v>1</v>
      </c>
      <c r="K328" s="87" t="n">
        <v>0.0077</v>
      </c>
      <c r="L328" s="88" t="n">
        <v>312708287.385599</v>
      </c>
      <c r="M328" s="89" t="n">
        <v>312806989.715685</v>
      </c>
      <c r="N328" s="90" t="str">
        <f>MIN(MAX((B328-'Calculation_Assumptions'!$B$5+1)/'Calculation_Assumptions'!$B$7,0),1)</f>
      </c>
      <c r="O328" s="91" t="str">
        <f>L328*I328</f>
      </c>
      <c r="P328" s="92" t="str">
        <f>M328*I328</f>
      </c>
      <c r="Q328" s="93" t="str">
        <f>P328*'Calculation_Assumptions'!$B$14*J328*K328</f>
      </c>
      <c r="R328" s="94" t="str">
        <f>O328*N328*J328*K328</f>
      </c>
      <c r="S328" s="95" t="str">
        <f>R328-Q328</f>
      </c>
      <c r="T328" s="96" t="str">
        <f>1/(1+'Calculation_Assumptions'!$B$8)^(B328-'Calculation_Assumptions'!$B$2)</f>
      </c>
      <c r="U328" s="97" t="str">
        <f>Q328*T328</f>
      </c>
      <c r="V328" s="98" t="str">
        <f>R328*T328</f>
      </c>
      <c r="W328" s="99" t="str">
        <f>S328*T328</f>
      </c>
      <c r="X328" t="n">
        <v>0</v>
      </c>
      <c r="Y328" s="100" t="n">
        <v>2017</v>
      </c>
      <c r="Z328" t="s">
        <v>389</v>
      </c>
      <c r="AA328" s="101" t="str">
        <f>IF(G328="shared-count-once",COUNTIFS($A$2:$A$807,A328,$B$2:$B$807,B328,$D$2:$D$807,D328),1)</f>
      </c>
    </row>
    <row r="329">
      <c r="A329" t="s">
        <v>263</v>
      </c>
      <c r="B329" s="79" t="n">
        <v>2040</v>
      </c>
      <c r="C329" t="s">
        <v>259</v>
      </c>
      <c r="D329" s="80" t="s">
        <v>409</v>
      </c>
      <c r="E329" s="81" t="s">
        <v>410</v>
      </c>
      <c r="F329" s="82" t="s">
        <v>262</v>
      </c>
      <c r="G329" s="83" t="s">
        <v>395</v>
      </c>
      <c r="H329" s="84" t="s">
        <v>386</v>
      </c>
      <c r="I329" s="85" t="n">
        <v>1</v>
      </c>
      <c r="J329" s="86" t="n">
        <v>1</v>
      </c>
      <c r="K329" s="87" t="n">
        <v>0.0077</v>
      </c>
      <c r="L329" s="88" t="n">
        <v>314011460.665522</v>
      </c>
      <c r="M329" s="89" t="n">
        <v>314109251.582649</v>
      </c>
      <c r="N329" s="90" t="str">
        <f>MIN(MAX((B329-'Calculation_Assumptions'!$B$5+1)/'Calculation_Assumptions'!$B$7,0),1)</f>
      </c>
      <c r="O329" s="91" t="str">
        <f>L329*I329</f>
      </c>
      <c r="P329" s="92" t="str">
        <f>M329*I329</f>
      </c>
      <c r="Q329" s="93" t="str">
        <f>P329*'Calculation_Assumptions'!$B$14*J329*K329</f>
      </c>
      <c r="R329" s="94" t="str">
        <f>O329*N329*J329*K329</f>
      </c>
      <c r="S329" s="95" t="str">
        <f>R329-Q329</f>
      </c>
      <c r="T329" s="96" t="str">
        <f>1/(1+'Calculation_Assumptions'!$B$8)^(B329-'Calculation_Assumptions'!$B$2)</f>
      </c>
      <c r="U329" s="97" t="str">
        <f>Q329*T329</f>
      </c>
      <c r="V329" s="98" t="str">
        <f>R329*T329</f>
      </c>
      <c r="W329" s="99" t="str">
        <f>S329*T329</f>
      </c>
      <c r="X329" t="n">
        <v>0</v>
      </c>
      <c r="Y329" s="100" t="n">
        <v>2017</v>
      </c>
      <c r="Z329" t="s">
        <v>389</v>
      </c>
      <c r="AA329" s="101" t="str">
        <f>IF(G329="shared-count-once",COUNTIFS($A$2:$A$807,A329,$B$2:$B$807,B329,$D$2:$D$807,D329),1)</f>
      </c>
    </row>
    <row r="330">
      <c r="A330" t="s">
        <v>263</v>
      </c>
      <c r="B330" s="79" t="n">
        <v>2041</v>
      </c>
      <c r="C330" t="s">
        <v>259</v>
      </c>
      <c r="D330" s="80" t="s">
        <v>409</v>
      </c>
      <c r="E330" s="81" t="s">
        <v>410</v>
      </c>
      <c r="F330" s="82" t="s">
        <v>262</v>
      </c>
      <c r="G330" s="83" t="s">
        <v>395</v>
      </c>
      <c r="H330" s="84" t="s">
        <v>386</v>
      </c>
      <c r="I330" s="85" t="n">
        <v>1</v>
      </c>
      <c r="J330" s="86" t="n">
        <v>1</v>
      </c>
      <c r="K330" s="87" t="n">
        <v>0.0077</v>
      </c>
      <c r="L330" s="88" t="n">
        <v>315255939.009039</v>
      </c>
      <c r="M330" s="89" t="n">
        <v>315352079.812423</v>
      </c>
      <c r="N330" s="90" t="str">
        <f>MIN(MAX((B330-'Calculation_Assumptions'!$B$5+1)/'Calculation_Assumptions'!$B$7,0),1)</f>
      </c>
      <c r="O330" s="91" t="str">
        <f>L330*I330</f>
      </c>
      <c r="P330" s="92" t="str">
        <f>M330*I330</f>
      </c>
      <c r="Q330" s="93" t="str">
        <f>P330*'Calculation_Assumptions'!$B$14*J330*K330</f>
      </c>
      <c r="R330" s="94" t="str">
        <f>O330*N330*J330*K330</f>
      </c>
      <c r="S330" s="95" t="str">
        <f>R330-Q330</f>
      </c>
      <c r="T330" s="96" t="str">
        <f>1/(1+'Calculation_Assumptions'!$B$8)^(B330-'Calculation_Assumptions'!$B$2)</f>
      </c>
      <c r="U330" s="97" t="str">
        <f>Q330*T330</f>
      </c>
      <c r="V330" s="98" t="str">
        <f>R330*T330</f>
      </c>
      <c r="W330" s="99" t="str">
        <f>S330*T330</f>
      </c>
      <c r="X330" t="n">
        <v>0</v>
      </c>
      <c r="Y330" s="100" t="n">
        <v>2017</v>
      </c>
      <c r="Z330" t="s">
        <v>389</v>
      </c>
      <c r="AA330" s="101" t="str">
        <f>IF(G330="shared-count-once",COUNTIFS($A$2:$A$807,A330,$B$2:$B$807,B330,$D$2:$D$807,D330),1)</f>
      </c>
    </row>
    <row r="331">
      <c r="A331" t="s">
        <v>263</v>
      </c>
      <c r="B331" s="79" t="n">
        <v>2042</v>
      </c>
      <c r="C331" t="s">
        <v>259</v>
      </c>
      <c r="D331" s="80" t="s">
        <v>409</v>
      </c>
      <c r="E331" s="81" t="s">
        <v>410</v>
      </c>
      <c r="F331" s="82" t="s">
        <v>262</v>
      </c>
      <c r="G331" s="83" t="s">
        <v>395</v>
      </c>
      <c r="H331" s="84" t="s">
        <v>386</v>
      </c>
      <c r="I331" s="85" t="n">
        <v>1</v>
      </c>
      <c r="J331" s="86" t="n">
        <v>1</v>
      </c>
      <c r="K331" s="87" t="n">
        <v>0.0077</v>
      </c>
      <c r="L331" s="88" t="n">
        <v>316442548.049483</v>
      </c>
      <c r="M331" s="89" t="n">
        <v>316395286.312016</v>
      </c>
      <c r="N331" s="90" t="str">
        <f>MIN(MAX((B331-'Calculation_Assumptions'!$B$5+1)/'Calculation_Assumptions'!$B$7,0),1)</f>
      </c>
      <c r="O331" s="91" t="str">
        <f>L331*I331</f>
      </c>
      <c r="P331" s="92" t="str">
        <f>M331*I331</f>
      </c>
      <c r="Q331" s="93" t="str">
        <f>P331*'Calculation_Assumptions'!$B$14*J331*K331</f>
      </c>
      <c r="R331" s="94" t="str">
        <f>O331*N331*J331*K331</f>
      </c>
      <c r="S331" s="95" t="str">
        <f>R331-Q331</f>
      </c>
      <c r="T331" s="96" t="str">
        <f>1/(1+'Calculation_Assumptions'!$B$8)^(B331-'Calculation_Assumptions'!$B$2)</f>
      </c>
      <c r="U331" s="97" t="str">
        <f>Q331*T331</f>
      </c>
      <c r="V331" s="98" t="str">
        <f>R331*T331</f>
      </c>
      <c r="W331" s="99" t="str">
        <f>S331*T331</f>
      </c>
      <c r="X331" t="n">
        <v>0</v>
      </c>
      <c r="Y331" s="100" t="n">
        <v>2017</v>
      </c>
      <c r="Z331" t="s">
        <v>389</v>
      </c>
      <c r="AA331" s="101" t="str">
        <f>IF(G331="shared-count-once",COUNTIFS($A$2:$A$807,A331,$B$2:$B$807,B331,$D$2:$D$807,D331),1)</f>
      </c>
    </row>
    <row r="332">
      <c r="A332" t="s">
        <v>263</v>
      </c>
      <c r="B332" s="79" t="n">
        <v>2043</v>
      </c>
      <c r="C332" t="s">
        <v>259</v>
      </c>
      <c r="D332" s="80" t="s">
        <v>409</v>
      </c>
      <c r="E332" s="81" t="s">
        <v>410</v>
      </c>
      <c r="F332" s="82" t="s">
        <v>262</v>
      </c>
      <c r="G332" s="83" t="s">
        <v>395</v>
      </c>
      <c r="H332" s="84" t="s">
        <v>386</v>
      </c>
      <c r="I332" s="85" t="n">
        <v>1</v>
      </c>
      <c r="J332" s="86" t="n">
        <v>1</v>
      </c>
      <c r="K332" s="87" t="n">
        <v>0.0077</v>
      </c>
      <c r="L332" s="88" t="n">
        <v>317675521.11352</v>
      </c>
      <c r="M332" s="89" t="n">
        <v>317619735.688289</v>
      </c>
      <c r="N332" s="90" t="str">
        <f>MIN(MAX((B332-'Calculation_Assumptions'!$B$5+1)/'Calculation_Assumptions'!$B$7,0),1)</f>
      </c>
      <c r="O332" s="91" t="str">
        <f>L332*I332</f>
      </c>
      <c r="P332" s="92" t="str">
        <f>M332*I332</f>
      </c>
      <c r="Q332" s="93" t="str">
        <f>P332*'Calculation_Assumptions'!$B$14*J332*K332</f>
      </c>
      <c r="R332" s="94" t="str">
        <f>O332*N332*J332*K332</f>
      </c>
      <c r="S332" s="95" t="str">
        <f>R332-Q332</f>
      </c>
      <c r="T332" s="96" t="str">
        <f>1/(1+'Calculation_Assumptions'!$B$8)^(B332-'Calculation_Assumptions'!$B$2)</f>
      </c>
      <c r="U332" s="97" t="str">
        <f>Q332*T332</f>
      </c>
      <c r="V332" s="98" t="str">
        <f>R332*T332</f>
      </c>
      <c r="W332" s="99" t="str">
        <f>S332*T332</f>
      </c>
      <c r="X332" t="n">
        <v>0</v>
      </c>
      <c r="Y332" s="100" t="n">
        <v>2017</v>
      </c>
      <c r="Z332" t="s">
        <v>389</v>
      </c>
      <c r="AA332" s="101" t="str">
        <f>IF(G332="shared-count-once",COUNTIFS($A$2:$A$807,A332,$B$2:$B$807,B332,$D$2:$D$807,D332),1)</f>
      </c>
    </row>
    <row r="333">
      <c r="A333" t="s">
        <v>263</v>
      </c>
      <c r="B333" s="79" t="n">
        <v>2044</v>
      </c>
      <c r="C333" t="s">
        <v>259</v>
      </c>
      <c r="D333" s="80" t="s">
        <v>409</v>
      </c>
      <c r="E333" s="81" t="s">
        <v>410</v>
      </c>
      <c r="F333" s="82" t="s">
        <v>262</v>
      </c>
      <c r="G333" s="83" t="s">
        <v>395</v>
      </c>
      <c r="H333" s="84" t="s">
        <v>386</v>
      </c>
      <c r="I333" s="85" t="n">
        <v>1</v>
      </c>
      <c r="J333" s="86" t="n">
        <v>1</v>
      </c>
      <c r="K333" s="87" t="n">
        <v>0.0077</v>
      </c>
      <c r="L333" s="88" t="n">
        <v>318610711.832783</v>
      </c>
      <c r="M333" s="89" t="n">
        <v>318697135.863652</v>
      </c>
      <c r="N333" s="90" t="str">
        <f>MIN(MAX((B333-'Calculation_Assumptions'!$B$5+1)/'Calculation_Assumptions'!$B$7,0),1)</f>
      </c>
      <c r="O333" s="91" t="str">
        <f>L333*I333</f>
      </c>
      <c r="P333" s="92" t="str">
        <f>M333*I333</f>
      </c>
      <c r="Q333" s="93" t="str">
        <f>P333*'Calculation_Assumptions'!$B$14*J333*K333</f>
      </c>
      <c r="R333" s="94" t="str">
        <f>O333*N333*J333*K333</f>
      </c>
      <c r="S333" s="95" t="str">
        <f>R333-Q333</f>
      </c>
      <c r="T333" s="96" t="str">
        <f>1/(1+'Calculation_Assumptions'!$B$8)^(B333-'Calculation_Assumptions'!$B$2)</f>
      </c>
      <c r="U333" s="97" t="str">
        <f>Q333*T333</f>
      </c>
      <c r="V333" s="98" t="str">
        <f>R333*T333</f>
      </c>
      <c r="W333" s="99" t="str">
        <f>S333*T333</f>
      </c>
      <c r="X333" t="n">
        <v>0</v>
      </c>
      <c r="Y333" s="100" t="n">
        <v>2017</v>
      </c>
      <c r="Z333" t="s">
        <v>389</v>
      </c>
      <c r="AA333" s="101" t="str">
        <f>IF(G333="shared-count-once",COUNTIFS($A$2:$A$807,A333,$B$2:$B$807,B333,$D$2:$D$807,D333),1)</f>
      </c>
    </row>
    <row r="334">
      <c r="A334" t="s">
        <v>263</v>
      </c>
      <c r="B334" s="79" t="n">
        <v>2045</v>
      </c>
      <c r="C334" t="s">
        <v>259</v>
      </c>
      <c r="D334" s="80" t="s">
        <v>409</v>
      </c>
      <c r="E334" s="81" t="s">
        <v>410</v>
      </c>
      <c r="F334" s="82" t="s">
        <v>262</v>
      </c>
      <c r="G334" s="83" t="s">
        <v>395</v>
      </c>
      <c r="H334" s="84" t="s">
        <v>386</v>
      </c>
      <c r="I334" s="85" t="n">
        <v>1</v>
      </c>
      <c r="J334" s="86" t="n">
        <v>1</v>
      </c>
      <c r="K334" s="87" t="n">
        <v>0.0077</v>
      </c>
      <c r="L334" s="88" t="n">
        <v>319635225.224793</v>
      </c>
      <c r="M334" s="89" t="n">
        <v>319717840.85179</v>
      </c>
      <c r="N334" s="90" t="str">
        <f>MIN(MAX((B334-'Calculation_Assumptions'!$B$5+1)/'Calculation_Assumptions'!$B$7,0),1)</f>
      </c>
      <c r="O334" s="91" t="str">
        <f>L334*I334</f>
      </c>
      <c r="P334" s="92" t="str">
        <f>M334*I334</f>
      </c>
      <c r="Q334" s="93" t="str">
        <f>P334*'Calculation_Assumptions'!$B$14*J334*K334</f>
      </c>
      <c r="R334" s="94" t="str">
        <f>O334*N334*J334*K334</f>
      </c>
      <c r="S334" s="95" t="str">
        <f>R334-Q334</f>
      </c>
      <c r="T334" s="96" t="str">
        <f>1/(1+'Calculation_Assumptions'!$B$8)^(B334-'Calculation_Assumptions'!$B$2)</f>
      </c>
      <c r="U334" s="97" t="str">
        <f>Q334*T334</f>
      </c>
      <c r="V334" s="98" t="str">
        <f>R334*T334</f>
      </c>
      <c r="W334" s="99" t="str">
        <f>S334*T334</f>
      </c>
      <c r="X334" t="n">
        <v>0</v>
      </c>
      <c r="Y334" s="100" t="n">
        <v>2017</v>
      </c>
      <c r="Z334" t="s">
        <v>389</v>
      </c>
      <c r="AA334" s="101" t="str">
        <f>IF(G334="shared-count-once",COUNTIFS($A$2:$A$807,A334,$B$2:$B$807,B334,$D$2:$D$807,D334),1)</f>
      </c>
    </row>
    <row r="335">
      <c r="A335" t="s">
        <v>263</v>
      </c>
      <c r="B335" s="79" t="n">
        <v>2046</v>
      </c>
      <c r="C335" t="s">
        <v>259</v>
      </c>
      <c r="D335" s="80" t="s">
        <v>409</v>
      </c>
      <c r="E335" s="81" t="s">
        <v>410</v>
      </c>
      <c r="F335" s="82" t="s">
        <v>262</v>
      </c>
      <c r="G335" s="83" t="s">
        <v>395</v>
      </c>
      <c r="H335" s="84" t="s">
        <v>386</v>
      </c>
      <c r="I335" s="85" t="n">
        <v>1</v>
      </c>
      <c r="J335" s="86" t="n">
        <v>1</v>
      </c>
      <c r="K335" s="87" t="n">
        <v>0.0077</v>
      </c>
      <c r="L335" s="88" t="n">
        <v>320603577.023018</v>
      </c>
      <c r="M335" s="89" t="n">
        <v>320683879.806276</v>
      </c>
      <c r="N335" s="90" t="str">
        <f>MIN(MAX((B335-'Calculation_Assumptions'!$B$5+1)/'Calculation_Assumptions'!$B$7,0),1)</f>
      </c>
      <c r="O335" s="91" t="str">
        <f>L335*I335</f>
      </c>
      <c r="P335" s="92" t="str">
        <f>M335*I335</f>
      </c>
      <c r="Q335" s="93" t="str">
        <f>P335*'Calculation_Assumptions'!$B$14*J335*K335</f>
      </c>
      <c r="R335" s="94" t="str">
        <f>O335*N335*J335*K335</f>
      </c>
      <c r="S335" s="95" t="str">
        <f>R335-Q335</f>
      </c>
      <c r="T335" s="96" t="str">
        <f>1/(1+'Calculation_Assumptions'!$B$8)^(B335-'Calculation_Assumptions'!$B$2)</f>
      </c>
      <c r="U335" s="97" t="str">
        <f>Q335*T335</f>
      </c>
      <c r="V335" s="98" t="str">
        <f>R335*T335</f>
      </c>
      <c r="W335" s="99" t="str">
        <f>S335*T335</f>
      </c>
      <c r="X335" t="n">
        <v>0</v>
      </c>
      <c r="Y335" s="100" t="n">
        <v>2017</v>
      </c>
      <c r="Z335" t="s">
        <v>389</v>
      </c>
      <c r="AA335" s="101" t="str">
        <f>IF(G335="shared-count-once",COUNTIFS($A$2:$A$807,A335,$B$2:$B$807,B335,$D$2:$D$807,D335),1)</f>
      </c>
    </row>
    <row r="336">
      <c r="A336" t="s">
        <v>263</v>
      </c>
      <c r="B336" s="79" t="n">
        <v>2047</v>
      </c>
      <c r="C336" t="s">
        <v>259</v>
      </c>
      <c r="D336" s="80" t="s">
        <v>409</v>
      </c>
      <c r="E336" s="81" t="s">
        <v>410</v>
      </c>
      <c r="F336" s="82" t="s">
        <v>262</v>
      </c>
      <c r="G336" s="83" t="s">
        <v>395</v>
      </c>
      <c r="H336" s="84" t="s">
        <v>386</v>
      </c>
      <c r="I336" s="85" t="n">
        <v>1</v>
      </c>
      <c r="J336" s="86" t="n">
        <v>1</v>
      </c>
      <c r="K336" s="87" t="n">
        <v>0.0077</v>
      </c>
      <c r="L336" s="88" t="n">
        <v>321516743.905382</v>
      </c>
      <c r="M336" s="89" t="n">
        <v>321595541.389526</v>
      </c>
      <c r="N336" s="90" t="str">
        <f>MIN(MAX((B336-'Calculation_Assumptions'!$B$5+1)/'Calculation_Assumptions'!$B$7,0),1)</f>
      </c>
      <c r="O336" s="91" t="str">
        <f>L336*I336</f>
      </c>
      <c r="P336" s="92" t="str">
        <f>M336*I336</f>
      </c>
      <c r="Q336" s="93" t="str">
        <f>P336*'Calculation_Assumptions'!$B$14*J336*K336</f>
      </c>
      <c r="R336" s="94" t="str">
        <f>O336*N336*J336*K336</f>
      </c>
      <c r="S336" s="95" t="str">
        <f>R336-Q336</f>
      </c>
      <c r="T336" s="96" t="str">
        <f>1/(1+'Calculation_Assumptions'!$B$8)^(B336-'Calculation_Assumptions'!$B$2)</f>
      </c>
      <c r="U336" s="97" t="str">
        <f>Q336*T336</f>
      </c>
      <c r="V336" s="98" t="str">
        <f>R336*T336</f>
      </c>
      <c r="W336" s="99" t="str">
        <f>S336*T336</f>
      </c>
      <c r="X336" t="n">
        <v>0</v>
      </c>
      <c r="Y336" s="100" t="n">
        <v>2017</v>
      </c>
      <c r="Z336" t="s">
        <v>389</v>
      </c>
      <c r="AA336" s="101" t="str">
        <f>IF(G336="shared-count-once",COUNTIFS($A$2:$A$807,A336,$B$2:$B$807,B336,$D$2:$D$807,D336),1)</f>
      </c>
    </row>
    <row r="337">
      <c r="A337" t="s">
        <v>263</v>
      </c>
      <c r="B337" s="79" t="n">
        <v>2048</v>
      </c>
      <c r="C337" t="s">
        <v>259</v>
      </c>
      <c r="D337" s="80" t="s">
        <v>409</v>
      </c>
      <c r="E337" s="81" t="s">
        <v>410</v>
      </c>
      <c r="F337" s="82" t="s">
        <v>262</v>
      </c>
      <c r="G337" s="83" t="s">
        <v>395</v>
      </c>
      <c r="H337" s="84" t="s">
        <v>386</v>
      </c>
      <c r="I337" s="85" t="n">
        <v>1</v>
      </c>
      <c r="J337" s="86" t="n">
        <v>1</v>
      </c>
      <c r="K337" s="87" t="n">
        <v>0.0077</v>
      </c>
      <c r="L337" s="88" t="n">
        <v>322375773.875941</v>
      </c>
      <c r="M337" s="89" t="n">
        <v>322453622.669464</v>
      </c>
      <c r="N337" s="90" t="str">
        <f>MIN(MAX((B337-'Calculation_Assumptions'!$B$5+1)/'Calculation_Assumptions'!$B$7,0),1)</f>
      </c>
      <c r="O337" s="91" t="str">
        <f>L337*I337</f>
      </c>
      <c r="P337" s="92" t="str">
        <f>M337*I337</f>
      </c>
      <c r="Q337" s="93" t="str">
        <f>P337*'Calculation_Assumptions'!$B$14*J337*K337</f>
      </c>
      <c r="R337" s="94" t="str">
        <f>O337*N337*J337*K337</f>
      </c>
      <c r="S337" s="95" t="str">
        <f>R337-Q337</f>
      </c>
      <c r="T337" s="96" t="str">
        <f>1/(1+'Calculation_Assumptions'!$B$8)^(B337-'Calculation_Assumptions'!$B$2)</f>
      </c>
      <c r="U337" s="97" t="str">
        <f>Q337*T337</f>
      </c>
      <c r="V337" s="98" t="str">
        <f>R337*T337</f>
      </c>
      <c r="W337" s="99" t="str">
        <f>S337*T337</f>
      </c>
      <c r="X337" t="n">
        <v>0</v>
      </c>
      <c r="Y337" s="100" t="n">
        <v>2017</v>
      </c>
      <c r="Z337" t="s">
        <v>389</v>
      </c>
      <c r="AA337" s="101" t="str">
        <f>IF(G337="shared-count-once",COUNTIFS($A$2:$A$807,A337,$B$2:$B$807,B337,$D$2:$D$807,D337),1)</f>
      </c>
    </row>
    <row r="338">
      <c r="A338" t="s">
        <v>263</v>
      </c>
      <c r="B338" s="79" t="n">
        <v>2049</v>
      </c>
      <c r="C338" t="s">
        <v>259</v>
      </c>
      <c r="D338" s="80" t="s">
        <v>409</v>
      </c>
      <c r="E338" s="81" t="s">
        <v>410</v>
      </c>
      <c r="F338" s="82" t="s">
        <v>262</v>
      </c>
      <c r="G338" s="83" t="s">
        <v>395</v>
      </c>
      <c r="H338" s="84" t="s">
        <v>386</v>
      </c>
      <c r="I338" s="85" t="n">
        <v>1</v>
      </c>
      <c r="J338" s="86" t="n">
        <v>1</v>
      </c>
      <c r="K338" s="87" t="n">
        <v>0.0077</v>
      </c>
      <c r="L338" s="88" t="n">
        <v>323181873.579941</v>
      </c>
      <c r="M338" s="89" t="n">
        <v>323259246.716719</v>
      </c>
      <c r="N338" s="90" t="str">
        <f>MIN(MAX((B338-'Calculation_Assumptions'!$B$5+1)/'Calculation_Assumptions'!$B$7,0),1)</f>
      </c>
      <c r="O338" s="91" t="str">
        <f>L338*I338</f>
      </c>
      <c r="P338" s="92" t="str">
        <f>M338*I338</f>
      </c>
      <c r="Q338" s="93" t="str">
        <f>P338*'Calculation_Assumptions'!$B$14*J338*K338</f>
      </c>
      <c r="R338" s="94" t="str">
        <f>O338*N338*J338*K338</f>
      </c>
      <c r="S338" s="95" t="str">
        <f>R338-Q338</f>
      </c>
      <c r="T338" s="96" t="str">
        <f>1/(1+'Calculation_Assumptions'!$B$8)^(B338-'Calculation_Assumptions'!$B$2)</f>
      </c>
      <c r="U338" s="97" t="str">
        <f>Q338*T338</f>
      </c>
      <c r="V338" s="98" t="str">
        <f>R338*T338</f>
      </c>
      <c r="W338" s="99" t="str">
        <f>S338*T338</f>
      </c>
      <c r="X338" t="n">
        <v>0</v>
      </c>
      <c r="Y338" s="100" t="n">
        <v>2017</v>
      </c>
      <c r="Z338" t="s">
        <v>389</v>
      </c>
      <c r="AA338" s="101" t="str">
        <f>IF(G338="shared-count-once",COUNTIFS($A$2:$A$807,A338,$B$2:$B$807,B338,$D$2:$D$807,D338),1)</f>
      </c>
    </row>
    <row r="339">
      <c r="A339" t="s">
        <v>263</v>
      </c>
      <c r="B339" s="79" t="n">
        <v>2050</v>
      </c>
      <c r="C339" t="s">
        <v>259</v>
      </c>
      <c r="D339" s="80" t="s">
        <v>409</v>
      </c>
      <c r="E339" s="81" t="s">
        <v>410</v>
      </c>
      <c r="F339" s="82" t="s">
        <v>262</v>
      </c>
      <c r="G339" s="83" t="s">
        <v>395</v>
      </c>
      <c r="H339" s="84" t="s">
        <v>386</v>
      </c>
      <c r="I339" s="85" t="n">
        <v>1</v>
      </c>
      <c r="J339" s="86" t="n">
        <v>1</v>
      </c>
      <c r="K339" s="87" t="n">
        <v>0.0077</v>
      </c>
      <c r="L339" s="88" t="n">
        <v>323936452.30861</v>
      </c>
      <c r="M339" s="89" t="n">
        <v>324013738.182479</v>
      </c>
      <c r="N339" s="90" t="str">
        <f>MIN(MAX((B339-'Calculation_Assumptions'!$B$5+1)/'Calculation_Assumptions'!$B$7,0),1)</f>
      </c>
      <c r="O339" s="91" t="str">
        <f>L339*I339</f>
      </c>
      <c r="P339" s="92" t="str">
        <f>M339*I339</f>
      </c>
      <c r="Q339" s="93" t="str">
        <f>P339*'Calculation_Assumptions'!$B$14*J339*K339</f>
      </c>
      <c r="R339" s="94" t="str">
        <f>O339*N339*J339*K339</f>
      </c>
      <c r="S339" s="95" t="str">
        <f>R339-Q339</f>
      </c>
      <c r="T339" s="96" t="str">
        <f>1/(1+'Calculation_Assumptions'!$B$8)^(B339-'Calculation_Assumptions'!$B$2)</f>
      </c>
      <c r="U339" s="97" t="str">
        <f>Q339*T339</f>
      </c>
      <c r="V339" s="98" t="str">
        <f>R339*T339</f>
      </c>
      <c r="W339" s="99" t="str">
        <f>S339*T339</f>
      </c>
      <c r="X339" t="n">
        <v>0</v>
      </c>
      <c r="Y339" s="100" t="n">
        <v>2017</v>
      </c>
      <c r="Z339" t="s">
        <v>389</v>
      </c>
      <c r="AA339" s="101" t="str">
        <f>IF(G339="shared-count-once",COUNTIFS($A$2:$A$807,A339,$B$2:$B$807,B339,$D$2:$D$807,D339),1)</f>
      </c>
    </row>
    <row r="340">
      <c r="A340" t="s">
        <v>263</v>
      </c>
      <c r="B340" s="79" t="n">
        <v>2025</v>
      </c>
      <c r="C340" t="s">
        <v>267</v>
      </c>
      <c r="D340" s="80" t="s">
        <v>411</v>
      </c>
      <c r="E340" s="81" t="s">
        <v>412</v>
      </c>
      <c r="F340" s="82" t="s">
        <v>270</v>
      </c>
      <c r="G340" s="83" t="s">
        <v>395</v>
      </c>
      <c r="H340" s="84" t="s">
        <v>386</v>
      </c>
      <c r="I340" s="85" t="n">
        <v>1</v>
      </c>
      <c r="J340" s="86" t="n">
        <v>1</v>
      </c>
      <c r="K340" s="87" t="n">
        <v>0.0077</v>
      </c>
      <c r="L340" s="88" t="n">
        <v>288000821.106462</v>
      </c>
      <c r="M340" s="89" t="n">
        <v>288000821.106462</v>
      </c>
      <c r="N340" s="90" t="str">
        <f>MIN(MAX((B340-'Calculation_Assumptions'!$B$5+1)/'Calculation_Assumptions'!$B$7,0),1)</f>
      </c>
      <c r="O340" s="91" t="str">
        <f>L340*I340</f>
      </c>
      <c r="P340" s="92" t="str">
        <f>M340*I340</f>
      </c>
      <c r="Q340" s="93" t="str">
        <f>P340*'Calculation_Assumptions'!$B$14*J340*K340</f>
      </c>
      <c r="R340" s="94" t="str">
        <f>O340*N340*J340*K340</f>
      </c>
      <c r="S340" s="95" t="str">
        <f>R340-Q340</f>
      </c>
      <c r="T340" s="96" t="str">
        <f>1/(1+'Calculation_Assumptions'!$B$8)^(B340-'Calculation_Assumptions'!$B$2)</f>
      </c>
      <c r="U340" s="97" t="str">
        <f>Q340*T340</f>
      </c>
      <c r="V340" s="98" t="str">
        <f>R340*T340</f>
      </c>
      <c r="W340" s="99" t="str">
        <f>S340*T340</f>
      </c>
      <c r="X340" t="n">
        <v>0</v>
      </c>
      <c r="Y340" s="100" t="n">
        <v>2017</v>
      </c>
      <c r="Z340" t="s">
        <v>389</v>
      </c>
      <c r="AA340" s="101" t="str">
        <f>IF(G340="shared-count-once",COUNTIFS($A$2:$A$807,A340,$B$2:$B$807,B340,$D$2:$D$807,D340),1)</f>
      </c>
    </row>
    <row r="341">
      <c r="A341" t="s">
        <v>263</v>
      </c>
      <c r="B341" s="79" t="n">
        <v>2026</v>
      </c>
      <c r="C341" t="s">
        <v>267</v>
      </c>
      <c r="D341" s="80" t="s">
        <v>411</v>
      </c>
      <c r="E341" s="81" t="s">
        <v>412</v>
      </c>
      <c r="F341" s="82" t="s">
        <v>270</v>
      </c>
      <c r="G341" s="83" t="s">
        <v>395</v>
      </c>
      <c r="H341" s="84" t="s">
        <v>386</v>
      </c>
      <c r="I341" s="85" t="n">
        <v>1</v>
      </c>
      <c r="J341" s="86" t="n">
        <v>1</v>
      </c>
      <c r="K341" s="87" t="n">
        <v>0.0077</v>
      </c>
      <c r="L341" s="88" t="n">
        <v>290123496.103219</v>
      </c>
      <c r="M341" s="89" t="n">
        <v>290123496.103219</v>
      </c>
      <c r="N341" s="90" t="str">
        <f>MIN(MAX((B341-'Calculation_Assumptions'!$B$5+1)/'Calculation_Assumptions'!$B$7,0),1)</f>
      </c>
      <c r="O341" s="91" t="str">
        <f>L341*I341</f>
      </c>
      <c r="P341" s="92" t="str">
        <f>M341*I341</f>
      </c>
      <c r="Q341" s="93" t="str">
        <f>P341*'Calculation_Assumptions'!$B$14*J341*K341</f>
      </c>
      <c r="R341" s="94" t="str">
        <f>O341*N341*J341*K341</f>
      </c>
      <c r="S341" s="95" t="str">
        <f>R341-Q341</f>
      </c>
      <c r="T341" s="96" t="str">
        <f>1/(1+'Calculation_Assumptions'!$B$8)^(B341-'Calculation_Assumptions'!$B$2)</f>
      </c>
      <c r="U341" s="97" t="str">
        <f>Q341*T341</f>
      </c>
      <c r="V341" s="98" t="str">
        <f>R341*T341</f>
      </c>
      <c r="W341" s="99" t="str">
        <f>S341*T341</f>
      </c>
      <c r="X341" t="n">
        <v>0</v>
      </c>
      <c r="Y341" s="100" t="n">
        <v>2017</v>
      </c>
      <c r="Z341" t="s">
        <v>389</v>
      </c>
      <c r="AA341" s="101" t="str">
        <f>IF(G341="shared-count-once",COUNTIFS($A$2:$A$807,A341,$B$2:$B$807,B341,$D$2:$D$807,D341),1)</f>
      </c>
    </row>
    <row r="342">
      <c r="A342" t="s">
        <v>263</v>
      </c>
      <c r="B342" s="79" t="n">
        <v>2027</v>
      </c>
      <c r="C342" t="s">
        <v>267</v>
      </c>
      <c r="D342" s="80" t="s">
        <v>411</v>
      </c>
      <c r="E342" s="81" t="s">
        <v>412</v>
      </c>
      <c r="F342" s="82" t="s">
        <v>270</v>
      </c>
      <c r="G342" s="83" t="s">
        <v>395</v>
      </c>
      <c r="H342" s="84" t="s">
        <v>386</v>
      </c>
      <c r="I342" s="85" t="n">
        <v>1</v>
      </c>
      <c r="J342" s="86" t="n">
        <v>1</v>
      </c>
      <c r="K342" s="87" t="n">
        <v>0.0077</v>
      </c>
      <c r="L342" s="88" t="n">
        <v>292252895.096956</v>
      </c>
      <c r="M342" s="89" t="n">
        <v>292252895.096956</v>
      </c>
      <c r="N342" s="90" t="str">
        <f>MIN(MAX((B342-'Calculation_Assumptions'!$B$5+1)/'Calculation_Assumptions'!$B$7,0),1)</f>
      </c>
      <c r="O342" s="91" t="str">
        <f>L342*I342</f>
      </c>
      <c r="P342" s="92" t="str">
        <f>M342*I342</f>
      </c>
      <c r="Q342" s="93" t="str">
        <f>P342*'Calculation_Assumptions'!$B$14*J342*K342</f>
      </c>
      <c r="R342" s="94" t="str">
        <f>O342*N342*J342*K342</f>
      </c>
      <c r="S342" s="95" t="str">
        <f>R342-Q342</f>
      </c>
      <c r="T342" s="96" t="str">
        <f>1/(1+'Calculation_Assumptions'!$B$8)^(B342-'Calculation_Assumptions'!$B$2)</f>
      </c>
      <c r="U342" s="97" t="str">
        <f>Q342*T342</f>
      </c>
      <c r="V342" s="98" t="str">
        <f>R342*T342</f>
      </c>
      <c r="W342" s="99" t="str">
        <f>S342*T342</f>
      </c>
      <c r="X342" t="n">
        <v>0</v>
      </c>
      <c r="Y342" s="100" t="n">
        <v>2017</v>
      </c>
      <c r="Z342" t="s">
        <v>389</v>
      </c>
      <c r="AA342" s="101" t="str">
        <f>IF(G342="shared-count-once",COUNTIFS($A$2:$A$807,A342,$B$2:$B$807,B342,$D$2:$D$807,D342),1)</f>
      </c>
    </row>
    <row r="343">
      <c r="A343" t="s">
        <v>263</v>
      </c>
      <c r="B343" s="79" t="n">
        <v>2028</v>
      </c>
      <c r="C343" t="s">
        <v>267</v>
      </c>
      <c r="D343" s="80" t="s">
        <v>411</v>
      </c>
      <c r="E343" s="81" t="s">
        <v>412</v>
      </c>
      <c r="F343" s="82" t="s">
        <v>270</v>
      </c>
      <c r="G343" s="83" t="s">
        <v>395</v>
      </c>
      <c r="H343" s="84" t="s">
        <v>386</v>
      </c>
      <c r="I343" s="85" t="n">
        <v>1</v>
      </c>
      <c r="J343" s="86" t="n">
        <v>1</v>
      </c>
      <c r="K343" s="87" t="n">
        <v>0.0077</v>
      </c>
      <c r="L343" s="88" t="n">
        <v>294314895.305465</v>
      </c>
      <c r="M343" s="89" t="n">
        <v>294314895.305465</v>
      </c>
      <c r="N343" s="90" t="str">
        <f>MIN(MAX((B343-'Calculation_Assumptions'!$B$5+1)/'Calculation_Assumptions'!$B$7,0),1)</f>
      </c>
      <c r="O343" s="91" t="str">
        <f>L343*I343</f>
      </c>
      <c r="P343" s="92" t="str">
        <f>M343*I343</f>
      </c>
      <c r="Q343" s="93" t="str">
        <f>P343*'Calculation_Assumptions'!$B$14*J343*K343</f>
      </c>
      <c r="R343" s="94" t="str">
        <f>O343*N343*J343*K343</f>
      </c>
      <c r="S343" s="95" t="str">
        <f>R343-Q343</f>
      </c>
      <c r="T343" s="96" t="str">
        <f>1/(1+'Calculation_Assumptions'!$B$8)^(B343-'Calculation_Assumptions'!$B$2)</f>
      </c>
      <c r="U343" s="97" t="str">
        <f>Q343*T343</f>
      </c>
      <c r="V343" s="98" t="str">
        <f>R343*T343</f>
      </c>
      <c r="W343" s="99" t="str">
        <f>S343*T343</f>
      </c>
      <c r="X343" t="n">
        <v>0</v>
      </c>
      <c r="Y343" s="100" t="n">
        <v>2017</v>
      </c>
      <c r="Z343" t="s">
        <v>389</v>
      </c>
      <c r="AA343" s="101" t="str">
        <f>IF(G343="shared-count-once",COUNTIFS($A$2:$A$807,A343,$B$2:$B$807,B343,$D$2:$D$807,D343),1)</f>
      </c>
    </row>
    <row r="344">
      <c r="A344" t="s">
        <v>263</v>
      </c>
      <c r="B344" s="79" t="n">
        <v>2029</v>
      </c>
      <c r="C344" t="s">
        <v>267</v>
      </c>
      <c r="D344" s="80" t="s">
        <v>411</v>
      </c>
      <c r="E344" s="81" t="s">
        <v>412</v>
      </c>
      <c r="F344" s="82" t="s">
        <v>270</v>
      </c>
      <c r="G344" s="83" t="s">
        <v>395</v>
      </c>
      <c r="H344" s="84" t="s">
        <v>386</v>
      </c>
      <c r="I344" s="85" t="n">
        <v>1</v>
      </c>
      <c r="J344" s="86" t="n">
        <v>1</v>
      </c>
      <c r="K344" s="87" t="n">
        <v>0.0077</v>
      </c>
      <c r="L344" s="88" t="n">
        <v>296341245.393897</v>
      </c>
      <c r="M344" s="89" t="n">
        <v>296341062.542853</v>
      </c>
      <c r="N344" s="90" t="str">
        <f>MIN(MAX((B344-'Calculation_Assumptions'!$B$5+1)/'Calculation_Assumptions'!$B$7,0),1)</f>
      </c>
      <c r="O344" s="91" t="str">
        <f>L344*I344</f>
      </c>
      <c r="P344" s="92" t="str">
        <f>M344*I344</f>
      </c>
      <c r="Q344" s="93" t="str">
        <f>P344*'Calculation_Assumptions'!$B$14*J344*K344</f>
      </c>
      <c r="R344" s="94" t="str">
        <f>O344*N344*J344*K344</f>
      </c>
      <c r="S344" s="95" t="str">
        <f>R344-Q344</f>
      </c>
      <c r="T344" s="96" t="str">
        <f>1/(1+'Calculation_Assumptions'!$B$8)^(B344-'Calculation_Assumptions'!$B$2)</f>
      </c>
      <c r="U344" s="97" t="str">
        <f>Q344*T344</f>
      </c>
      <c r="V344" s="98" t="str">
        <f>R344*T344</f>
      </c>
      <c r="W344" s="99" t="str">
        <f>S344*T344</f>
      </c>
      <c r="X344" t="n">
        <v>0</v>
      </c>
      <c r="Y344" s="100" t="n">
        <v>2017</v>
      </c>
      <c r="Z344" t="s">
        <v>389</v>
      </c>
      <c r="AA344" s="101" t="str">
        <f>IF(G344="shared-count-once",COUNTIFS($A$2:$A$807,A344,$B$2:$B$807,B344,$D$2:$D$807,D344),1)</f>
      </c>
    </row>
    <row r="345">
      <c r="A345" t="s">
        <v>263</v>
      </c>
      <c r="B345" s="79" t="n">
        <v>2030</v>
      </c>
      <c r="C345" t="s">
        <v>267</v>
      </c>
      <c r="D345" s="80" t="s">
        <v>411</v>
      </c>
      <c r="E345" s="81" t="s">
        <v>412</v>
      </c>
      <c r="F345" s="82" t="s">
        <v>270</v>
      </c>
      <c r="G345" s="83" t="s">
        <v>395</v>
      </c>
      <c r="H345" s="84" t="s">
        <v>386</v>
      </c>
      <c r="I345" s="85" t="n">
        <v>1</v>
      </c>
      <c r="J345" s="86" t="n">
        <v>1</v>
      </c>
      <c r="K345" s="87" t="n">
        <v>0.0077</v>
      </c>
      <c r="L345" s="88" t="n">
        <v>298280952.043994</v>
      </c>
      <c r="M345" s="89" t="n">
        <v>298280286.057263</v>
      </c>
      <c r="N345" s="90" t="str">
        <f>MIN(MAX((B345-'Calculation_Assumptions'!$B$5+1)/'Calculation_Assumptions'!$B$7,0),1)</f>
      </c>
      <c r="O345" s="91" t="str">
        <f>L345*I345</f>
      </c>
      <c r="P345" s="92" t="str">
        <f>M345*I345</f>
      </c>
      <c r="Q345" s="93" t="str">
        <f>P345*'Calculation_Assumptions'!$B$14*J345*K345</f>
      </c>
      <c r="R345" s="94" t="str">
        <f>O345*N345*J345*K345</f>
      </c>
      <c r="S345" s="95" t="str">
        <f>R345-Q345</f>
      </c>
      <c r="T345" s="96" t="str">
        <f>1/(1+'Calculation_Assumptions'!$B$8)^(B345-'Calculation_Assumptions'!$B$2)</f>
      </c>
      <c r="U345" s="97" t="str">
        <f>Q345*T345</f>
      </c>
      <c r="V345" s="98" t="str">
        <f>R345*T345</f>
      </c>
      <c r="W345" s="99" t="str">
        <f>S345*T345</f>
      </c>
      <c r="X345" t="n">
        <v>0</v>
      </c>
      <c r="Y345" s="100" t="n">
        <v>2017</v>
      </c>
      <c r="Z345" t="s">
        <v>389</v>
      </c>
      <c r="AA345" s="101" t="str">
        <f>IF(G345="shared-count-once",COUNTIFS($A$2:$A$807,A345,$B$2:$B$807,B345,$D$2:$D$807,D345),1)</f>
      </c>
    </row>
    <row r="346">
      <c r="A346" t="s">
        <v>263</v>
      </c>
      <c r="B346" s="79" t="n">
        <v>2031</v>
      </c>
      <c r="C346" t="s">
        <v>267</v>
      </c>
      <c r="D346" s="80" t="s">
        <v>411</v>
      </c>
      <c r="E346" s="81" t="s">
        <v>412</v>
      </c>
      <c r="F346" s="82" t="s">
        <v>270</v>
      </c>
      <c r="G346" s="83" t="s">
        <v>395</v>
      </c>
      <c r="H346" s="84" t="s">
        <v>386</v>
      </c>
      <c r="I346" s="85" t="n">
        <v>1</v>
      </c>
      <c r="J346" s="86" t="n">
        <v>1</v>
      </c>
      <c r="K346" s="87" t="n">
        <v>0.0077</v>
      </c>
      <c r="L346" s="88" t="n">
        <v>300154142.159223</v>
      </c>
      <c r="M346" s="89" t="n">
        <v>300152603.254782</v>
      </c>
      <c r="N346" s="90" t="str">
        <f>MIN(MAX((B346-'Calculation_Assumptions'!$B$5+1)/'Calculation_Assumptions'!$B$7,0),1)</f>
      </c>
      <c r="O346" s="91" t="str">
        <f>L346*I346</f>
      </c>
      <c r="P346" s="92" t="str">
        <f>M346*I346</f>
      </c>
      <c r="Q346" s="93" t="str">
        <f>P346*'Calculation_Assumptions'!$B$14*J346*K346</f>
      </c>
      <c r="R346" s="94" t="str">
        <f>O346*N346*J346*K346</f>
      </c>
      <c r="S346" s="95" t="str">
        <f>R346-Q346</f>
      </c>
      <c r="T346" s="96" t="str">
        <f>1/(1+'Calculation_Assumptions'!$B$8)^(B346-'Calculation_Assumptions'!$B$2)</f>
      </c>
      <c r="U346" s="97" t="str">
        <f>Q346*T346</f>
      </c>
      <c r="V346" s="98" t="str">
        <f>R346*T346</f>
      </c>
      <c r="W346" s="99" t="str">
        <f>S346*T346</f>
      </c>
      <c r="X346" t="n">
        <v>0</v>
      </c>
      <c r="Y346" s="100" t="n">
        <v>2017</v>
      </c>
      <c r="Z346" t="s">
        <v>389</v>
      </c>
      <c r="AA346" s="101" t="str">
        <f>IF(G346="shared-count-once",COUNTIFS($A$2:$A$807,A346,$B$2:$B$807,B346,$D$2:$D$807,D346),1)</f>
      </c>
    </row>
    <row r="347">
      <c r="A347" t="s">
        <v>263</v>
      </c>
      <c r="B347" s="79" t="n">
        <v>2032</v>
      </c>
      <c r="C347" t="s">
        <v>267</v>
      </c>
      <c r="D347" s="80" t="s">
        <v>411</v>
      </c>
      <c r="E347" s="81" t="s">
        <v>412</v>
      </c>
      <c r="F347" s="82" t="s">
        <v>270</v>
      </c>
      <c r="G347" s="83" t="s">
        <v>395</v>
      </c>
      <c r="H347" s="84" t="s">
        <v>386</v>
      </c>
      <c r="I347" s="85" t="n">
        <v>1</v>
      </c>
      <c r="J347" s="86" t="n">
        <v>1</v>
      </c>
      <c r="K347" s="87" t="n">
        <v>0.0077</v>
      </c>
      <c r="L347" s="88" t="n">
        <v>301962269.72229</v>
      </c>
      <c r="M347" s="89" t="n">
        <v>301959399.633888</v>
      </c>
      <c r="N347" s="90" t="str">
        <f>MIN(MAX((B347-'Calculation_Assumptions'!$B$5+1)/'Calculation_Assumptions'!$B$7,0),1)</f>
      </c>
      <c r="O347" s="91" t="str">
        <f>L347*I347</f>
      </c>
      <c r="P347" s="92" t="str">
        <f>M347*I347</f>
      </c>
      <c r="Q347" s="93" t="str">
        <f>P347*'Calculation_Assumptions'!$B$14*J347*K347</f>
      </c>
      <c r="R347" s="94" t="str">
        <f>O347*N347*J347*K347</f>
      </c>
      <c r="S347" s="95" t="str">
        <f>R347-Q347</f>
      </c>
      <c r="T347" s="96" t="str">
        <f>1/(1+'Calculation_Assumptions'!$B$8)^(B347-'Calculation_Assumptions'!$B$2)</f>
      </c>
      <c r="U347" s="97" t="str">
        <f>Q347*T347</f>
      </c>
      <c r="V347" s="98" t="str">
        <f>R347*T347</f>
      </c>
      <c r="W347" s="99" t="str">
        <f>S347*T347</f>
      </c>
      <c r="X347" t="n">
        <v>0</v>
      </c>
      <c r="Y347" s="100" t="n">
        <v>2017</v>
      </c>
      <c r="Z347" t="s">
        <v>389</v>
      </c>
      <c r="AA347" s="101" t="str">
        <f>IF(G347="shared-count-once",COUNTIFS($A$2:$A$807,A347,$B$2:$B$807,B347,$D$2:$D$807,D347),1)</f>
      </c>
    </row>
    <row r="348">
      <c r="A348" t="s">
        <v>263</v>
      </c>
      <c r="B348" s="79" t="n">
        <v>2033</v>
      </c>
      <c r="C348" t="s">
        <v>267</v>
      </c>
      <c r="D348" s="80" t="s">
        <v>411</v>
      </c>
      <c r="E348" s="81" t="s">
        <v>412</v>
      </c>
      <c r="F348" s="82" t="s">
        <v>270</v>
      </c>
      <c r="G348" s="83" t="s">
        <v>395</v>
      </c>
      <c r="H348" s="84" t="s">
        <v>386</v>
      </c>
      <c r="I348" s="85" t="n">
        <v>1</v>
      </c>
      <c r="J348" s="86" t="n">
        <v>1</v>
      </c>
      <c r="K348" s="87" t="n">
        <v>0.0077</v>
      </c>
      <c r="L348" s="88" t="n">
        <v>303705748.865937</v>
      </c>
      <c r="M348" s="89" t="n">
        <v>303701035.202051</v>
      </c>
      <c r="N348" s="90" t="str">
        <f>MIN(MAX((B348-'Calculation_Assumptions'!$B$5+1)/'Calculation_Assumptions'!$B$7,0),1)</f>
      </c>
      <c r="O348" s="91" t="str">
        <f>L348*I348</f>
      </c>
      <c r="P348" s="92" t="str">
        <f>M348*I348</f>
      </c>
      <c r="Q348" s="93" t="str">
        <f>P348*'Calculation_Assumptions'!$B$14*J348*K348</f>
      </c>
      <c r="R348" s="94" t="str">
        <f>O348*N348*J348*K348</f>
      </c>
      <c r="S348" s="95" t="str">
        <f>R348-Q348</f>
      </c>
      <c r="T348" s="96" t="str">
        <f>1/(1+'Calculation_Assumptions'!$B$8)^(B348-'Calculation_Assumptions'!$B$2)</f>
      </c>
      <c r="U348" s="97" t="str">
        <f>Q348*T348</f>
      </c>
      <c r="V348" s="98" t="str">
        <f>R348*T348</f>
      </c>
      <c r="W348" s="99" t="str">
        <f>S348*T348</f>
      </c>
      <c r="X348" t="n">
        <v>0</v>
      </c>
      <c r="Y348" s="100" t="n">
        <v>2017</v>
      </c>
      <c r="Z348" t="s">
        <v>389</v>
      </c>
      <c r="AA348" s="101" t="str">
        <f>IF(G348="shared-count-once",COUNTIFS($A$2:$A$807,A348,$B$2:$B$807,B348,$D$2:$D$807,D348),1)</f>
      </c>
    </row>
    <row r="349">
      <c r="A349" t="s">
        <v>263</v>
      </c>
      <c r="B349" s="79" t="n">
        <v>2034</v>
      </c>
      <c r="C349" t="s">
        <v>267</v>
      </c>
      <c r="D349" s="80" t="s">
        <v>411</v>
      </c>
      <c r="E349" s="81" t="s">
        <v>412</v>
      </c>
      <c r="F349" s="82" t="s">
        <v>270</v>
      </c>
      <c r="G349" s="83" t="s">
        <v>395</v>
      </c>
      <c r="H349" s="84" t="s">
        <v>386</v>
      </c>
      <c r="I349" s="85" t="n">
        <v>1</v>
      </c>
      <c r="J349" s="86" t="n">
        <v>1</v>
      </c>
      <c r="K349" s="87" t="n">
        <v>0.0077</v>
      </c>
      <c r="L349" s="88" t="n">
        <v>305295013.817194</v>
      </c>
      <c r="M349" s="89" t="n">
        <v>305377998.093319</v>
      </c>
      <c r="N349" s="90" t="str">
        <f>MIN(MAX((B349-'Calculation_Assumptions'!$B$5+1)/'Calculation_Assumptions'!$B$7,0),1)</f>
      </c>
      <c r="O349" s="91" t="str">
        <f>L349*I349</f>
      </c>
      <c r="P349" s="92" t="str">
        <f>M349*I349</f>
      </c>
      <c r="Q349" s="93" t="str">
        <f>P349*'Calculation_Assumptions'!$B$14*J349*K349</f>
      </c>
      <c r="R349" s="94" t="str">
        <f>O349*N349*J349*K349</f>
      </c>
      <c r="S349" s="95" t="str">
        <f>R349-Q349</f>
      </c>
      <c r="T349" s="96" t="str">
        <f>1/(1+'Calculation_Assumptions'!$B$8)^(B349-'Calculation_Assumptions'!$B$2)</f>
      </c>
      <c r="U349" s="97" t="str">
        <f>Q349*T349</f>
      </c>
      <c r="V349" s="98" t="str">
        <f>R349*T349</f>
      </c>
      <c r="W349" s="99" t="str">
        <f>S349*T349</f>
      </c>
      <c r="X349" t="n">
        <v>0</v>
      </c>
      <c r="Y349" s="100" t="n">
        <v>2017</v>
      </c>
      <c r="Z349" t="s">
        <v>389</v>
      </c>
      <c r="AA349" s="101" t="str">
        <f>IF(G349="shared-count-once",COUNTIFS($A$2:$A$807,A349,$B$2:$B$807,B349,$D$2:$D$807,D349),1)</f>
      </c>
    </row>
    <row r="350">
      <c r="A350" t="s">
        <v>263</v>
      </c>
      <c r="B350" s="79" t="n">
        <v>2035</v>
      </c>
      <c r="C350" t="s">
        <v>267</v>
      </c>
      <c r="D350" s="80" t="s">
        <v>411</v>
      </c>
      <c r="E350" s="81" t="s">
        <v>412</v>
      </c>
      <c r="F350" s="82" t="s">
        <v>270</v>
      </c>
      <c r="G350" s="83" t="s">
        <v>395</v>
      </c>
      <c r="H350" s="84" t="s">
        <v>386</v>
      </c>
      <c r="I350" s="85" t="n">
        <v>1</v>
      </c>
      <c r="J350" s="86" t="n">
        <v>1</v>
      </c>
      <c r="K350" s="87" t="n">
        <v>0.0077</v>
      </c>
      <c r="L350" s="88" t="n">
        <v>306900803.866169</v>
      </c>
      <c r="M350" s="89" t="n">
        <v>306989258.29407</v>
      </c>
      <c r="N350" s="90" t="str">
        <f>MIN(MAX((B350-'Calculation_Assumptions'!$B$5+1)/'Calculation_Assumptions'!$B$7,0),1)</f>
      </c>
      <c r="O350" s="91" t="str">
        <f>L350*I350</f>
      </c>
      <c r="P350" s="92" t="str">
        <f>M350*I350</f>
      </c>
      <c r="Q350" s="93" t="str">
        <f>P350*'Calculation_Assumptions'!$B$14*J350*K350</f>
      </c>
      <c r="R350" s="94" t="str">
        <f>O350*N350*J350*K350</f>
      </c>
      <c r="S350" s="95" t="str">
        <f>R350-Q350</f>
      </c>
      <c r="T350" s="96" t="str">
        <f>1/(1+'Calculation_Assumptions'!$B$8)^(B350-'Calculation_Assumptions'!$B$2)</f>
      </c>
      <c r="U350" s="97" t="str">
        <f>Q350*T350</f>
      </c>
      <c r="V350" s="98" t="str">
        <f>R350*T350</f>
      </c>
      <c r="W350" s="99" t="str">
        <f>S350*T350</f>
      </c>
      <c r="X350" t="n">
        <v>0</v>
      </c>
      <c r="Y350" s="100" t="n">
        <v>2017</v>
      </c>
      <c r="Z350" t="s">
        <v>389</v>
      </c>
      <c r="AA350" s="101" t="str">
        <f>IF(G350="shared-count-once",COUNTIFS($A$2:$A$807,A350,$B$2:$B$807,B350,$D$2:$D$807,D350),1)</f>
      </c>
    </row>
    <row r="351">
      <c r="A351" t="s">
        <v>263</v>
      </c>
      <c r="B351" s="79" t="n">
        <v>2036</v>
      </c>
      <c r="C351" t="s">
        <v>267</v>
      </c>
      <c r="D351" s="80" t="s">
        <v>411</v>
      </c>
      <c r="E351" s="81" t="s">
        <v>412</v>
      </c>
      <c r="F351" s="82" t="s">
        <v>270</v>
      </c>
      <c r="G351" s="83" t="s">
        <v>395</v>
      </c>
      <c r="H351" s="84" t="s">
        <v>386</v>
      </c>
      <c r="I351" s="85" t="n">
        <v>1</v>
      </c>
      <c r="J351" s="86" t="n">
        <v>1</v>
      </c>
      <c r="K351" s="87" t="n">
        <v>0.0077</v>
      </c>
      <c r="L351" s="88" t="n">
        <v>308444396.270037</v>
      </c>
      <c r="M351" s="89" t="n">
        <v>308537399.672094</v>
      </c>
      <c r="N351" s="90" t="str">
        <f>MIN(MAX((B351-'Calculation_Assumptions'!$B$5+1)/'Calculation_Assumptions'!$B$7,0),1)</f>
      </c>
      <c r="O351" s="91" t="str">
        <f>L351*I351</f>
      </c>
      <c r="P351" s="92" t="str">
        <f>M351*I351</f>
      </c>
      <c r="Q351" s="93" t="str">
        <f>P351*'Calculation_Assumptions'!$B$14*J351*K351</f>
      </c>
      <c r="R351" s="94" t="str">
        <f>O351*N351*J351*K351</f>
      </c>
      <c r="S351" s="95" t="str">
        <f>R351-Q351</f>
      </c>
      <c r="T351" s="96" t="str">
        <f>1/(1+'Calculation_Assumptions'!$B$8)^(B351-'Calculation_Assumptions'!$B$2)</f>
      </c>
      <c r="U351" s="97" t="str">
        <f>Q351*T351</f>
      </c>
      <c r="V351" s="98" t="str">
        <f>R351*T351</f>
      </c>
      <c r="W351" s="99" t="str">
        <f>S351*T351</f>
      </c>
      <c r="X351" t="n">
        <v>0</v>
      </c>
      <c r="Y351" s="100" t="n">
        <v>2017</v>
      </c>
      <c r="Z351" t="s">
        <v>389</v>
      </c>
      <c r="AA351" s="101" t="str">
        <f>IF(G351="shared-count-once",COUNTIFS($A$2:$A$807,A351,$B$2:$B$807,B351,$D$2:$D$807,D351),1)</f>
      </c>
    </row>
    <row r="352">
      <c r="A352" t="s">
        <v>263</v>
      </c>
      <c r="B352" s="79" t="n">
        <v>2037</v>
      </c>
      <c r="C352" t="s">
        <v>267</v>
      </c>
      <c r="D352" s="80" t="s">
        <v>411</v>
      </c>
      <c r="E352" s="81" t="s">
        <v>412</v>
      </c>
      <c r="F352" s="82" t="s">
        <v>270</v>
      </c>
      <c r="G352" s="83" t="s">
        <v>395</v>
      </c>
      <c r="H352" s="84" t="s">
        <v>386</v>
      </c>
      <c r="I352" s="85" t="n">
        <v>1</v>
      </c>
      <c r="J352" s="86" t="n">
        <v>1</v>
      </c>
      <c r="K352" s="87" t="n">
        <v>0.0077</v>
      </c>
      <c r="L352" s="88" t="n">
        <v>309926586.801066</v>
      </c>
      <c r="M352" s="89" t="n">
        <v>310023120.393472</v>
      </c>
      <c r="N352" s="90" t="str">
        <f>MIN(MAX((B352-'Calculation_Assumptions'!$B$5+1)/'Calculation_Assumptions'!$B$7,0),1)</f>
      </c>
      <c r="O352" s="91" t="str">
        <f>L352*I352</f>
      </c>
      <c r="P352" s="92" t="str">
        <f>M352*I352</f>
      </c>
      <c r="Q352" s="93" t="str">
        <f>P352*'Calculation_Assumptions'!$B$14*J352*K352</f>
      </c>
      <c r="R352" s="94" t="str">
        <f>O352*N352*J352*K352</f>
      </c>
      <c r="S352" s="95" t="str">
        <f>R352-Q352</f>
      </c>
      <c r="T352" s="96" t="str">
        <f>1/(1+'Calculation_Assumptions'!$B$8)^(B352-'Calculation_Assumptions'!$B$2)</f>
      </c>
      <c r="U352" s="97" t="str">
        <f>Q352*T352</f>
      </c>
      <c r="V352" s="98" t="str">
        <f>R352*T352</f>
      </c>
      <c r="W352" s="99" t="str">
        <f>S352*T352</f>
      </c>
      <c r="X352" t="n">
        <v>0</v>
      </c>
      <c r="Y352" s="100" t="n">
        <v>2017</v>
      </c>
      <c r="Z352" t="s">
        <v>389</v>
      </c>
      <c r="AA352" s="101" t="str">
        <f>IF(G352="shared-count-once",COUNTIFS($A$2:$A$807,A352,$B$2:$B$807,B352,$D$2:$D$807,D352),1)</f>
      </c>
    </row>
    <row r="353">
      <c r="A353" t="s">
        <v>263</v>
      </c>
      <c r="B353" s="79" t="n">
        <v>2038</v>
      </c>
      <c r="C353" t="s">
        <v>267</v>
      </c>
      <c r="D353" s="80" t="s">
        <v>411</v>
      </c>
      <c r="E353" s="81" t="s">
        <v>412</v>
      </c>
      <c r="F353" s="82" t="s">
        <v>270</v>
      </c>
      <c r="G353" s="83" t="s">
        <v>395</v>
      </c>
      <c r="H353" s="84" t="s">
        <v>386</v>
      </c>
      <c r="I353" s="85" t="n">
        <v>1</v>
      </c>
      <c r="J353" s="86" t="n">
        <v>1</v>
      </c>
      <c r="K353" s="87" t="n">
        <v>0.0077</v>
      </c>
      <c r="L353" s="88" t="n">
        <v>311347459.096139</v>
      </c>
      <c r="M353" s="89" t="n">
        <v>311445837.134625</v>
      </c>
      <c r="N353" s="90" t="str">
        <f>MIN(MAX((B353-'Calculation_Assumptions'!$B$5+1)/'Calculation_Assumptions'!$B$7,0),1)</f>
      </c>
      <c r="O353" s="91" t="str">
        <f>L353*I353</f>
      </c>
      <c r="P353" s="92" t="str">
        <f>M353*I353</f>
      </c>
      <c r="Q353" s="93" t="str">
        <f>P353*'Calculation_Assumptions'!$B$14*J353*K353</f>
      </c>
      <c r="R353" s="94" t="str">
        <f>O353*N353*J353*K353</f>
      </c>
      <c r="S353" s="95" t="str">
        <f>R353-Q353</f>
      </c>
      <c r="T353" s="96" t="str">
        <f>1/(1+'Calculation_Assumptions'!$B$8)^(B353-'Calculation_Assumptions'!$B$2)</f>
      </c>
      <c r="U353" s="97" t="str">
        <f>Q353*T353</f>
      </c>
      <c r="V353" s="98" t="str">
        <f>R353*T353</f>
      </c>
      <c r="W353" s="99" t="str">
        <f>S353*T353</f>
      </c>
      <c r="X353" t="n">
        <v>0</v>
      </c>
      <c r="Y353" s="100" t="n">
        <v>2017</v>
      </c>
      <c r="Z353" t="s">
        <v>389</v>
      </c>
      <c r="AA353" s="101" t="str">
        <f>IF(G353="shared-count-once",COUNTIFS($A$2:$A$807,A353,$B$2:$B$807,B353,$D$2:$D$807,D353),1)</f>
      </c>
    </row>
    <row r="354">
      <c r="A354" t="s">
        <v>263</v>
      </c>
      <c r="B354" s="79" t="n">
        <v>2039</v>
      </c>
      <c r="C354" t="s">
        <v>267</v>
      </c>
      <c r="D354" s="80" t="s">
        <v>411</v>
      </c>
      <c r="E354" s="81" t="s">
        <v>412</v>
      </c>
      <c r="F354" s="82" t="s">
        <v>270</v>
      </c>
      <c r="G354" s="83" t="s">
        <v>395</v>
      </c>
      <c r="H354" s="84" t="s">
        <v>386</v>
      </c>
      <c r="I354" s="85" t="n">
        <v>1</v>
      </c>
      <c r="J354" s="86" t="n">
        <v>1</v>
      </c>
      <c r="K354" s="87" t="n">
        <v>0.0077</v>
      </c>
      <c r="L354" s="88" t="n">
        <v>312708287.385599</v>
      </c>
      <c r="M354" s="89" t="n">
        <v>312806989.715685</v>
      </c>
      <c r="N354" s="90" t="str">
        <f>MIN(MAX((B354-'Calculation_Assumptions'!$B$5+1)/'Calculation_Assumptions'!$B$7,0),1)</f>
      </c>
      <c r="O354" s="91" t="str">
        <f>L354*I354</f>
      </c>
      <c r="P354" s="92" t="str">
        <f>M354*I354</f>
      </c>
      <c r="Q354" s="93" t="str">
        <f>P354*'Calculation_Assumptions'!$B$14*J354*K354</f>
      </c>
      <c r="R354" s="94" t="str">
        <f>O354*N354*J354*K354</f>
      </c>
      <c r="S354" s="95" t="str">
        <f>R354-Q354</f>
      </c>
      <c r="T354" s="96" t="str">
        <f>1/(1+'Calculation_Assumptions'!$B$8)^(B354-'Calculation_Assumptions'!$B$2)</f>
      </c>
      <c r="U354" s="97" t="str">
        <f>Q354*T354</f>
      </c>
      <c r="V354" s="98" t="str">
        <f>R354*T354</f>
      </c>
      <c r="W354" s="99" t="str">
        <f>S354*T354</f>
      </c>
      <c r="X354" t="n">
        <v>0</v>
      </c>
      <c r="Y354" s="100" t="n">
        <v>2017</v>
      </c>
      <c r="Z354" t="s">
        <v>389</v>
      </c>
      <c r="AA354" s="101" t="str">
        <f>IF(G354="shared-count-once",COUNTIFS($A$2:$A$807,A354,$B$2:$B$807,B354,$D$2:$D$807,D354),1)</f>
      </c>
    </row>
    <row r="355">
      <c r="A355" t="s">
        <v>263</v>
      </c>
      <c r="B355" s="79" t="n">
        <v>2040</v>
      </c>
      <c r="C355" t="s">
        <v>267</v>
      </c>
      <c r="D355" s="80" t="s">
        <v>411</v>
      </c>
      <c r="E355" s="81" t="s">
        <v>412</v>
      </c>
      <c r="F355" s="82" t="s">
        <v>270</v>
      </c>
      <c r="G355" s="83" t="s">
        <v>395</v>
      </c>
      <c r="H355" s="84" t="s">
        <v>386</v>
      </c>
      <c r="I355" s="85" t="n">
        <v>1</v>
      </c>
      <c r="J355" s="86" t="n">
        <v>1</v>
      </c>
      <c r="K355" s="87" t="n">
        <v>0.0077</v>
      </c>
      <c r="L355" s="88" t="n">
        <v>314011460.665522</v>
      </c>
      <c r="M355" s="89" t="n">
        <v>314109251.582649</v>
      </c>
      <c r="N355" s="90" t="str">
        <f>MIN(MAX((B355-'Calculation_Assumptions'!$B$5+1)/'Calculation_Assumptions'!$B$7,0),1)</f>
      </c>
      <c r="O355" s="91" t="str">
        <f>L355*I355</f>
      </c>
      <c r="P355" s="92" t="str">
        <f>M355*I355</f>
      </c>
      <c r="Q355" s="93" t="str">
        <f>P355*'Calculation_Assumptions'!$B$14*J355*K355</f>
      </c>
      <c r="R355" s="94" t="str">
        <f>O355*N355*J355*K355</f>
      </c>
      <c r="S355" s="95" t="str">
        <f>R355-Q355</f>
      </c>
      <c r="T355" s="96" t="str">
        <f>1/(1+'Calculation_Assumptions'!$B$8)^(B355-'Calculation_Assumptions'!$B$2)</f>
      </c>
      <c r="U355" s="97" t="str">
        <f>Q355*T355</f>
      </c>
      <c r="V355" s="98" t="str">
        <f>R355*T355</f>
      </c>
      <c r="W355" s="99" t="str">
        <f>S355*T355</f>
      </c>
      <c r="X355" t="n">
        <v>0</v>
      </c>
      <c r="Y355" s="100" t="n">
        <v>2017</v>
      </c>
      <c r="Z355" t="s">
        <v>389</v>
      </c>
      <c r="AA355" s="101" t="str">
        <f>IF(G355="shared-count-once",COUNTIFS($A$2:$A$807,A355,$B$2:$B$807,B355,$D$2:$D$807,D355),1)</f>
      </c>
    </row>
    <row r="356">
      <c r="A356" t="s">
        <v>263</v>
      </c>
      <c r="B356" s="79" t="n">
        <v>2041</v>
      </c>
      <c r="C356" t="s">
        <v>267</v>
      </c>
      <c r="D356" s="80" t="s">
        <v>411</v>
      </c>
      <c r="E356" s="81" t="s">
        <v>412</v>
      </c>
      <c r="F356" s="82" t="s">
        <v>270</v>
      </c>
      <c r="G356" s="83" t="s">
        <v>395</v>
      </c>
      <c r="H356" s="84" t="s">
        <v>386</v>
      </c>
      <c r="I356" s="85" t="n">
        <v>1</v>
      </c>
      <c r="J356" s="86" t="n">
        <v>1</v>
      </c>
      <c r="K356" s="87" t="n">
        <v>0.0077</v>
      </c>
      <c r="L356" s="88" t="n">
        <v>315255939.009039</v>
      </c>
      <c r="M356" s="89" t="n">
        <v>315352079.812423</v>
      </c>
      <c r="N356" s="90" t="str">
        <f>MIN(MAX((B356-'Calculation_Assumptions'!$B$5+1)/'Calculation_Assumptions'!$B$7,0),1)</f>
      </c>
      <c r="O356" s="91" t="str">
        <f>L356*I356</f>
      </c>
      <c r="P356" s="92" t="str">
        <f>M356*I356</f>
      </c>
      <c r="Q356" s="93" t="str">
        <f>P356*'Calculation_Assumptions'!$B$14*J356*K356</f>
      </c>
      <c r="R356" s="94" t="str">
        <f>O356*N356*J356*K356</f>
      </c>
      <c r="S356" s="95" t="str">
        <f>R356-Q356</f>
      </c>
      <c r="T356" s="96" t="str">
        <f>1/(1+'Calculation_Assumptions'!$B$8)^(B356-'Calculation_Assumptions'!$B$2)</f>
      </c>
      <c r="U356" s="97" t="str">
        <f>Q356*T356</f>
      </c>
      <c r="V356" s="98" t="str">
        <f>R356*T356</f>
      </c>
      <c r="W356" s="99" t="str">
        <f>S356*T356</f>
      </c>
      <c r="X356" t="n">
        <v>0</v>
      </c>
      <c r="Y356" s="100" t="n">
        <v>2017</v>
      </c>
      <c r="Z356" t="s">
        <v>389</v>
      </c>
      <c r="AA356" s="101" t="str">
        <f>IF(G356="shared-count-once",COUNTIFS($A$2:$A$807,A356,$B$2:$B$807,B356,$D$2:$D$807,D356),1)</f>
      </c>
    </row>
    <row r="357">
      <c r="A357" t="s">
        <v>263</v>
      </c>
      <c r="B357" s="79" t="n">
        <v>2042</v>
      </c>
      <c r="C357" t="s">
        <v>267</v>
      </c>
      <c r="D357" s="80" t="s">
        <v>411</v>
      </c>
      <c r="E357" s="81" t="s">
        <v>412</v>
      </c>
      <c r="F357" s="82" t="s">
        <v>270</v>
      </c>
      <c r="G357" s="83" t="s">
        <v>395</v>
      </c>
      <c r="H357" s="84" t="s">
        <v>386</v>
      </c>
      <c r="I357" s="85" t="n">
        <v>1</v>
      </c>
      <c r="J357" s="86" t="n">
        <v>1</v>
      </c>
      <c r="K357" s="87" t="n">
        <v>0.0077</v>
      </c>
      <c r="L357" s="88" t="n">
        <v>316442548.049483</v>
      </c>
      <c r="M357" s="89" t="n">
        <v>316395286.312016</v>
      </c>
      <c r="N357" s="90" t="str">
        <f>MIN(MAX((B357-'Calculation_Assumptions'!$B$5+1)/'Calculation_Assumptions'!$B$7,0),1)</f>
      </c>
      <c r="O357" s="91" t="str">
        <f>L357*I357</f>
      </c>
      <c r="P357" s="92" t="str">
        <f>M357*I357</f>
      </c>
      <c r="Q357" s="93" t="str">
        <f>P357*'Calculation_Assumptions'!$B$14*J357*K357</f>
      </c>
      <c r="R357" s="94" t="str">
        <f>O357*N357*J357*K357</f>
      </c>
      <c r="S357" s="95" t="str">
        <f>R357-Q357</f>
      </c>
      <c r="T357" s="96" t="str">
        <f>1/(1+'Calculation_Assumptions'!$B$8)^(B357-'Calculation_Assumptions'!$B$2)</f>
      </c>
      <c r="U357" s="97" t="str">
        <f>Q357*T357</f>
      </c>
      <c r="V357" s="98" t="str">
        <f>R357*T357</f>
      </c>
      <c r="W357" s="99" t="str">
        <f>S357*T357</f>
      </c>
      <c r="X357" t="n">
        <v>0</v>
      </c>
      <c r="Y357" s="100" t="n">
        <v>2017</v>
      </c>
      <c r="Z357" t="s">
        <v>389</v>
      </c>
      <c r="AA357" s="101" t="str">
        <f>IF(G357="shared-count-once",COUNTIFS($A$2:$A$807,A357,$B$2:$B$807,B357,$D$2:$D$807,D357),1)</f>
      </c>
    </row>
    <row r="358">
      <c r="A358" t="s">
        <v>263</v>
      </c>
      <c r="B358" s="79" t="n">
        <v>2043</v>
      </c>
      <c r="C358" t="s">
        <v>267</v>
      </c>
      <c r="D358" s="80" t="s">
        <v>411</v>
      </c>
      <c r="E358" s="81" t="s">
        <v>412</v>
      </c>
      <c r="F358" s="82" t="s">
        <v>270</v>
      </c>
      <c r="G358" s="83" t="s">
        <v>395</v>
      </c>
      <c r="H358" s="84" t="s">
        <v>386</v>
      </c>
      <c r="I358" s="85" t="n">
        <v>1</v>
      </c>
      <c r="J358" s="86" t="n">
        <v>1</v>
      </c>
      <c r="K358" s="87" t="n">
        <v>0.0077</v>
      </c>
      <c r="L358" s="88" t="n">
        <v>317675521.11352</v>
      </c>
      <c r="M358" s="89" t="n">
        <v>317619735.688289</v>
      </c>
      <c r="N358" s="90" t="str">
        <f>MIN(MAX((B358-'Calculation_Assumptions'!$B$5+1)/'Calculation_Assumptions'!$B$7,0),1)</f>
      </c>
      <c r="O358" s="91" t="str">
        <f>L358*I358</f>
      </c>
      <c r="P358" s="92" t="str">
        <f>M358*I358</f>
      </c>
      <c r="Q358" s="93" t="str">
        <f>P358*'Calculation_Assumptions'!$B$14*J358*K358</f>
      </c>
      <c r="R358" s="94" t="str">
        <f>O358*N358*J358*K358</f>
      </c>
      <c r="S358" s="95" t="str">
        <f>R358-Q358</f>
      </c>
      <c r="T358" s="96" t="str">
        <f>1/(1+'Calculation_Assumptions'!$B$8)^(B358-'Calculation_Assumptions'!$B$2)</f>
      </c>
      <c r="U358" s="97" t="str">
        <f>Q358*T358</f>
      </c>
      <c r="V358" s="98" t="str">
        <f>R358*T358</f>
      </c>
      <c r="W358" s="99" t="str">
        <f>S358*T358</f>
      </c>
      <c r="X358" t="n">
        <v>0</v>
      </c>
      <c r="Y358" s="100" t="n">
        <v>2017</v>
      </c>
      <c r="Z358" t="s">
        <v>389</v>
      </c>
      <c r="AA358" s="101" t="str">
        <f>IF(G358="shared-count-once",COUNTIFS($A$2:$A$807,A358,$B$2:$B$807,B358,$D$2:$D$807,D358),1)</f>
      </c>
    </row>
    <row r="359">
      <c r="A359" t="s">
        <v>263</v>
      </c>
      <c r="B359" s="79" t="n">
        <v>2044</v>
      </c>
      <c r="C359" t="s">
        <v>267</v>
      </c>
      <c r="D359" s="80" t="s">
        <v>411</v>
      </c>
      <c r="E359" s="81" t="s">
        <v>412</v>
      </c>
      <c r="F359" s="82" t="s">
        <v>270</v>
      </c>
      <c r="G359" s="83" t="s">
        <v>395</v>
      </c>
      <c r="H359" s="84" t="s">
        <v>386</v>
      </c>
      <c r="I359" s="85" t="n">
        <v>1</v>
      </c>
      <c r="J359" s="86" t="n">
        <v>1</v>
      </c>
      <c r="K359" s="87" t="n">
        <v>0.0077</v>
      </c>
      <c r="L359" s="88" t="n">
        <v>318610711.832783</v>
      </c>
      <c r="M359" s="89" t="n">
        <v>318697135.863652</v>
      </c>
      <c r="N359" s="90" t="str">
        <f>MIN(MAX((B359-'Calculation_Assumptions'!$B$5+1)/'Calculation_Assumptions'!$B$7,0),1)</f>
      </c>
      <c r="O359" s="91" t="str">
        <f>L359*I359</f>
      </c>
      <c r="P359" s="92" t="str">
        <f>M359*I359</f>
      </c>
      <c r="Q359" s="93" t="str">
        <f>P359*'Calculation_Assumptions'!$B$14*J359*K359</f>
      </c>
      <c r="R359" s="94" t="str">
        <f>O359*N359*J359*K359</f>
      </c>
      <c r="S359" s="95" t="str">
        <f>R359-Q359</f>
      </c>
      <c r="T359" s="96" t="str">
        <f>1/(1+'Calculation_Assumptions'!$B$8)^(B359-'Calculation_Assumptions'!$B$2)</f>
      </c>
      <c r="U359" s="97" t="str">
        <f>Q359*T359</f>
      </c>
      <c r="V359" s="98" t="str">
        <f>R359*T359</f>
      </c>
      <c r="W359" s="99" t="str">
        <f>S359*T359</f>
      </c>
      <c r="X359" t="n">
        <v>0</v>
      </c>
      <c r="Y359" s="100" t="n">
        <v>2017</v>
      </c>
      <c r="Z359" t="s">
        <v>389</v>
      </c>
      <c r="AA359" s="101" t="str">
        <f>IF(G359="shared-count-once",COUNTIFS($A$2:$A$807,A359,$B$2:$B$807,B359,$D$2:$D$807,D359),1)</f>
      </c>
    </row>
    <row r="360">
      <c r="A360" t="s">
        <v>263</v>
      </c>
      <c r="B360" s="79" t="n">
        <v>2045</v>
      </c>
      <c r="C360" t="s">
        <v>267</v>
      </c>
      <c r="D360" s="80" t="s">
        <v>411</v>
      </c>
      <c r="E360" s="81" t="s">
        <v>412</v>
      </c>
      <c r="F360" s="82" t="s">
        <v>270</v>
      </c>
      <c r="G360" s="83" t="s">
        <v>395</v>
      </c>
      <c r="H360" s="84" t="s">
        <v>386</v>
      </c>
      <c r="I360" s="85" t="n">
        <v>1</v>
      </c>
      <c r="J360" s="86" t="n">
        <v>1</v>
      </c>
      <c r="K360" s="87" t="n">
        <v>0.0077</v>
      </c>
      <c r="L360" s="88" t="n">
        <v>319635225.224793</v>
      </c>
      <c r="M360" s="89" t="n">
        <v>319717840.85179</v>
      </c>
      <c r="N360" s="90" t="str">
        <f>MIN(MAX((B360-'Calculation_Assumptions'!$B$5+1)/'Calculation_Assumptions'!$B$7,0),1)</f>
      </c>
      <c r="O360" s="91" t="str">
        <f>L360*I360</f>
      </c>
      <c r="P360" s="92" t="str">
        <f>M360*I360</f>
      </c>
      <c r="Q360" s="93" t="str">
        <f>P360*'Calculation_Assumptions'!$B$14*J360*K360</f>
      </c>
      <c r="R360" s="94" t="str">
        <f>O360*N360*J360*K360</f>
      </c>
      <c r="S360" s="95" t="str">
        <f>R360-Q360</f>
      </c>
      <c r="T360" s="96" t="str">
        <f>1/(1+'Calculation_Assumptions'!$B$8)^(B360-'Calculation_Assumptions'!$B$2)</f>
      </c>
      <c r="U360" s="97" t="str">
        <f>Q360*T360</f>
      </c>
      <c r="V360" s="98" t="str">
        <f>R360*T360</f>
      </c>
      <c r="W360" s="99" t="str">
        <f>S360*T360</f>
      </c>
      <c r="X360" t="n">
        <v>0</v>
      </c>
      <c r="Y360" s="100" t="n">
        <v>2017</v>
      </c>
      <c r="Z360" t="s">
        <v>389</v>
      </c>
      <c r="AA360" s="101" t="str">
        <f>IF(G360="shared-count-once",COUNTIFS($A$2:$A$807,A360,$B$2:$B$807,B360,$D$2:$D$807,D360),1)</f>
      </c>
    </row>
    <row r="361">
      <c r="A361" t="s">
        <v>263</v>
      </c>
      <c r="B361" s="79" t="n">
        <v>2046</v>
      </c>
      <c r="C361" t="s">
        <v>267</v>
      </c>
      <c r="D361" s="80" t="s">
        <v>411</v>
      </c>
      <c r="E361" s="81" t="s">
        <v>412</v>
      </c>
      <c r="F361" s="82" t="s">
        <v>270</v>
      </c>
      <c r="G361" s="83" t="s">
        <v>395</v>
      </c>
      <c r="H361" s="84" t="s">
        <v>386</v>
      </c>
      <c r="I361" s="85" t="n">
        <v>1</v>
      </c>
      <c r="J361" s="86" t="n">
        <v>1</v>
      </c>
      <c r="K361" s="87" t="n">
        <v>0.0077</v>
      </c>
      <c r="L361" s="88" t="n">
        <v>320603577.023018</v>
      </c>
      <c r="M361" s="89" t="n">
        <v>320683879.806276</v>
      </c>
      <c r="N361" s="90" t="str">
        <f>MIN(MAX((B361-'Calculation_Assumptions'!$B$5+1)/'Calculation_Assumptions'!$B$7,0),1)</f>
      </c>
      <c r="O361" s="91" t="str">
        <f>L361*I361</f>
      </c>
      <c r="P361" s="92" t="str">
        <f>M361*I361</f>
      </c>
      <c r="Q361" s="93" t="str">
        <f>P361*'Calculation_Assumptions'!$B$14*J361*K361</f>
      </c>
      <c r="R361" s="94" t="str">
        <f>O361*N361*J361*K361</f>
      </c>
      <c r="S361" s="95" t="str">
        <f>R361-Q361</f>
      </c>
      <c r="T361" s="96" t="str">
        <f>1/(1+'Calculation_Assumptions'!$B$8)^(B361-'Calculation_Assumptions'!$B$2)</f>
      </c>
      <c r="U361" s="97" t="str">
        <f>Q361*T361</f>
      </c>
      <c r="V361" s="98" t="str">
        <f>R361*T361</f>
      </c>
      <c r="W361" s="99" t="str">
        <f>S361*T361</f>
      </c>
      <c r="X361" t="n">
        <v>0</v>
      </c>
      <c r="Y361" s="100" t="n">
        <v>2017</v>
      </c>
      <c r="Z361" t="s">
        <v>389</v>
      </c>
      <c r="AA361" s="101" t="str">
        <f>IF(G361="shared-count-once",COUNTIFS($A$2:$A$807,A361,$B$2:$B$807,B361,$D$2:$D$807,D361),1)</f>
      </c>
    </row>
    <row r="362">
      <c r="A362" t="s">
        <v>263</v>
      </c>
      <c r="B362" s="79" t="n">
        <v>2047</v>
      </c>
      <c r="C362" t="s">
        <v>267</v>
      </c>
      <c r="D362" s="80" t="s">
        <v>411</v>
      </c>
      <c r="E362" s="81" t="s">
        <v>412</v>
      </c>
      <c r="F362" s="82" t="s">
        <v>270</v>
      </c>
      <c r="G362" s="83" t="s">
        <v>395</v>
      </c>
      <c r="H362" s="84" t="s">
        <v>386</v>
      </c>
      <c r="I362" s="85" t="n">
        <v>1</v>
      </c>
      <c r="J362" s="86" t="n">
        <v>1</v>
      </c>
      <c r="K362" s="87" t="n">
        <v>0.0077</v>
      </c>
      <c r="L362" s="88" t="n">
        <v>321516743.905382</v>
      </c>
      <c r="M362" s="89" t="n">
        <v>321595541.389526</v>
      </c>
      <c r="N362" s="90" t="str">
        <f>MIN(MAX((B362-'Calculation_Assumptions'!$B$5+1)/'Calculation_Assumptions'!$B$7,0),1)</f>
      </c>
      <c r="O362" s="91" t="str">
        <f>L362*I362</f>
      </c>
      <c r="P362" s="92" t="str">
        <f>M362*I362</f>
      </c>
      <c r="Q362" s="93" t="str">
        <f>P362*'Calculation_Assumptions'!$B$14*J362*K362</f>
      </c>
      <c r="R362" s="94" t="str">
        <f>O362*N362*J362*K362</f>
      </c>
      <c r="S362" s="95" t="str">
        <f>R362-Q362</f>
      </c>
      <c r="T362" s="96" t="str">
        <f>1/(1+'Calculation_Assumptions'!$B$8)^(B362-'Calculation_Assumptions'!$B$2)</f>
      </c>
      <c r="U362" s="97" t="str">
        <f>Q362*T362</f>
      </c>
      <c r="V362" s="98" t="str">
        <f>R362*T362</f>
      </c>
      <c r="W362" s="99" t="str">
        <f>S362*T362</f>
      </c>
      <c r="X362" t="n">
        <v>0</v>
      </c>
      <c r="Y362" s="100" t="n">
        <v>2017</v>
      </c>
      <c r="Z362" t="s">
        <v>389</v>
      </c>
      <c r="AA362" s="101" t="str">
        <f>IF(G362="shared-count-once",COUNTIFS($A$2:$A$807,A362,$B$2:$B$807,B362,$D$2:$D$807,D362),1)</f>
      </c>
    </row>
    <row r="363">
      <c r="A363" t="s">
        <v>263</v>
      </c>
      <c r="B363" s="79" t="n">
        <v>2048</v>
      </c>
      <c r="C363" t="s">
        <v>267</v>
      </c>
      <c r="D363" s="80" t="s">
        <v>411</v>
      </c>
      <c r="E363" s="81" t="s">
        <v>412</v>
      </c>
      <c r="F363" s="82" t="s">
        <v>270</v>
      </c>
      <c r="G363" s="83" t="s">
        <v>395</v>
      </c>
      <c r="H363" s="84" t="s">
        <v>386</v>
      </c>
      <c r="I363" s="85" t="n">
        <v>1</v>
      </c>
      <c r="J363" s="86" t="n">
        <v>1</v>
      </c>
      <c r="K363" s="87" t="n">
        <v>0.0077</v>
      </c>
      <c r="L363" s="88" t="n">
        <v>322375773.875941</v>
      </c>
      <c r="M363" s="89" t="n">
        <v>322453622.669464</v>
      </c>
      <c r="N363" s="90" t="str">
        <f>MIN(MAX((B363-'Calculation_Assumptions'!$B$5+1)/'Calculation_Assumptions'!$B$7,0),1)</f>
      </c>
      <c r="O363" s="91" t="str">
        <f>L363*I363</f>
      </c>
      <c r="P363" s="92" t="str">
        <f>M363*I363</f>
      </c>
      <c r="Q363" s="93" t="str">
        <f>P363*'Calculation_Assumptions'!$B$14*J363*K363</f>
      </c>
      <c r="R363" s="94" t="str">
        <f>O363*N363*J363*K363</f>
      </c>
      <c r="S363" s="95" t="str">
        <f>R363-Q363</f>
      </c>
      <c r="T363" s="96" t="str">
        <f>1/(1+'Calculation_Assumptions'!$B$8)^(B363-'Calculation_Assumptions'!$B$2)</f>
      </c>
      <c r="U363" s="97" t="str">
        <f>Q363*T363</f>
      </c>
      <c r="V363" s="98" t="str">
        <f>R363*T363</f>
      </c>
      <c r="W363" s="99" t="str">
        <f>S363*T363</f>
      </c>
      <c r="X363" t="n">
        <v>0</v>
      </c>
      <c r="Y363" s="100" t="n">
        <v>2017</v>
      </c>
      <c r="Z363" t="s">
        <v>389</v>
      </c>
      <c r="AA363" s="101" t="str">
        <f>IF(G363="shared-count-once",COUNTIFS($A$2:$A$807,A363,$B$2:$B$807,B363,$D$2:$D$807,D363),1)</f>
      </c>
    </row>
    <row r="364">
      <c r="A364" t="s">
        <v>263</v>
      </c>
      <c r="B364" s="79" t="n">
        <v>2049</v>
      </c>
      <c r="C364" t="s">
        <v>267</v>
      </c>
      <c r="D364" s="80" t="s">
        <v>411</v>
      </c>
      <c r="E364" s="81" t="s">
        <v>412</v>
      </c>
      <c r="F364" s="82" t="s">
        <v>270</v>
      </c>
      <c r="G364" s="83" t="s">
        <v>395</v>
      </c>
      <c r="H364" s="84" t="s">
        <v>386</v>
      </c>
      <c r="I364" s="85" t="n">
        <v>1</v>
      </c>
      <c r="J364" s="86" t="n">
        <v>1</v>
      </c>
      <c r="K364" s="87" t="n">
        <v>0.0077</v>
      </c>
      <c r="L364" s="88" t="n">
        <v>323181873.579941</v>
      </c>
      <c r="M364" s="89" t="n">
        <v>323259246.716719</v>
      </c>
      <c r="N364" s="90" t="str">
        <f>MIN(MAX((B364-'Calculation_Assumptions'!$B$5+1)/'Calculation_Assumptions'!$B$7,0),1)</f>
      </c>
      <c r="O364" s="91" t="str">
        <f>L364*I364</f>
      </c>
      <c r="P364" s="92" t="str">
        <f>M364*I364</f>
      </c>
      <c r="Q364" s="93" t="str">
        <f>P364*'Calculation_Assumptions'!$B$14*J364*K364</f>
      </c>
      <c r="R364" s="94" t="str">
        <f>O364*N364*J364*K364</f>
      </c>
      <c r="S364" s="95" t="str">
        <f>R364-Q364</f>
      </c>
      <c r="T364" s="96" t="str">
        <f>1/(1+'Calculation_Assumptions'!$B$8)^(B364-'Calculation_Assumptions'!$B$2)</f>
      </c>
      <c r="U364" s="97" t="str">
        <f>Q364*T364</f>
      </c>
      <c r="V364" s="98" t="str">
        <f>R364*T364</f>
      </c>
      <c r="W364" s="99" t="str">
        <f>S364*T364</f>
      </c>
      <c r="X364" t="n">
        <v>0</v>
      </c>
      <c r="Y364" s="100" t="n">
        <v>2017</v>
      </c>
      <c r="Z364" t="s">
        <v>389</v>
      </c>
      <c r="AA364" s="101" t="str">
        <f>IF(G364="shared-count-once",COUNTIFS($A$2:$A$807,A364,$B$2:$B$807,B364,$D$2:$D$807,D364),1)</f>
      </c>
    </row>
    <row r="365">
      <c r="A365" t="s">
        <v>263</v>
      </c>
      <c r="B365" s="79" t="n">
        <v>2050</v>
      </c>
      <c r="C365" t="s">
        <v>267</v>
      </c>
      <c r="D365" s="80" t="s">
        <v>411</v>
      </c>
      <c r="E365" s="81" t="s">
        <v>412</v>
      </c>
      <c r="F365" s="82" t="s">
        <v>270</v>
      </c>
      <c r="G365" s="83" t="s">
        <v>395</v>
      </c>
      <c r="H365" s="84" t="s">
        <v>386</v>
      </c>
      <c r="I365" s="85" t="n">
        <v>1</v>
      </c>
      <c r="J365" s="86" t="n">
        <v>1</v>
      </c>
      <c r="K365" s="87" t="n">
        <v>0.0077</v>
      </c>
      <c r="L365" s="88" t="n">
        <v>323936452.30861</v>
      </c>
      <c r="M365" s="89" t="n">
        <v>324013738.182479</v>
      </c>
      <c r="N365" s="90" t="str">
        <f>MIN(MAX((B365-'Calculation_Assumptions'!$B$5+1)/'Calculation_Assumptions'!$B$7,0),1)</f>
      </c>
      <c r="O365" s="91" t="str">
        <f>L365*I365</f>
      </c>
      <c r="P365" s="92" t="str">
        <f>M365*I365</f>
      </c>
      <c r="Q365" s="93" t="str">
        <f>P365*'Calculation_Assumptions'!$B$14*J365*K365</f>
      </c>
      <c r="R365" s="94" t="str">
        <f>O365*N365*J365*K365</f>
      </c>
      <c r="S365" s="95" t="str">
        <f>R365-Q365</f>
      </c>
      <c r="T365" s="96" t="str">
        <f>1/(1+'Calculation_Assumptions'!$B$8)^(B365-'Calculation_Assumptions'!$B$2)</f>
      </c>
      <c r="U365" s="97" t="str">
        <f>Q365*T365</f>
      </c>
      <c r="V365" s="98" t="str">
        <f>R365*T365</f>
      </c>
      <c r="W365" s="99" t="str">
        <f>S365*T365</f>
      </c>
      <c r="X365" t="n">
        <v>0</v>
      </c>
      <c r="Y365" s="100" t="n">
        <v>2017</v>
      </c>
      <c r="Z365" t="s">
        <v>389</v>
      </c>
      <c r="AA365" s="101" t="str">
        <f>IF(G365="shared-count-once",COUNTIFS($A$2:$A$807,A365,$B$2:$B$807,B365,$D$2:$D$807,D365),1)</f>
      </c>
    </row>
    <row r="366">
      <c r="A366" t="s">
        <v>263</v>
      </c>
      <c r="B366" s="79" t="n">
        <v>2025</v>
      </c>
      <c r="C366" t="s">
        <v>274</v>
      </c>
      <c r="D366" s="80" t="s">
        <v>413</v>
      </c>
      <c r="E366" s="81" t="s">
        <v>414</v>
      </c>
      <c r="F366" s="82" t="s">
        <v>277</v>
      </c>
      <c r="G366" s="83" t="s">
        <v>395</v>
      </c>
      <c r="H366" s="84" t="s">
        <v>386</v>
      </c>
      <c r="I366" s="85" t="n">
        <v>1</v>
      </c>
      <c r="J366" s="86" t="n">
        <v>1</v>
      </c>
      <c r="K366" s="87" t="n">
        <v>0.0077</v>
      </c>
      <c r="L366" s="88" t="n">
        <v>288000821.106462</v>
      </c>
      <c r="M366" s="89" t="n">
        <v>288000821.106462</v>
      </c>
      <c r="N366" s="90" t="str">
        <f>MIN(MAX((B366-'Calculation_Assumptions'!$B$5+1)/'Calculation_Assumptions'!$B$7,0),1)</f>
      </c>
      <c r="O366" s="91" t="str">
        <f>L366*I366</f>
      </c>
      <c r="P366" s="92" t="str">
        <f>M366*I366</f>
      </c>
      <c r="Q366" s="93" t="str">
        <f>P366*'Calculation_Assumptions'!$B$14*J366*K366</f>
      </c>
      <c r="R366" s="94" t="str">
        <f>O366*N366*J366*K366</f>
      </c>
      <c r="S366" s="95" t="str">
        <f>R366-Q366</f>
      </c>
      <c r="T366" s="96" t="str">
        <f>1/(1+'Calculation_Assumptions'!$B$8)^(B366-'Calculation_Assumptions'!$B$2)</f>
      </c>
      <c r="U366" s="97" t="str">
        <f>Q366*T366</f>
      </c>
      <c r="V366" s="98" t="str">
        <f>R366*T366</f>
      </c>
      <c r="W366" s="99" t="str">
        <f>S366*T366</f>
      </c>
      <c r="X366" t="n">
        <v>0</v>
      </c>
      <c r="Y366" s="100" t="n">
        <v>2017</v>
      </c>
      <c r="Z366" t="s">
        <v>389</v>
      </c>
      <c r="AA366" s="101" t="str">
        <f>IF(G366="shared-count-once",COUNTIFS($A$2:$A$807,A366,$B$2:$B$807,B366,$D$2:$D$807,D366),1)</f>
      </c>
    </row>
    <row r="367">
      <c r="A367" t="s">
        <v>263</v>
      </c>
      <c r="B367" s="79" t="n">
        <v>2026</v>
      </c>
      <c r="C367" t="s">
        <v>274</v>
      </c>
      <c r="D367" s="80" t="s">
        <v>413</v>
      </c>
      <c r="E367" s="81" t="s">
        <v>414</v>
      </c>
      <c r="F367" s="82" t="s">
        <v>277</v>
      </c>
      <c r="G367" s="83" t="s">
        <v>395</v>
      </c>
      <c r="H367" s="84" t="s">
        <v>386</v>
      </c>
      <c r="I367" s="85" t="n">
        <v>1</v>
      </c>
      <c r="J367" s="86" t="n">
        <v>1</v>
      </c>
      <c r="K367" s="87" t="n">
        <v>0.0077</v>
      </c>
      <c r="L367" s="88" t="n">
        <v>290123496.103219</v>
      </c>
      <c r="M367" s="89" t="n">
        <v>290123496.103219</v>
      </c>
      <c r="N367" s="90" t="str">
        <f>MIN(MAX((B367-'Calculation_Assumptions'!$B$5+1)/'Calculation_Assumptions'!$B$7,0),1)</f>
      </c>
      <c r="O367" s="91" t="str">
        <f>L367*I367</f>
      </c>
      <c r="P367" s="92" t="str">
        <f>M367*I367</f>
      </c>
      <c r="Q367" s="93" t="str">
        <f>P367*'Calculation_Assumptions'!$B$14*J367*K367</f>
      </c>
      <c r="R367" s="94" t="str">
        <f>O367*N367*J367*K367</f>
      </c>
      <c r="S367" s="95" t="str">
        <f>R367-Q367</f>
      </c>
      <c r="T367" s="96" t="str">
        <f>1/(1+'Calculation_Assumptions'!$B$8)^(B367-'Calculation_Assumptions'!$B$2)</f>
      </c>
      <c r="U367" s="97" t="str">
        <f>Q367*T367</f>
      </c>
      <c r="V367" s="98" t="str">
        <f>R367*T367</f>
      </c>
      <c r="W367" s="99" t="str">
        <f>S367*T367</f>
      </c>
      <c r="X367" t="n">
        <v>0</v>
      </c>
      <c r="Y367" s="100" t="n">
        <v>2017</v>
      </c>
      <c r="Z367" t="s">
        <v>389</v>
      </c>
      <c r="AA367" s="101" t="str">
        <f>IF(G367="shared-count-once",COUNTIFS($A$2:$A$807,A367,$B$2:$B$807,B367,$D$2:$D$807,D367),1)</f>
      </c>
    </row>
    <row r="368">
      <c r="A368" t="s">
        <v>263</v>
      </c>
      <c r="B368" s="79" t="n">
        <v>2027</v>
      </c>
      <c r="C368" t="s">
        <v>274</v>
      </c>
      <c r="D368" s="80" t="s">
        <v>413</v>
      </c>
      <c r="E368" s="81" t="s">
        <v>414</v>
      </c>
      <c r="F368" s="82" t="s">
        <v>277</v>
      </c>
      <c r="G368" s="83" t="s">
        <v>395</v>
      </c>
      <c r="H368" s="84" t="s">
        <v>386</v>
      </c>
      <c r="I368" s="85" t="n">
        <v>1</v>
      </c>
      <c r="J368" s="86" t="n">
        <v>1</v>
      </c>
      <c r="K368" s="87" t="n">
        <v>0.0077</v>
      </c>
      <c r="L368" s="88" t="n">
        <v>292252895.096956</v>
      </c>
      <c r="M368" s="89" t="n">
        <v>292252895.096956</v>
      </c>
      <c r="N368" s="90" t="str">
        <f>MIN(MAX((B368-'Calculation_Assumptions'!$B$5+1)/'Calculation_Assumptions'!$B$7,0),1)</f>
      </c>
      <c r="O368" s="91" t="str">
        <f>L368*I368</f>
      </c>
      <c r="P368" s="92" t="str">
        <f>M368*I368</f>
      </c>
      <c r="Q368" s="93" t="str">
        <f>P368*'Calculation_Assumptions'!$B$14*J368*K368</f>
      </c>
      <c r="R368" s="94" t="str">
        <f>O368*N368*J368*K368</f>
      </c>
      <c r="S368" s="95" t="str">
        <f>R368-Q368</f>
      </c>
      <c r="T368" s="96" t="str">
        <f>1/(1+'Calculation_Assumptions'!$B$8)^(B368-'Calculation_Assumptions'!$B$2)</f>
      </c>
      <c r="U368" s="97" t="str">
        <f>Q368*T368</f>
      </c>
      <c r="V368" s="98" t="str">
        <f>R368*T368</f>
      </c>
      <c r="W368" s="99" t="str">
        <f>S368*T368</f>
      </c>
      <c r="X368" t="n">
        <v>0</v>
      </c>
      <c r="Y368" s="100" t="n">
        <v>2017</v>
      </c>
      <c r="Z368" t="s">
        <v>389</v>
      </c>
      <c r="AA368" s="101" t="str">
        <f>IF(G368="shared-count-once",COUNTIFS($A$2:$A$807,A368,$B$2:$B$807,B368,$D$2:$D$807,D368),1)</f>
      </c>
    </row>
    <row r="369">
      <c r="A369" t="s">
        <v>263</v>
      </c>
      <c r="B369" s="79" t="n">
        <v>2028</v>
      </c>
      <c r="C369" t="s">
        <v>274</v>
      </c>
      <c r="D369" s="80" t="s">
        <v>413</v>
      </c>
      <c r="E369" s="81" t="s">
        <v>414</v>
      </c>
      <c r="F369" s="82" t="s">
        <v>277</v>
      </c>
      <c r="G369" s="83" t="s">
        <v>395</v>
      </c>
      <c r="H369" s="84" t="s">
        <v>386</v>
      </c>
      <c r="I369" s="85" t="n">
        <v>1</v>
      </c>
      <c r="J369" s="86" t="n">
        <v>1</v>
      </c>
      <c r="K369" s="87" t="n">
        <v>0.0077</v>
      </c>
      <c r="L369" s="88" t="n">
        <v>294314895.305465</v>
      </c>
      <c r="M369" s="89" t="n">
        <v>294314895.305465</v>
      </c>
      <c r="N369" s="90" t="str">
        <f>MIN(MAX((B369-'Calculation_Assumptions'!$B$5+1)/'Calculation_Assumptions'!$B$7,0),1)</f>
      </c>
      <c r="O369" s="91" t="str">
        <f>L369*I369</f>
      </c>
      <c r="P369" s="92" t="str">
        <f>M369*I369</f>
      </c>
      <c r="Q369" s="93" t="str">
        <f>P369*'Calculation_Assumptions'!$B$14*J369*K369</f>
      </c>
      <c r="R369" s="94" t="str">
        <f>O369*N369*J369*K369</f>
      </c>
      <c r="S369" s="95" t="str">
        <f>R369-Q369</f>
      </c>
      <c r="T369" s="96" t="str">
        <f>1/(1+'Calculation_Assumptions'!$B$8)^(B369-'Calculation_Assumptions'!$B$2)</f>
      </c>
      <c r="U369" s="97" t="str">
        <f>Q369*T369</f>
      </c>
      <c r="V369" s="98" t="str">
        <f>R369*T369</f>
      </c>
      <c r="W369" s="99" t="str">
        <f>S369*T369</f>
      </c>
      <c r="X369" t="n">
        <v>0</v>
      </c>
      <c r="Y369" s="100" t="n">
        <v>2017</v>
      </c>
      <c r="Z369" t="s">
        <v>389</v>
      </c>
      <c r="AA369" s="101" t="str">
        <f>IF(G369="shared-count-once",COUNTIFS($A$2:$A$807,A369,$B$2:$B$807,B369,$D$2:$D$807,D369),1)</f>
      </c>
    </row>
    <row r="370">
      <c r="A370" t="s">
        <v>263</v>
      </c>
      <c r="B370" s="79" t="n">
        <v>2029</v>
      </c>
      <c r="C370" t="s">
        <v>274</v>
      </c>
      <c r="D370" s="80" t="s">
        <v>413</v>
      </c>
      <c r="E370" s="81" t="s">
        <v>414</v>
      </c>
      <c r="F370" s="82" t="s">
        <v>277</v>
      </c>
      <c r="G370" s="83" t="s">
        <v>395</v>
      </c>
      <c r="H370" s="84" t="s">
        <v>386</v>
      </c>
      <c r="I370" s="85" t="n">
        <v>1</v>
      </c>
      <c r="J370" s="86" t="n">
        <v>1</v>
      </c>
      <c r="K370" s="87" t="n">
        <v>0.0077</v>
      </c>
      <c r="L370" s="88" t="n">
        <v>296341245.393897</v>
      </c>
      <c r="M370" s="89" t="n">
        <v>296341062.542853</v>
      </c>
      <c r="N370" s="90" t="str">
        <f>MIN(MAX((B370-'Calculation_Assumptions'!$B$5+1)/'Calculation_Assumptions'!$B$7,0),1)</f>
      </c>
      <c r="O370" s="91" t="str">
        <f>L370*I370</f>
      </c>
      <c r="P370" s="92" t="str">
        <f>M370*I370</f>
      </c>
      <c r="Q370" s="93" t="str">
        <f>P370*'Calculation_Assumptions'!$B$14*J370*K370</f>
      </c>
      <c r="R370" s="94" t="str">
        <f>O370*N370*J370*K370</f>
      </c>
      <c r="S370" s="95" t="str">
        <f>R370-Q370</f>
      </c>
      <c r="T370" s="96" t="str">
        <f>1/(1+'Calculation_Assumptions'!$B$8)^(B370-'Calculation_Assumptions'!$B$2)</f>
      </c>
      <c r="U370" s="97" t="str">
        <f>Q370*T370</f>
      </c>
      <c r="V370" s="98" t="str">
        <f>R370*T370</f>
      </c>
      <c r="W370" s="99" t="str">
        <f>S370*T370</f>
      </c>
      <c r="X370" t="n">
        <v>0</v>
      </c>
      <c r="Y370" s="100" t="n">
        <v>2017</v>
      </c>
      <c r="Z370" t="s">
        <v>389</v>
      </c>
      <c r="AA370" s="101" t="str">
        <f>IF(G370="shared-count-once",COUNTIFS($A$2:$A$807,A370,$B$2:$B$807,B370,$D$2:$D$807,D370),1)</f>
      </c>
    </row>
    <row r="371">
      <c r="A371" t="s">
        <v>263</v>
      </c>
      <c r="B371" s="79" t="n">
        <v>2030</v>
      </c>
      <c r="C371" t="s">
        <v>274</v>
      </c>
      <c r="D371" s="80" t="s">
        <v>413</v>
      </c>
      <c r="E371" s="81" t="s">
        <v>414</v>
      </c>
      <c r="F371" s="82" t="s">
        <v>277</v>
      </c>
      <c r="G371" s="83" t="s">
        <v>395</v>
      </c>
      <c r="H371" s="84" t="s">
        <v>386</v>
      </c>
      <c r="I371" s="85" t="n">
        <v>1</v>
      </c>
      <c r="J371" s="86" t="n">
        <v>1</v>
      </c>
      <c r="K371" s="87" t="n">
        <v>0.0077</v>
      </c>
      <c r="L371" s="88" t="n">
        <v>298280952.043994</v>
      </c>
      <c r="M371" s="89" t="n">
        <v>298280286.057263</v>
      </c>
      <c r="N371" s="90" t="str">
        <f>MIN(MAX((B371-'Calculation_Assumptions'!$B$5+1)/'Calculation_Assumptions'!$B$7,0),1)</f>
      </c>
      <c r="O371" s="91" t="str">
        <f>L371*I371</f>
      </c>
      <c r="P371" s="92" t="str">
        <f>M371*I371</f>
      </c>
      <c r="Q371" s="93" t="str">
        <f>P371*'Calculation_Assumptions'!$B$14*J371*K371</f>
      </c>
      <c r="R371" s="94" t="str">
        <f>O371*N371*J371*K371</f>
      </c>
      <c r="S371" s="95" t="str">
        <f>R371-Q371</f>
      </c>
      <c r="T371" s="96" t="str">
        <f>1/(1+'Calculation_Assumptions'!$B$8)^(B371-'Calculation_Assumptions'!$B$2)</f>
      </c>
      <c r="U371" s="97" t="str">
        <f>Q371*T371</f>
      </c>
      <c r="V371" s="98" t="str">
        <f>R371*T371</f>
      </c>
      <c r="W371" s="99" t="str">
        <f>S371*T371</f>
      </c>
      <c r="X371" t="n">
        <v>0</v>
      </c>
      <c r="Y371" s="100" t="n">
        <v>2017</v>
      </c>
      <c r="Z371" t="s">
        <v>389</v>
      </c>
      <c r="AA371" s="101" t="str">
        <f>IF(G371="shared-count-once",COUNTIFS($A$2:$A$807,A371,$B$2:$B$807,B371,$D$2:$D$807,D371),1)</f>
      </c>
    </row>
    <row r="372">
      <c r="A372" t="s">
        <v>263</v>
      </c>
      <c r="B372" s="79" t="n">
        <v>2031</v>
      </c>
      <c r="C372" t="s">
        <v>274</v>
      </c>
      <c r="D372" s="80" t="s">
        <v>413</v>
      </c>
      <c r="E372" s="81" t="s">
        <v>414</v>
      </c>
      <c r="F372" s="82" t="s">
        <v>277</v>
      </c>
      <c r="G372" s="83" t="s">
        <v>395</v>
      </c>
      <c r="H372" s="84" t="s">
        <v>386</v>
      </c>
      <c r="I372" s="85" t="n">
        <v>1</v>
      </c>
      <c r="J372" s="86" t="n">
        <v>1</v>
      </c>
      <c r="K372" s="87" t="n">
        <v>0.0077</v>
      </c>
      <c r="L372" s="88" t="n">
        <v>300154142.159223</v>
      </c>
      <c r="M372" s="89" t="n">
        <v>300152603.254782</v>
      </c>
      <c r="N372" s="90" t="str">
        <f>MIN(MAX((B372-'Calculation_Assumptions'!$B$5+1)/'Calculation_Assumptions'!$B$7,0),1)</f>
      </c>
      <c r="O372" s="91" t="str">
        <f>L372*I372</f>
      </c>
      <c r="P372" s="92" t="str">
        <f>M372*I372</f>
      </c>
      <c r="Q372" s="93" t="str">
        <f>P372*'Calculation_Assumptions'!$B$14*J372*K372</f>
      </c>
      <c r="R372" s="94" t="str">
        <f>O372*N372*J372*K372</f>
      </c>
      <c r="S372" s="95" t="str">
        <f>R372-Q372</f>
      </c>
      <c r="T372" s="96" t="str">
        <f>1/(1+'Calculation_Assumptions'!$B$8)^(B372-'Calculation_Assumptions'!$B$2)</f>
      </c>
      <c r="U372" s="97" t="str">
        <f>Q372*T372</f>
      </c>
      <c r="V372" s="98" t="str">
        <f>R372*T372</f>
      </c>
      <c r="W372" s="99" t="str">
        <f>S372*T372</f>
      </c>
      <c r="X372" t="n">
        <v>0</v>
      </c>
      <c r="Y372" s="100" t="n">
        <v>2017</v>
      </c>
      <c r="Z372" t="s">
        <v>389</v>
      </c>
      <c r="AA372" s="101" t="str">
        <f>IF(G372="shared-count-once",COUNTIFS($A$2:$A$807,A372,$B$2:$B$807,B372,$D$2:$D$807,D372),1)</f>
      </c>
    </row>
    <row r="373">
      <c r="A373" t="s">
        <v>263</v>
      </c>
      <c r="B373" s="79" t="n">
        <v>2032</v>
      </c>
      <c r="C373" t="s">
        <v>274</v>
      </c>
      <c r="D373" s="80" t="s">
        <v>413</v>
      </c>
      <c r="E373" s="81" t="s">
        <v>414</v>
      </c>
      <c r="F373" s="82" t="s">
        <v>277</v>
      </c>
      <c r="G373" s="83" t="s">
        <v>395</v>
      </c>
      <c r="H373" s="84" t="s">
        <v>386</v>
      </c>
      <c r="I373" s="85" t="n">
        <v>1</v>
      </c>
      <c r="J373" s="86" t="n">
        <v>1</v>
      </c>
      <c r="K373" s="87" t="n">
        <v>0.0077</v>
      </c>
      <c r="L373" s="88" t="n">
        <v>301962269.72229</v>
      </c>
      <c r="M373" s="89" t="n">
        <v>301959399.633888</v>
      </c>
      <c r="N373" s="90" t="str">
        <f>MIN(MAX((B373-'Calculation_Assumptions'!$B$5+1)/'Calculation_Assumptions'!$B$7,0),1)</f>
      </c>
      <c r="O373" s="91" t="str">
        <f>L373*I373</f>
      </c>
      <c r="P373" s="92" t="str">
        <f>M373*I373</f>
      </c>
      <c r="Q373" s="93" t="str">
        <f>P373*'Calculation_Assumptions'!$B$14*J373*K373</f>
      </c>
      <c r="R373" s="94" t="str">
        <f>O373*N373*J373*K373</f>
      </c>
      <c r="S373" s="95" t="str">
        <f>R373-Q373</f>
      </c>
      <c r="T373" s="96" t="str">
        <f>1/(1+'Calculation_Assumptions'!$B$8)^(B373-'Calculation_Assumptions'!$B$2)</f>
      </c>
      <c r="U373" s="97" t="str">
        <f>Q373*T373</f>
      </c>
      <c r="V373" s="98" t="str">
        <f>R373*T373</f>
      </c>
      <c r="W373" s="99" t="str">
        <f>S373*T373</f>
      </c>
      <c r="X373" t="n">
        <v>0</v>
      </c>
      <c r="Y373" s="100" t="n">
        <v>2017</v>
      </c>
      <c r="Z373" t="s">
        <v>389</v>
      </c>
      <c r="AA373" s="101" t="str">
        <f>IF(G373="shared-count-once",COUNTIFS($A$2:$A$807,A373,$B$2:$B$807,B373,$D$2:$D$807,D373),1)</f>
      </c>
    </row>
    <row r="374">
      <c r="A374" t="s">
        <v>263</v>
      </c>
      <c r="B374" s="79" t="n">
        <v>2033</v>
      </c>
      <c r="C374" t="s">
        <v>274</v>
      </c>
      <c r="D374" s="80" t="s">
        <v>413</v>
      </c>
      <c r="E374" s="81" t="s">
        <v>414</v>
      </c>
      <c r="F374" s="82" t="s">
        <v>277</v>
      </c>
      <c r="G374" s="83" t="s">
        <v>395</v>
      </c>
      <c r="H374" s="84" t="s">
        <v>386</v>
      </c>
      <c r="I374" s="85" t="n">
        <v>1</v>
      </c>
      <c r="J374" s="86" t="n">
        <v>1</v>
      </c>
      <c r="K374" s="87" t="n">
        <v>0.0077</v>
      </c>
      <c r="L374" s="88" t="n">
        <v>303705748.865937</v>
      </c>
      <c r="M374" s="89" t="n">
        <v>303701035.202051</v>
      </c>
      <c r="N374" s="90" t="str">
        <f>MIN(MAX((B374-'Calculation_Assumptions'!$B$5+1)/'Calculation_Assumptions'!$B$7,0),1)</f>
      </c>
      <c r="O374" s="91" t="str">
        <f>L374*I374</f>
      </c>
      <c r="P374" s="92" t="str">
        <f>M374*I374</f>
      </c>
      <c r="Q374" s="93" t="str">
        <f>P374*'Calculation_Assumptions'!$B$14*J374*K374</f>
      </c>
      <c r="R374" s="94" t="str">
        <f>O374*N374*J374*K374</f>
      </c>
      <c r="S374" s="95" t="str">
        <f>R374-Q374</f>
      </c>
      <c r="T374" s="96" t="str">
        <f>1/(1+'Calculation_Assumptions'!$B$8)^(B374-'Calculation_Assumptions'!$B$2)</f>
      </c>
      <c r="U374" s="97" t="str">
        <f>Q374*T374</f>
      </c>
      <c r="V374" s="98" t="str">
        <f>R374*T374</f>
      </c>
      <c r="W374" s="99" t="str">
        <f>S374*T374</f>
      </c>
      <c r="X374" t="n">
        <v>0</v>
      </c>
      <c r="Y374" s="100" t="n">
        <v>2017</v>
      </c>
      <c r="Z374" t="s">
        <v>389</v>
      </c>
      <c r="AA374" s="101" t="str">
        <f>IF(G374="shared-count-once",COUNTIFS($A$2:$A$807,A374,$B$2:$B$807,B374,$D$2:$D$807,D374),1)</f>
      </c>
    </row>
    <row r="375">
      <c r="A375" t="s">
        <v>263</v>
      </c>
      <c r="B375" s="79" t="n">
        <v>2034</v>
      </c>
      <c r="C375" t="s">
        <v>274</v>
      </c>
      <c r="D375" s="80" t="s">
        <v>413</v>
      </c>
      <c r="E375" s="81" t="s">
        <v>414</v>
      </c>
      <c r="F375" s="82" t="s">
        <v>277</v>
      </c>
      <c r="G375" s="83" t="s">
        <v>395</v>
      </c>
      <c r="H375" s="84" t="s">
        <v>386</v>
      </c>
      <c r="I375" s="85" t="n">
        <v>1</v>
      </c>
      <c r="J375" s="86" t="n">
        <v>1</v>
      </c>
      <c r="K375" s="87" t="n">
        <v>0.0077</v>
      </c>
      <c r="L375" s="88" t="n">
        <v>305295013.817194</v>
      </c>
      <c r="M375" s="89" t="n">
        <v>305377998.093319</v>
      </c>
      <c r="N375" s="90" t="str">
        <f>MIN(MAX((B375-'Calculation_Assumptions'!$B$5+1)/'Calculation_Assumptions'!$B$7,0),1)</f>
      </c>
      <c r="O375" s="91" t="str">
        <f>L375*I375</f>
      </c>
      <c r="P375" s="92" t="str">
        <f>M375*I375</f>
      </c>
      <c r="Q375" s="93" t="str">
        <f>P375*'Calculation_Assumptions'!$B$14*J375*K375</f>
      </c>
      <c r="R375" s="94" t="str">
        <f>O375*N375*J375*K375</f>
      </c>
      <c r="S375" s="95" t="str">
        <f>R375-Q375</f>
      </c>
      <c r="T375" s="96" t="str">
        <f>1/(1+'Calculation_Assumptions'!$B$8)^(B375-'Calculation_Assumptions'!$B$2)</f>
      </c>
      <c r="U375" s="97" t="str">
        <f>Q375*T375</f>
      </c>
      <c r="V375" s="98" t="str">
        <f>R375*T375</f>
      </c>
      <c r="W375" s="99" t="str">
        <f>S375*T375</f>
      </c>
      <c r="X375" t="n">
        <v>0</v>
      </c>
      <c r="Y375" s="100" t="n">
        <v>2017</v>
      </c>
      <c r="Z375" t="s">
        <v>389</v>
      </c>
      <c r="AA375" s="101" t="str">
        <f>IF(G375="shared-count-once",COUNTIFS($A$2:$A$807,A375,$B$2:$B$807,B375,$D$2:$D$807,D375),1)</f>
      </c>
    </row>
    <row r="376">
      <c r="A376" t="s">
        <v>263</v>
      </c>
      <c r="B376" s="79" t="n">
        <v>2035</v>
      </c>
      <c r="C376" t="s">
        <v>274</v>
      </c>
      <c r="D376" s="80" t="s">
        <v>413</v>
      </c>
      <c r="E376" s="81" t="s">
        <v>414</v>
      </c>
      <c r="F376" s="82" t="s">
        <v>277</v>
      </c>
      <c r="G376" s="83" t="s">
        <v>395</v>
      </c>
      <c r="H376" s="84" t="s">
        <v>386</v>
      </c>
      <c r="I376" s="85" t="n">
        <v>1</v>
      </c>
      <c r="J376" s="86" t="n">
        <v>1</v>
      </c>
      <c r="K376" s="87" t="n">
        <v>0.0077</v>
      </c>
      <c r="L376" s="88" t="n">
        <v>306900803.866169</v>
      </c>
      <c r="M376" s="89" t="n">
        <v>306989258.29407</v>
      </c>
      <c r="N376" s="90" t="str">
        <f>MIN(MAX((B376-'Calculation_Assumptions'!$B$5+1)/'Calculation_Assumptions'!$B$7,0),1)</f>
      </c>
      <c r="O376" s="91" t="str">
        <f>L376*I376</f>
      </c>
      <c r="P376" s="92" t="str">
        <f>M376*I376</f>
      </c>
      <c r="Q376" s="93" t="str">
        <f>P376*'Calculation_Assumptions'!$B$14*J376*K376</f>
      </c>
      <c r="R376" s="94" t="str">
        <f>O376*N376*J376*K376</f>
      </c>
      <c r="S376" s="95" t="str">
        <f>R376-Q376</f>
      </c>
      <c r="T376" s="96" t="str">
        <f>1/(1+'Calculation_Assumptions'!$B$8)^(B376-'Calculation_Assumptions'!$B$2)</f>
      </c>
      <c r="U376" s="97" t="str">
        <f>Q376*T376</f>
      </c>
      <c r="V376" s="98" t="str">
        <f>R376*T376</f>
      </c>
      <c r="W376" s="99" t="str">
        <f>S376*T376</f>
      </c>
      <c r="X376" t="n">
        <v>0</v>
      </c>
      <c r="Y376" s="100" t="n">
        <v>2017</v>
      </c>
      <c r="Z376" t="s">
        <v>389</v>
      </c>
      <c r="AA376" s="101" t="str">
        <f>IF(G376="shared-count-once",COUNTIFS($A$2:$A$807,A376,$B$2:$B$807,B376,$D$2:$D$807,D376),1)</f>
      </c>
    </row>
    <row r="377">
      <c r="A377" t="s">
        <v>263</v>
      </c>
      <c r="B377" s="79" t="n">
        <v>2036</v>
      </c>
      <c r="C377" t="s">
        <v>274</v>
      </c>
      <c r="D377" s="80" t="s">
        <v>413</v>
      </c>
      <c r="E377" s="81" t="s">
        <v>414</v>
      </c>
      <c r="F377" s="82" t="s">
        <v>277</v>
      </c>
      <c r="G377" s="83" t="s">
        <v>395</v>
      </c>
      <c r="H377" s="84" t="s">
        <v>386</v>
      </c>
      <c r="I377" s="85" t="n">
        <v>1</v>
      </c>
      <c r="J377" s="86" t="n">
        <v>1</v>
      </c>
      <c r="K377" s="87" t="n">
        <v>0.0077</v>
      </c>
      <c r="L377" s="88" t="n">
        <v>308444396.270037</v>
      </c>
      <c r="M377" s="89" t="n">
        <v>308537399.672094</v>
      </c>
      <c r="N377" s="90" t="str">
        <f>MIN(MAX((B377-'Calculation_Assumptions'!$B$5+1)/'Calculation_Assumptions'!$B$7,0),1)</f>
      </c>
      <c r="O377" s="91" t="str">
        <f>L377*I377</f>
      </c>
      <c r="P377" s="92" t="str">
        <f>M377*I377</f>
      </c>
      <c r="Q377" s="93" t="str">
        <f>P377*'Calculation_Assumptions'!$B$14*J377*K377</f>
      </c>
      <c r="R377" s="94" t="str">
        <f>O377*N377*J377*K377</f>
      </c>
      <c r="S377" s="95" t="str">
        <f>R377-Q377</f>
      </c>
      <c r="T377" s="96" t="str">
        <f>1/(1+'Calculation_Assumptions'!$B$8)^(B377-'Calculation_Assumptions'!$B$2)</f>
      </c>
      <c r="U377" s="97" t="str">
        <f>Q377*T377</f>
      </c>
      <c r="V377" s="98" t="str">
        <f>R377*T377</f>
      </c>
      <c r="W377" s="99" t="str">
        <f>S377*T377</f>
      </c>
      <c r="X377" t="n">
        <v>0</v>
      </c>
      <c r="Y377" s="100" t="n">
        <v>2017</v>
      </c>
      <c r="Z377" t="s">
        <v>389</v>
      </c>
      <c r="AA377" s="101" t="str">
        <f>IF(G377="shared-count-once",COUNTIFS($A$2:$A$807,A377,$B$2:$B$807,B377,$D$2:$D$807,D377),1)</f>
      </c>
    </row>
    <row r="378">
      <c r="A378" t="s">
        <v>263</v>
      </c>
      <c r="B378" s="79" t="n">
        <v>2037</v>
      </c>
      <c r="C378" t="s">
        <v>274</v>
      </c>
      <c r="D378" s="80" t="s">
        <v>413</v>
      </c>
      <c r="E378" s="81" t="s">
        <v>414</v>
      </c>
      <c r="F378" s="82" t="s">
        <v>277</v>
      </c>
      <c r="G378" s="83" t="s">
        <v>395</v>
      </c>
      <c r="H378" s="84" t="s">
        <v>386</v>
      </c>
      <c r="I378" s="85" t="n">
        <v>1</v>
      </c>
      <c r="J378" s="86" t="n">
        <v>1</v>
      </c>
      <c r="K378" s="87" t="n">
        <v>0.0077</v>
      </c>
      <c r="L378" s="88" t="n">
        <v>309926586.801066</v>
      </c>
      <c r="M378" s="89" t="n">
        <v>310023120.393472</v>
      </c>
      <c r="N378" s="90" t="str">
        <f>MIN(MAX((B378-'Calculation_Assumptions'!$B$5+1)/'Calculation_Assumptions'!$B$7,0),1)</f>
      </c>
      <c r="O378" s="91" t="str">
        <f>L378*I378</f>
      </c>
      <c r="P378" s="92" t="str">
        <f>M378*I378</f>
      </c>
      <c r="Q378" s="93" t="str">
        <f>P378*'Calculation_Assumptions'!$B$14*J378*K378</f>
      </c>
      <c r="R378" s="94" t="str">
        <f>O378*N378*J378*K378</f>
      </c>
      <c r="S378" s="95" t="str">
        <f>R378-Q378</f>
      </c>
      <c r="T378" s="96" t="str">
        <f>1/(1+'Calculation_Assumptions'!$B$8)^(B378-'Calculation_Assumptions'!$B$2)</f>
      </c>
      <c r="U378" s="97" t="str">
        <f>Q378*T378</f>
      </c>
      <c r="V378" s="98" t="str">
        <f>R378*T378</f>
      </c>
      <c r="W378" s="99" t="str">
        <f>S378*T378</f>
      </c>
      <c r="X378" t="n">
        <v>0</v>
      </c>
      <c r="Y378" s="100" t="n">
        <v>2017</v>
      </c>
      <c r="Z378" t="s">
        <v>389</v>
      </c>
      <c r="AA378" s="101" t="str">
        <f>IF(G378="shared-count-once",COUNTIFS($A$2:$A$807,A378,$B$2:$B$807,B378,$D$2:$D$807,D378),1)</f>
      </c>
    </row>
    <row r="379">
      <c r="A379" t="s">
        <v>263</v>
      </c>
      <c r="B379" s="79" t="n">
        <v>2038</v>
      </c>
      <c r="C379" t="s">
        <v>274</v>
      </c>
      <c r="D379" s="80" t="s">
        <v>413</v>
      </c>
      <c r="E379" s="81" t="s">
        <v>414</v>
      </c>
      <c r="F379" s="82" t="s">
        <v>277</v>
      </c>
      <c r="G379" s="83" t="s">
        <v>395</v>
      </c>
      <c r="H379" s="84" t="s">
        <v>386</v>
      </c>
      <c r="I379" s="85" t="n">
        <v>1</v>
      </c>
      <c r="J379" s="86" t="n">
        <v>1</v>
      </c>
      <c r="K379" s="87" t="n">
        <v>0.0077</v>
      </c>
      <c r="L379" s="88" t="n">
        <v>311347459.096139</v>
      </c>
      <c r="M379" s="89" t="n">
        <v>311445837.134625</v>
      </c>
      <c r="N379" s="90" t="str">
        <f>MIN(MAX((B379-'Calculation_Assumptions'!$B$5+1)/'Calculation_Assumptions'!$B$7,0),1)</f>
      </c>
      <c r="O379" s="91" t="str">
        <f>L379*I379</f>
      </c>
      <c r="P379" s="92" t="str">
        <f>M379*I379</f>
      </c>
      <c r="Q379" s="93" t="str">
        <f>P379*'Calculation_Assumptions'!$B$14*J379*K379</f>
      </c>
      <c r="R379" s="94" t="str">
        <f>O379*N379*J379*K379</f>
      </c>
      <c r="S379" s="95" t="str">
        <f>R379-Q379</f>
      </c>
      <c r="T379" s="96" t="str">
        <f>1/(1+'Calculation_Assumptions'!$B$8)^(B379-'Calculation_Assumptions'!$B$2)</f>
      </c>
      <c r="U379" s="97" t="str">
        <f>Q379*T379</f>
      </c>
      <c r="V379" s="98" t="str">
        <f>R379*T379</f>
      </c>
      <c r="W379" s="99" t="str">
        <f>S379*T379</f>
      </c>
      <c r="X379" t="n">
        <v>0</v>
      </c>
      <c r="Y379" s="100" t="n">
        <v>2017</v>
      </c>
      <c r="Z379" t="s">
        <v>389</v>
      </c>
      <c r="AA379" s="101" t="str">
        <f>IF(G379="shared-count-once",COUNTIFS($A$2:$A$807,A379,$B$2:$B$807,B379,$D$2:$D$807,D379),1)</f>
      </c>
    </row>
    <row r="380">
      <c r="A380" t="s">
        <v>263</v>
      </c>
      <c r="B380" s="79" t="n">
        <v>2039</v>
      </c>
      <c r="C380" t="s">
        <v>274</v>
      </c>
      <c r="D380" s="80" t="s">
        <v>413</v>
      </c>
      <c r="E380" s="81" t="s">
        <v>414</v>
      </c>
      <c r="F380" s="82" t="s">
        <v>277</v>
      </c>
      <c r="G380" s="83" t="s">
        <v>395</v>
      </c>
      <c r="H380" s="84" t="s">
        <v>386</v>
      </c>
      <c r="I380" s="85" t="n">
        <v>1</v>
      </c>
      <c r="J380" s="86" t="n">
        <v>1</v>
      </c>
      <c r="K380" s="87" t="n">
        <v>0.0077</v>
      </c>
      <c r="L380" s="88" t="n">
        <v>312708287.385599</v>
      </c>
      <c r="M380" s="89" t="n">
        <v>312806989.715685</v>
      </c>
      <c r="N380" s="90" t="str">
        <f>MIN(MAX((B380-'Calculation_Assumptions'!$B$5+1)/'Calculation_Assumptions'!$B$7,0),1)</f>
      </c>
      <c r="O380" s="91" t="str">
        <f>L380*I380</f>
      </c>
      <c r="P380" s="92" t="str">
        <f>M380*I380</f>
      </c>
      <c r="Q380" s="93" t="str">
        <f>P380*'Calculation_Assumptions'!$B$14*J380*K380</f>
      </c>
      <c r="R380" s="94" t="str">
        <f>O380*N380*J380*K380</f>
      </c>
      <c r="S380" s="95" t="str">
        <f>R380-Q380</f>
      </c>
      <c r="T380" s="96" t="str">
        <f>1/(1+'Calculation_Assumptions'!$B$8)^(B380-'Calculation_Assumptions'!$B$2)</f>
      </c>
      <c r="U380" s="97" t="str">
        <f>Q380*T380</f>
      </c>
      <c r="V380" s="98" t="str">
        <f>R380*T380</f>
      </c>
      <c r="W380" s="99" t="str">
        <f>S380*T380</f>
      </c>
      <c r="X380" t="n">
        <v>0</v>
      </c>
      <c r="Y380" s="100" t="n">
        <v>2017</v>
      </c>
      <c r="Z380" t="s">
        <v>389</v>
      </c>
      <c r="AA380" s="101" t="str">
        <f>IF(G380="shared-count-once",COUNTIFS($A$2:$A$807,A380,$B$2:$B$807,B380,$D$2:$D$807,D380),1)</f>
      </c>
    </row>
    <row r="381">
      <c r="A381" t="s">
        <v>263</v>
      </c>
      <c r="B381" s="79" t="n">
        <v>2040</v>
      </c>
      <c r="C381" t="s">
        <v>274</v>
      </c>
      <c r="D381" s="80" t="s">
        <v>413</v>
      </c>
      <c r="E381" s="81" t="s">
        <v>414</v>
      </c>
      <c r="F381" s="82" t="s">
        <v>277</v>
      </c>
      <c r="G381" s="83" t="s">
        <v>395</v>
      </c>
      <c r="H381" s="84" t="s">
        <v>386</v>
      </c>
      <c r="I381" s="85" t="n">
        <v>1</v>
      </c>
      <c r="J381" s="86" t="n">
        <v>1</v>
      </c>
      <c r="K381" s="87" t="n">
        <v>0.0077</v>
      </c>
      <c r="L381" s="88" t="n">
        <v>314011460.665522</v>
      </c>
      <c r="M381" s="89" t="n">
        <v>314109251.582649</v>
      </c>
      <c r="N381" s="90" t="str">
        <f>MIN(MAX((B381-'Calculation_Assumptions'!$B$5+1)/'Calculation_Assumptions'!$B$7,0),1)</f>
      </c>
      <c r="O381" s="91" t="str">
        <f>L381*I381</f>
      </c>
      <c r="P381" s="92" t="str">
        <f>M381*I381</f>
      </c>
      <c r="Q381" s="93" t="str">
        <f>P381*'Calculation_Assumptions'!$B$14*J381*K381</f>
      </c>
      <c r="R381" s="94" t="str">
        <f>O381*N381*J381*K381</f>
      </c>
      <c r="S381" s="95" t="str">
        <f>R381-Q381</f>
      </c>
      <c r="T381" s="96" t="str">
        <f>1/(1+'Calculation_Assumptions'!$B$8)^(B381-'Calculation_Assumptions'!$B$2)</f>
      </c>
      <c r="U381" s="97" t="str">
        <f>Q381*T381</f>
      </c>
      <c r="V381" s="98" t="str">
        <f>R381*T381</f>
      </c>
      <c r="W381" s="99" t="str">
        <f>S381*T381</f>
      </c>
      <c r="X381" t="n">
        <v>0</v>
      </c>
      <c r="Y381" s="100" t="n">
        <v>2017</v>
      </c>
      <c r="Z381" t="s">
        <v>389</v>
      </c>
      <c r="AA381" s="101" t="str">
        <f>IF(G381="shared-count-once",COUNTIFS($A$2:$A$807,A381,$B$2:$B$807,B381,$D$2:$D$807,D381),1)</f>
      </c>
    </row>
    <row r="382">
      <c r="A382" t="s">
        <v>263</v>
      </c>
      <c r="B382" s="79" t="n">
        <v>2041</v>
      </c>
      <c r="C382" t="s">
        <v>274</v>
      </c>
      <c r="D382" s="80" t="s">
        <v>413</v>
      </c>
      <c r="E382" s="81" t="s">
        <v>414</v>
      </c>
      <c r="F382" s="82" t="s">
        <v>277</v>
      </c>
      <c r="G382" s="83" t="s">
        <v>395</v>
      </c>
      <c r="H382" s="84" t="s">
        <v>386</v>
      </c>
      <c r="I382" s="85" t="n">
        <v>1</v>
      </c>
      <c r="J382" s="86" t="n">
        <v>1</v>
      </c>
      <c r="K382" s="87" t="n">
        <v>0.0077</v>
      </c>
      <c r="L382" s="88" t="n">
        <v>315255939.009039</v>
      </c>
      <c r="M382" s="89" t="n">
        <v>315352079.812423</v>
      </c>
      <c r="N382" s="90" t="str">
        <f>MIN(MAX((B382-'Calculation_Assumptions'!$B$5+1)/'Calculation_Assumptions'!$B$7,0),1)</f>
      </c>
      <c r="O382" s="91" t="str">
        <f>L382*I382</f>
      </c>
      <c r="P382" s="92" t="str">
        <f>M382*I382</f>
      </c>
      <c r="Q382" s="93" t="str">
        <f>P382*'Calculation_Assumptions'!$B$14*J382*K382</f>
      </c>
      <c r="R382" s="94" t="str">
        <f>O382*N382*J382*K382</f>
      </c>
      <c r="S382" s="95" t="str">
        <f>R382-Q382</f>
      </c>
      <c r="T382" s="96" t="str">
        <f>1/(1+'Calculation_Assumptions'!$B$8)^(B382-'Calculation_Assumptions'!$B$2)</f>
      </c>
      <c r="U382" s="97" t="str">
        <f>Q382*T382</f>
      </c>
      <c r="V382" s="98" t="str">
        <f>R382*T382</f>
      </c>
      <c r="W382" s="99" t="str">
        <f>S382*T382</f>
      </c>
      <c r="X382" t="n">
        <v>0</v>
      </c>
      <c r="Y382" s="100" t="n">
        <v>2017</v>
      </c>
      <c r="Z382" t="s">
        <v>389</v>
      </c>
      <c r="AA382" s="101" t="str">
        <f>IF(G382="shared-count-once",COUNTIFS($A$2:$A$807,A382,$B$2:$B$807,B382,$D$2:$D$807,D382),1)</f>
      </c>
    </row>
    <row r="383">
      <c r="A383" t="s">
        <v>263</v>
      </c>
      <c r="B383" s="79" t="n">
        <v>2042</v>
      </c>
      <c r="C383" t="s">
        <v>274</v>
      </c>
      <c r="D383" s="80" t="s">
        <v>413</v>
      </c>
      <c r="E383" s="81" t="s">
        <v>414</v>
      </c>
      <c r="F383" s="82" t="s">
        <v>277</v>
      </c>
      <c r="G383" s="83" t="s">
        <v>395</v>
      </c>
      <c r="H383" s="84" t="s">
        <v>386</v>
      </c>
      <c r="I383" s="85" t="n">
        <v>1</v>
      </c>
      <c r="J383" s="86" t="n">
        <v>1</v>
      </c>
      <c r="K383" s="87" t="n">
        <v>0.0077</v>
      </c>
      <c r="L383" s="88" t="n">
        <v>316442548.049483</v>
      </c>
      <c r="M383" s="89" t="n">
        <v>316395286.312016</v>
      </c>
      <c r="N383" s="90" t="str">
        <f>MIN(MAX((B383-'Calculation_Assumptions'!$B$5+1)/'Calculation_Assumptions'!$B$7,0),1)</f>
      </c>
      <c r="O383" s="91" t="str">
        <f>L383*I383</f>
      </c>
      <c r="P383" s="92" t="str">
        <f>M383*I383</f>
      </c>
      <c r="Q383" s="93" t="str">
        <f>P383*'Calculation_Assumptions'!$B$14*J383*K383</f>
      </c>
      <c r="R383" s="94" t="str">
        <f>O383*N383*J383*K383</f>
      </c>
      <c r="S383" s="95" t="str">
        <f>R383-Q383</f>
      </c>
      <c r="T383" s="96" t="str">
        <f>1/(1+'Calculation_Assumptions'!$B$8)^(B383-'Calculation_Assumptions'!$B$2)</f>
      </c>
      <c r="U383" s="97" t="str">
        <f>Q383*T383</f>
      </c>
      <c r="V383" s="98" t="str">
        <f>R383*T383</f>
      </c>
      <c r="W383" s="99" t="str">
        <f>S383*T383</f>
      </c>
      <c r="X383" t="n">
        <v>0</v>
      </c>
      <c r="Y383" s="100" t="n">
        <v>2017</v>
      </c>
      <c r="Z383" t="s">
        <v>389</v>
      </c>
      <c r="AA383" s="101" t="str">
        <f>IF(G383="shared-count-once",COUNTIFS($A$2:$A$807,A383,$B$2:$B$807,B383,$D$2:$D$807,D383),1)</f>
      </c>
    </row>
    <row r="384">
      <c r="A384" t="s">
        <v>263</v>
      </c>
      <c r="B384" s="79" t="n">
        <v>2043</v>
      </c>
      <c r="C384" t="s">
        <v>274</v>
      </c>
      <c r="D384" s="80" t="s">
        <v>413</v>
      </c>
      <c r="E384" s="81" t="s">
        <v>414</v>
      </c>
      <c r="F384" s="82" t="s">
        <v>277</v>
      </c>
      <c r="G384" s="83" t="s">
        <v>395</v>
      </c>
      <c r="H384" s="84" t="s">
        <v>386</v>
      </c>
      <c r="I384" s="85" t="n">
        <v>1</v>
      </c>
      <c r="J384" s="86" t="n">
        <v>1</v>
      </c>
      <c r="K384" s="87" t="n">
        <v>0.0077</v>
      </c>
      <c r="L384" s="88" t="n">
        <v>317675521.11352</v>
      </c>
      <c r="M384" s="89" t="n">
        <v>317619735.688289</v>
      </c>
      <c r="N384" s="90" t="str">
        <f>MIN(MAX((B384-'Calculation_Assumptions'!$B$5+1)/'Calculation_Assumptions'!$B$7,0),1)</f>
      </c>
      <c r="O384" s="91" t="str">
        <f>L384*I384</f>
      </c>
      <c r="P384" s="92" t="str">
        <f>M384*I384</f>
      </c>
      <c r="Q384" s="93" t="str">
        <f>P384*'Calculation_Assumptions'!$B$14*J384*K384</f>
      </c>
      <c r="R384" s="94" t="str">
        <f>O384*N384*J384*K384</f>
      </c>
      <c r="S384" s="95" t="str">
        <f>R384-Q384</f>
      </c>
      <c r="T384" s="96" t="str">
        <f>1/(1+'Calculation_Assumptions'!$B$8)^(B384-'Calculation_Assumptions'!$B$2)</f>
      </c>
      <c r="U384" s="97" t="str">
        <f>Q384*T384</f>
      </c>
      <c r="V384" s="98" t="str">
        <f>R384*T384</f>
      </c>
      <c r="W384" s="99" t="str">
        <f>S384*T384</f>
      </c>
      <c r="X384" t="n">
        <v>0</v>
      </c>
      <c r="Y384" s="100" t="n">
        <v>2017</v>
      </c>
      <c r="Z384" t="s">
        <v>389</v>
      </c>
      <c r="AA384" s="101" t="str">
        <f>IF(G384="shared-count-once",COUNTIFS($A$2:$A$807,A384,$B$2:$B$807,B384,$D$2:$D$807,D384),1)</f>
      </c>
    </row>
    <row r="385">
      <c r="A385" t="s">
        <v>263</v>
      </c>
      <c r="B385" s="79" t="n">
        <v>2044</v>
      </c>
      <c r="C385" t="s">
        <v>274</v>
      </c>
      <c r="D385" s="80" t="s">
        <v>413</v>
      </c>
      <c r="E385" s="81" t="s">
        <v>414</v>
      </c>
      <c r="F385" s="82" t="s">
        <v>277</v>
      </c>
      <c r="G385" s="83" t="s">
        <v>395</v>
      </c>
      <c r="H385" s="84" t="s">
        <v>386</v>
      </c>
      <c r="I385" s="85" t="n">
        <v>1</v>
      </c>
      <c r="J385" s="86" t="n">
        <v>1</v>
      </c>
      <c r="K385" s="87" t="n">
        <v>0.0077</v>
      </c>
      <c r="L385" s="88" t="n">
        <v>318610711.832783</v>
      </c>
      <c r="M385" s="89" t="n">
        <v>318697135.863652</v>
      </c>
      <c r="N385" s="90" t="str">
        <f>MIN(MAX((B385-'Calculation_Assumptions'!$B$5+1)/'Calculation_Assumptions'!$B$7,0),1)</f>
      </c>
      <c r="O385" s="91" t="str">
        <f>L385*I385</f>
      </c>
      <c r="P385" s="92" t="str">
        <f>M385*I385</f>
      </c>
      <c r="Q385" s="93" t="str">
        <f>P385*'Calculation_Assumptions'!$B$14*J385*K385</f>
      </c>
      <c r="R385" s="94" t="str">
        <f>O385*N385*J385*K385</f>
      </c>
      <c r="S385" s="95" t="str">
        <f>R385-Q385</f>
      </c>
      <c r="T385" s="96" t="str">
        <f>1/(1+'Calculation_Assumptions'!$B$8)^(B385-'Calculation_Assumptions'!$B$2)</f>
      </c>
      <c r="U385" s="97" t="str">
        <f>Q385*T385</f>
      </c>
      <c r="V385" s="98" t="str">
        <f>R385*T385</f>
      </c>
      <c r="W385" s="99" t="str">
        <f>S385*T385</f>
      </c>
      <c r="X385" t="n">
        <v>0</v>
      </c>
      <c r="Y385" s="100" t="n">
        <v>2017</v>
      </c>
      <c r="Z385" t="s">
        <v>389</v>
      </c>
      <c r="AA385" s="101" t="str">
        <f>IF(G385="shared-count-once",COUNTIFS($A$2:$A$807,A385,$B$2:$B$807,B385,$D$2:$D$807,D385),1)</f>
      </c>
    </row>
    <row r="386">
      <c r="A386" t="s">
        <v>263</v>
      </c>
      <c r="B386" s="79" t="n">
        <v>2045</v>
      </c>
      <c r="C386" t="s">
        <v>274</v>
      </c>
      <c r="D386" s="80" t="s">
        <v>413</v>
      </c>
      <c r="E386" s="81" t="s">
        <v>414</v>
      </c>
      <c r="F386" s="82" t="s">
        <v>277</v>
      </c>
      <c r="G386" s="83" t="s">
        <v>395</v>
      </c>
      <c r="H386" s="84" t="s">
        <v>386</v>
      </c>
      <c r="I386" s="85" t="n">
        <v>1</v>
      </c>
      <c r="J386" s="86" t="n">
        <v>1</v>
      </c>
      <c r="K386" s="87" t="n">
        <v>0.0077</v>
      </c>
      <c r="L386" s="88" t="n">
        <v>319635225.224793</v>
      </c>
      <c r="M386" s="89" t="n">
        <v>319717840.85179</v>
      </c>
      <c r="N386" s="90" t="str">
        <f>MIN(MAX((B386-'Calculation_Assumptions'!$B$5+1)/'Calculation_Assumptions'!$B$7,0),1)</f>
      </c>
      <c r="O386" s="91" t="str">
        <f>L386*I386</f>
      </c>
      <c r="P386" s="92" t="str">
        <f>M386*I386</f>
      </c>
      <c r="Q386" s="93" t="str">
        <f>P386*'Calculation_Assumptions'!$B$14*J386*K386</f>
      </c>
      <c r="R386" s="94" t="str">
        <f>O386*N386*J386*K386</f>
      </c>
      <c r="S386" s="95" t="str">
        <f>R386-Q386</f>
      </c>
      <c r="T386" s="96" t="str">
        <f>1/(1+'Calculation_Assumptions'!$B$8)^(B386-'Calculation_Assumptions'!$B$2)</f>
      </c>
      <c r="U386" s="97" t="str">
        <f>Q386*T386</f>
      </c>
      <c r="V386" s="98" t="str">
        <f>R386*T386</f>
      </c>
      <c r="W386" s="99" t="str">
        <f>S386*T386</f>
      </c>
      <c r="X386" t="n">
        <v>0</v>
      </c>
      <c r="Y386" s="100" t="n">
        <v>2017</v>
      </c>
      <c r="Z386" t="s">
        <v>389</v>
      </c>
      <c r="AA386" s="101" t="str">
        <f>IF(G386="shared-count-once",COUNTIFS($A$2:$A$807,A386,$B$2:$B$807,B386,$D$2:$D$807,D386),1)</f>
      </c>
    </row>
    <row r="387">
      <c r="A387" t="s">
        <v>263</v>
      </c>
      <c r="B387" s="79" t="n">
        <v>2046</v>
      </c>
      <c r="C387" t="s">
        <v>274</v>
      </c>
      <c r="D387" s="80" t="s">
        <v>413</v>
      </c>
      <c r="E387" s="81" t="s">
        <v>414</v>
      </c>
      <c r="F387" s="82" t="s">
        <v>277</v>
      </c>
      <c r="G387" s="83" t="s">
        <v>395</v>
      </c>
      <c r="H387" s="84" t="s">
        <v>386</v>
      </c>
      <c r="I387" s="85" t="n">
        <v>1</v>
      </c>
      <c r="J387" s="86" t="n">
        <v>1</v>
      </c>
      <c r="K387" s="87" t="n">
        <v>0.0077</v>
      </c>
      <c r="L387" s="88" t="n">
        <v>320603577.023018</v>
      </c>
      <c r="M387" s="89" t="n">
        <v>320683879.806276</v>
      </c>
      <c r="N387" s="90" t="str">
        <f>MIN(MAX((B387-'Calculation_Assumptions'!$B$5+1)/'Calculation_Assumptions'!$B$7,0),1)</f>
      </c>
      <c r="O387" s="91" t="str">
        <f>L387*I387</f>
      </c>
      <c r="P387" s="92" t="str">
        <f>M387*I387</f>
      </c>
      <c r="Q387" s="93" t="str">
        <f>P387*'Calculation_Assumptions'!$B$14*J387*K387</f>
      </c>
      <c r="R387" s="94" t="str">
        <f>O387*N387*J387*K387</f>
      </c>
      <c r="S387" s="95" t="str">
        <f>R387-Q387</f>
      </c>
      <c r="T387" s="96" t="str">
        <f>1/(1+'Calculation_Assumptions'!$B$8)^(B387-'Calculation_Assumptions'!$B$2)</f>
      </c>
      <c r="U387" s="97" t="str">
        <f>Q387*T387</f>
      </c>
      <c r="V387" s="98" t="str">
        <f>R387*T387</f>
      </c>
      <c r="W387" s="99" t="str">
        <f>S387*T387</f>
      </c>
      <c r="X387" t="n">
        <v>0</v>
      </c>
      <c r="Y387" s="100" t="n">
        <v>2017</v>
      </c>
      <c r="Z387" t="s">
        <v>389</v>
      </c>
      <c r="AA387" s="101" t="str">
        <f>IF(G387="shared-count-once",COUNTIFS($A$2:$A$807,A387,$B$2:$B$807,B387,$D$2:$D$807,D387),1)</f>
      </c>
    </row>
    <row r="388">
      <c r="A388" t="s">
        <v>263</v>
      </c>
      <c r="B388" s="79" t="n">
        <v>2047</v>
      </c>
      <c r="C388" t="s">
        <v>274</v>
      </c>
      <c r="D388" s="80" t="s">
        <v>413</v>
      </c>
      <c r="E388" s="81" t="s">
        <v>414</v>
      </c>
      <c r="F388" s="82" t="s">
        <v>277</v>
      </c>
      <c r="G388" s="83" t="s">
        <v>395</v>
      </c>
      <c r="H388" s="84" t="s">
        <v>386</v>
      </c>
      <c r="I388" s="85" t="n">
        <v>1</v>
      </c>
      <c r="J388" s="86" t="n">
        <v>1</v>
      </c>
      <c r="K388" s="87" t="n">
        <v>0.0077</v>
      </c>
      <c r="L388" s="88" t="n">
        <v>321516743.905382</v>
      </c>
      <c r="M388" s="89" t="n">
        <v>321595541.389526</v>
      </c>
      <c r="N388" s="90" t="str">
        <f>MIN(MAX((B388-'Calculation_Assumptions'!$B$5+1)/'Calculation_Assumptions'!$B$7,0),1)</f>
      </c>
      <c r="O388" s="91" t="str">
        <f>L388*I388</f>
      </c>
      <c r="P388" s="92" t="str">
        <f>M388*I388</f>
      </c>
      <c r="Q388" s="93" t="str">
        <f>P388*'Calculation_Assumptions'!$B$14*J388*K388</f>
      </c>
      <c r="R388" s="94" t="str">
        <f>O388*N388*J388*K388</f>
      </c>
      <c r="S388" s="95" t="str">
        <f>R388-Q388</f>
      </c>
      <c r="T388" s="96" t="str">
        <f>1/(1+'Calculation_Assumptions'!$B$8)^(B388-'Calculation_Assumptions'!$B$2)</f>
      </c>
      <c r="U388" s="97" t="str">
        <f>Q388*T388</f>
      </c>
      <c r="V388" s="98" t="str">
        <f>R388*T388</f>
      </c>
      <c r="W388" s="99" t="str">
        <f>S388*T388</f>
      </c>
      <c r="X388" t="n">
        <v>0</v>
      </c>
      <c r="Y388" s="100" t="n">
        <v>2017</v>
      </c>
      <c r="Z388" t="s">
        <v>389</v>
      </c>
      <c r="AA388" s="101" t="str">
        <f>IF(G388="shared-count-once",COUNTIFS($A$2:$A$807,A388,$B$2:$B$807,B388,$D$2:$D$807,D388),1)</f>
      </c>
    </row>
    <row r="389">
      <c r="A389" t="s">
        <v>263</v>
      </c>
      <c r="B389" s="79" t="n">
        <v>2048</v>
      </c>
      <c r="C389" t="s">
        <v>274</v>
      </c>
      <c r="D389" s="80" t="s">
        <v>413</v>
      </c>
      <c r="E389" s="81" t="s">
        <v>414</v>
      </c>
      <c r="F389" s="82" t="s">
        <v>277</v>
      </c>
      <c r="G389" s="83" t="s">
        <v>395</v>
      </c>
      <c r="H389" s="84" t="s">
        <v>386</v>
      </c>
      <c r="I389" s="85" t="n">
        <v>1</v>
      </c>
      <c r="J389" s="86" t="n">
        <v>1</v>
      </c>
      <c r="K389" s="87" t="n">
        <v>0.0077</v>
      </c>
      <c r="L389" s="88" t="n">
        <v>322375773.875941</v>
      </c>
      <c r="M389" s="89" t="n">
        <v>322453622.669464</v>
      </c>
      <c r="N389" s="90" t="str">
        <f>MIN(MAX((B389-'Calculation_Assumptions'!$B$5+1)/'Calculation_Assumptions'!$B$7,0),1)</f>
      </c>
      <c r="O389" s="91" t="str">
        <f>L389*I389</f>
      </c>
      <c r="P389" s="92" t="str">
        <f>M389*I389</f>
      </c>
      <c r="Q389" s="93" t="str">
        <f>P389*'Calculation_Assumptions'!$B$14*J389*K389</f>
      </c>
      <c r="R389" s="94" t="str">
        <f>O389*N389*J389*K389</f>
      </c>
      <c r="S389" s="95" t="str">
        <f>R389-Q389</f>
      </c>
      <c r="T389" s="96" t="str">
        <f>1/(1+'Calculation_Assumptions'!$B$8)^(B389-'Calculation_Assumptions'!$B$2)</f>
      </c>
      <c r="U389" s="97" t="str">
        <f>Q389*T389</f>
      </c>
      <c r="V389" s="98" t="str">
        <f>R389*T389</f>
      </c>
      <c r="W389" s="99" t="str">
        <f>S389*T389</f>
      </c>
      <c r="X389" t="n">
        <v>0</v>
      </c>
      <c r="Y389" s="100" t="n">
        <v>2017</v>
      </c>
      <c r="Z389" t="s">
        <v>389</v>
      </c>
      <c r="AA389" s="101" t="str">
        <f>IF(G389="shared-count-once",COUNTIFS($A$2:$A$807,A389,$B$2:$B$807,B389,$D$2:$D$807,D389),1)</f>
      </c>
    </row>
    <row r="390">
      <c r="A390" t="s">
        <v>263</v>
      </c>
      <c r="B390" s="79" t="n">
        <v>2049</v>
      </c>
      <c r="C390" t="s">
        <v>274</v>
      </c>
      <c r="D390" s="80" t="s">
        <v>413</v>
      </c>
      <c r="E390" s="81" t="s">
        <v>414</v>
      </c>
      <c r="F390" s="82" t="s">
        <v>277</v>
      </c>
      <c r="G390" s="83" t="s">
        <v>395</v>
      </c>
      <c r="H390" s="84" t="s">
        <v>386</v>
      </c>
      <c r="I390" s="85" t="n">
        <v>1</v>
      </c>
      <c r="J390" s="86" t="n">
        <v>1</v>
      </c>
      <c r="K390" s="87" t="n">
        <v>0.0077</v>
      </c>
      <c r="L390" s="88" t="n">
        <v>323181873.579941</v>
      </c>
      <c r="M390" s="89" t="n">
        <v>323259246.716719</v>
      </c>
      <c r="N390" s="90" t="str">
        <f>MIN(MAX((B390-'Calculation_Assumptions'!$B$5+1)/'Calculation_Assumptions'!$B$7,0),1)</f>
      </c>
      <c r="O390" s="91" t="str">
        <f>L390*I390</f>
      </c>
      <c r="P390" s="92" t="str">
        <f>M390*I390</f>
      </c>
      <c r="Q390" s="93" t="str">
        <f>P390*'Calculation_Assumptions'!$B$14*J390*K390</f>
      </c>
      <c r="R390" s="94" t="str">
        <f>O390*N390*J390*K390</f>
      </c>
      <c r="S390" s="95" t="str">
        <f>R390-Q390</f>
      </c>
      <c r="T390" s="96" t="str">
        <f>1/(1+'Calculation_Assumptions'!$B$8)^(B390-'Calculation_Assumptions'!$B$2)</f>
      </c>
      <c r="U390" s="97" t="str">
        <f>Q390*T390</f>
      </c>
      <c r="V390" s="98" t="str">
        <f>R390*T390</f>
      </c>
      <c r="W390" s="99" t="str">
        <f>S390*T390</f>
      </c>
      <c r="X390" t="n">
        <v>0</v>
      </c>
      <c r="Y390" s="100" t="n">
        <v>2017</v>
      </c>
      <c r="Z390" t="s">
        <v>389</v>
      </c>
      <c r="AA390" s="101" t="str">
        <f>IF(G390="shared-count-once",COUNTIFS($A$2:$A$807,A390,$B$2:$B$807,B390,$D$2:$D$807,D390),1)</f>
      </c>
    </row>
    <row r="391">
      <c r="A391" t="s">
        <v>263</v>
      </c>
      <c r="B391" s="79" t="n">
        <v>2050</v>
      </c>
      <c r="C391" t="s">
        <v>274</v>
      </c>
      <c r="D391" s="80" t="s">
        <v>413</v>
      </c>
      <c r="E391" s="81" t="s">
        <v>414</v>
      </c>
      <c r="F391" s="82" t="s">
        <v>277</v>
      </c>
      <c r="G391" s="83" t="s">
        <v>395</v>
      </c>
      <c r="H391" s="84" t="s">
        <v>386</v>
      </c>
      <c r="I391" s="85" t="n">
        <v>1</v>
      </c>
      <c r="J391" s="86" t="n">
        <v>1</v>
      </c>
      <c r="K391" s="87" t="n">
        <v>0.0077</v>
      </c>
      <c r="L391" s="88" t="n">
        <v>323936452.30861</v>
      </c>
      <c r="M391" s="89" t="n">
        <v>324013738.182479</v>
      </c>
      <c r="N391" s="90" t="str">
        <f>MIN(MAX((B391-'Calculation_Assumptions'!$B$5+1)/'Calculation_Assumptions'!$B$7,0),1)</f>
      </c>
      <c r="O391" s="91" t="str">
        <f>L391*I391</f>
      </c>
      <c r="P391" s="92" t="str">
        <f>M391*I391</f>
      </c>
      <c r="Q391" s="93" t="str">
        <f>P391*'Calculation_Assumptions'!$B$14*J391*K391</f>
      </c>
      <c r="R391" s="94" t="str">
        <f>O391*N391*J391*K391</f>
      </c>
      <c r="S391" s="95" t="str">
        <f>R391-Q391</f>
      </c>
      <c r="T391" s="96" t="str">
        <f>1/(1+'Calculation_Assumptions'!$B$8)^(B391-'Calculation_Assumptions'!$B$2)</f>
      </c>
      <c r="U391" s="97" t="str">
        <f>Q391*T391</f>
      </c>
      <c r="V391" s="98" t="str">
        <f>R391*T391</f>
      </c>
      <c r="W391" s="99" t="str">
        <f>S391*T391</f>
      </c>
      <c r="X391" t="n">
        <v>0</v>
      </c>
      <c r="Y391" s="100" t="n">
        <v>2017</v>
      </c>
      <c r="Z391" t="s">
        <v>389</v>
      </c>
      <c r="AA391" s="101" t="str">
        <f>IF(G391="shared-count-once",COUNTIFS($A$2:$A$807,A391,$B$2:$B$807,B391,$D$2:$D$807,D391),1)</f>
      </c>
    </row>
    <row r="392">
      <c r="A392" t="s">
        <v>207</v>
      </c>
      <c r="B392" s="79" t="n">
        <v>2025</v>
      </c>
      <c r="C392" t="s">
        <v>202</v>
      </c>
      <c r="D392" s="80" t="s">
        <v>393</v>
      </c>
      <c r="E392" s="81" t="s">
        <v>394</v>
      </c>
      <c r="F392" s="82" t="s">
        <v>206</v>
      </c>
      <c r="G392" s="83" t="s">
        <v>395</v>
      </c>
      <c r="H392" s="84" t="s">
        <v>386</v>
      </c>
      <c r="I392" s="85" t="n">
        <v>1</v>
      </c>
      <c r="J392" s="86" t="n">
        <v>1</v>
      </c>
      <c r="K392" s="87" t="n">
        <v>0.008775</v>
      </c>
      <c r="L392" s="88" t="n">
        <v>288000821.106462</v>
      </c>
      <c r="M392" s="89" t="n">
        <v>288000821.106462</v>
      </c>
      <c r="N392" s="90" t="str">
        <f>MIN(MAX((B392-'Calculation_Assumptions'!$B$5+1)/'Calculation_Assumptions'!$B$7,0),1)</f>
      </c>
      <c r="O392" s="91" t="str">
        <f>L392*I392</f>
      </c>
      <c r="P392" s="92" t="str">
        <f>M392*I392</f>
      </c>
      <c r="Q392" s="93" t="str">
        <f>P392*'Calculation_Assumptions'!$B$14*J392*K392</f>
      </c>
      <c r="R392" s="94" t="str">
        <f>O392*N392*J392*K392</f>
      </c>
      <c r="S392" s="95" t="str">
        <f>R392-Q392</f>
      </c>
      <c r="T392" s="96" t="str">
        <f>1/(1+'Calculation_Assumptions'!$B$8)^(B392-'Calculation_Assumptions'!$B$2)</f>
      </c>
      <c r="U392" s="97" t="str">
        <f>Q392*T392</f>
      </c>
      <c r="V392" s="98" t="str">
        <f>R392*T392</f>
      </c>
      <c r="W392" s="99" t="str">
        <f>S392*T392</f>
      </c>
      <c r="X392" t="n">
        <v>0</v>
      </c>
      <c r="Y392" s="100" t="n">
        <v>2017</v>
      </c>
      <c r="Z392" t="s">
        <v>389</v>
      </c>
      <c r="AA392" s="101" t="str">
        <f>IF(G392="shared-count-once",COUNTIFS($A$2:$A$807,A392,$B$2:$B$807,B392,$D$2:$D$807,D392),1)</f>
      </c>
    </row>
    <row r="393">
      <c r="A393" t="s">
        <v>207</v>
      </c>
      <c r="B393" s="79" t="n">
        <v>2026</v>
      </c>
      <c r="C393" t="s">
        <v>202</v>
      </c>
      <c r="D393" s="80" t="s">
        <v>393</v>
      </c>
      <c r="E393" s="81" t="s">
        <v>394</v>
      </c>
      <c r="F393" s="82" t="s">
        <v>206</v>
      </c>
      <c r="G393" s="83" t="s">
        <v>395</v>
      </c>
      <c r="H393" s="84" t="s">
        <v>386</v>
      </c>
      <c r="I393" s="85" t="n">
        <v>1</v>
      </c>
      <c r="J393" s="86" t="n">
        <v>1</v>
      </c>
      <c r="K393" s="87" t="n">
        <v>0.008775</v>
      </c>
      <c r="L393" s="88" t="n">
        <v>290123496.103219</v>
      </c>
      <c r="M393" s="89" t="n">
        <v>290123496.103219</v>
      </c>
      <c r="N393" s="90" t="str">
        <f>MIN(MAX((B393-'Calculation_Assumptions'!$B$5+1)/'Calculation_Assumptions'!$B$7,0),1)</f>
      </c>
      <c r="O393" s="91" t="str">
        <f>L393*I393</f>
      </c>
      <c r="P393" s="92" t="str">
        <f>M393*I393</f>
      </c>
      <c r="Q393" s="93" t="str">
        <f>P393*'Calculation_Assumptions'!$B$14*J393*K393</f>
      </c>
      <c r="R393" s="94" t="str">
        <f>O393*N393*J393*K393</f>
      </c>
      <c r="S393" s="95" t="str">
        <f>R393-Q393</f>
      </c>
      <c r="T393" s="96" t="str">
        <f>1/(1+'Calculation_Assumptions'!$B$8)^(B393-'Calculation_Assumptions'!$B$2)</f>
      </c>
      <c r="U393" s="97" t="str">
        <f>Q393*T393</f>
      </c>
      <c r="V393" s="98" t="str">
        <f>R393*T393</f>
      </c>
      <c r="W393" s="99" t="str">
        <f>S393*T393</f>
      </c>
      <c r="X393" t="n">
        <v>0</v>
      </c>
      <c r="Y393" s="100" t="n">
        <v>2017</v>
      </c>
      <c r="Z393" t="s">
        <v>389</v>
      </c>
      <c r="AA393" s="101" t="str">
        <f>IF(G393="shared-count-once",COUNTIFS($A$2:$A$807,A393,$B$2:$B$807,B393,$D$2:$D$807,D393),1)</f>
      </c>
    </row>
    <row r="394">
      <c r="A394" t="s">
        <v>207</v>
      </c>
      <c r="B394" s="79" t="n">
        <v>2027</v>
      </c>
      <c r="C394" t="s">
        <v>202</v>
      </c>
      <c r="D394" s="80" t="s">
        <v>393</v>
      </c>
      <c r="E394" s="81" t="s">
        <v>394</v>
      </c>
      <c r="F394" s="82" t="s">
        <v>206</v>
      </c>
      <c r="G394" s="83" t="s">
        <v>395</v>
      </c>
      <c r="H394" s="84" t="s">
        <v>386</v>
      </c>
      <c r="I394" s="85" t="n">
        <v>1</v>
      </c>
      <c r="J394" s="86" t="n">
        <v>1</v>
      </c>
      <c r="K394" s="87" t="n">
        <v>0.008775</v>
      </c>
      <c r="L394" s="88" t="n">
        <v>292252895.096956</v>
      </c>
      <c r="M394" s="89" t="n">
        <v>292252895.096956</v>
      </c>
      <c r="N394" s="90" t="str">
        <f>MIN(MAX((B394-'Calculation_Assumptions'!$B$5+1)/'Calculation_Assumptions'!$B$7,0),1)</f>
      </c>
      <c r="O394" s="91" t="str">
        <f>L394*I394</f>
      </c>
      <c r="P394" s="92" t="str">
        <f>M394*I394</f>
      </c>
      <c r="Q394" s="93" t="str">
        <f>P394*'Calculation_Assumptions'!$B$14*J394*K394</f>
      </c>
      <c r="R394" s="94" t="str">
        <f>O394*N394*J394*K394</f>
      </c>
      <c r="S394" s="95" t="str">
        <f>R394-Q394</f>
      </c>
      <c r="T394" s="96" t="str">
        <f>1/(1+'Calculation_Assumptions'!$B$8)^(B394-'Calculation_Assumptions'!$B$2)</f>
      </c>
      <c r="U394" s="97" t="str">
        <f>Q394*T394</f>
      </c>
      <c r="V394" s="98" t="str">
        <f>R394*T394</f>
      </c>
      <c r="W394" s="99" t="str">
        <f>S394*T394</f>
      </c>
      <c r="X394" t="n">
        <v>0</v>
      </c>
      <c r="Y394" s="100" t="n">
        <v>2017</v>
      </c>
      <c r="Z394" t="s">
        <v>389</v>
      </c>
      <c r="AA394" s="101" t="str">
        <f>IF(G394="shared-count-once",COUNTIFS($A$2:$A$807,A394,$B$2:$B$807,B394,$D$2:$D$807,D394),1)</f>
      </c>
    </row>
    <row r="395">
      <c r="A395" t="s">
        <v>207</v>
      </c>
      <c r="B395" s="79" t="n">
        <v>2028</v>
      </c>
      <c r="C395" t="s">
        <v>202</v>
      </c>
      <c r="D395" s="80" t="s">
        <v>393</v>
      </c>
      <c r="E395" s="81" t="s">
        <v>394</v>
      </c>
      <c r="F395" s="82" t="s">
        <v>206</v>
      </c>
      <c r="G395" s="83" t="s">
        <v>395</v>
      </c>
      <c r="H395" s="84" t="s">
        <v>386</v>
      </c>
      <c r="I395" s="85" t="n">
        <v>1</v>
      </c>
      <c r="J395" s="86" t="n">
        <v>1</v>
      </c>
      <c r="K395" s="87" t="n">
        <v>0.008775</v>
      </c>
      <c r="L395" s="88" t="n">
        <v>294317096.231241</v>
      </c>
      <c r="M395" s="89" t="n">
        <v>294314895.305465</v>
      </c>
      <c r="N395" s="90" t="str">
        <f>MIN(MAX((B395-'Calculation_Assumptions'!$B$5+1)/'Calculation_Assumptions'!$B$7,0),1)</f>
      </c>
      <c r="O395" s="91" t="str">
        <f>L395*I395</f>
      </c>
      <c r="P395" s="92" t="str">
        <f>M395*I395</f>
      </c>
      <c r="Q395" s="93" t="str">
        <f>P395*'Calculation_Assumptions'!$B$14*J395*K395</f>
      </c>
      <c r="R395" s="94" t="str">
        <f>O395*N395*J395*K395</f>
      </c>
      <c r="S395" s="95" t="str">
        <f>R395-Q395</f>
      </c>
      <c r="T395" s="96" t="str">
        <f>1/(1+'Calculation_Assumptions'!$B$8)^(B395-'Calculation_Assumptions'!$B$2)</f>
      </c>
      <c r="U395" s="97" t="str">
        <f>Q395*T395</f>
      </c>
      <c r="V395" s="98" t="str">
        <f>R395*T395</f>
      </c>
      <c r="W395" s="99" t="str">
        <f>S395*T395</f>
      </c>
      <c r="X395" t="n">
        <v>0</v>
      </c>
      <c r="Y395" s="100" t="n">
        <v>2017</v>
      </c>
      <c r="Z395" t="s">
        <v>389</v>
      </c>
      <c r="AA395" s="101" t="str">
        <f>IF(G395="shared-count-once",COUNTIFS($A$2:$A$807,A395,$B$2:$B$807,B395,$D$2:$D$807,D395),1)</f>
      </c>
    </row>
    <row r="396">
      <c r="A396" t="s">
        <v>207</v>
      </c>
      <c r="B396" s="79" t="n">
        <v>2029</v>
      </c>
      <c r="C396" t="s">
        <v>202</v>
      </c>
      <c r="D396" s="80" t="s">
        <v>393</v>
      </c>
      <c r="E396" s="81" t="s">
        <v>394</v>
      </c>
      <c r="F396" s="82" t="s">
        <v>206</v>
      </c>
      <c r="G396" s="83" t="s">
        <v>395</v>
      </c>
      <c r="H396" s="84" t="s">
        <v>386</v>
      </c>
      <c r="I396" s="85" t="n">
        <v>1</v>
      </c>
      <c r="J396" s="86" t="n">
        <v>1</v>
      </c>
      <c r="K396" s="87" t="n">
        <v>0.008775</v>
      </c>
      <c r="L396" s="88" t="n">
        <v>296349028.669572</v>
      </c>
      <c r="M396" s="89" t="n">
        <v>296341062.542853</v>
      </c>
      <c r="N396" s="90" t="str">
        <f>MIN(MAX((B396-'Calculation_Assumptions'!$B$5+1)/'Calculation_Assumptions'!$B$7,0),1)</f>
      </c>
      <c r="O396" s="91" t="str">
        <f>L396*I396</f>
      </c>
      <c r="P396" s="92" t="str">
        <f>M396*I396</f>
      </c>
      <c r="Q396" s="93" t="str">
        <f>P396*'Calculation_Assumptions'!$B$14*J396*K396</f>
      </c>
      <c r="R396" s="94" t="str">
        <f>O396*N396*J396*K396</f>
      </c>
      <c r="S396" s="95" t="str">
        <f>R396-Q396</f>
      </c>
      <c r="T396" s="96" t="str">
        <f>1/(1+'Calculation_Assumptions'!$B$8)^(B396-'Calculation_Assumptions'!$B$2)</f>
      </c>
      <c r="U396" s="97" t="str">
        <f>Q396*T396</f>
      </c>
      <c r="V396" s="98" t="str">
        <f>R396*T396</f>
      </c>
      <c r="W396" s="99" t="str">
        <f>S396*T396</f>
      </c>
      <c r="X396" t="n">
        <v>0</v>
      </c>
      <c r="Y396" s="100" t="n">
        <v>2017</v>
      </c>
      <c r="Z396" t="s">
        <v>389</v>
      </c>
      <c r="AA396" s="101" t="str">
        <f>IF(G396="shared-count-once",COUNTIFS($A$2:$A$807,A396,$B$2:$B$807,B396,$D$2:$D$807,D396),1)</f>
      </c>
    </row>
    <row r="397">
      <c r="A397" t="s">
        <v>207</v>
      </c>
      <c r="B397" s="79" t="n">
        <v>2030</v>
      </c>
      <c r="C397" t="s">
        <v>202</v>
      </c>
      <c r="D397" s="80" t="s">
        <v>393</v>
      </c>
      <c r="E397" s="81" t="s">
        <v>394</v>
      </c>
      <c r="F397" s="82" t="s">
        <v>206</v>
      </c>
      <c r="G397" s="83" t="s">
        <v>395</v>
      </c>
      <c r="H397" s="84" t="s">
        <v>386</v>
      </c>
      <c r="I397" s="85" t="n">
        <v>1</v>
      </c>
      <c r="J397" s="86" t="n">
        <v>1</v>
      </c>
      <c r="K397" s="87" t="n">
        <v>0.008775</v>
      </c>
      <c r="L397" s="88" t="n">
        <v>298298571.282757</v>
      </c>
      <c r="M397" s="89" t="n">
        <v>298280286.057263</v>
      </c>
      <c r="N397" s="90" t="str">
        <f>MIN(MAX((B397-'Calculation_Assumptions'!$B$5+1)/'Calculation_Assumptions'!$B$7,0),1)</f>
      </c>
      <c r="O397" s="91" t="str">
        <f>L397*I397</f>
      </c>
      <c r="P397" s="92" t="str">
        <f>M397*I397</f>
      </c>
      <c r="Q397" s="93" t="str">
        <f>P397*'Calculation_Assumptions'!$B$14*J397*K397</f>
      </c>
      <c r="R397" s="94" t="str">
        <f>O397*N397*J397*K397</f>
      </c>
      <c r="S397" s="95" t="str">
        <f>R397-Q397</f>
      </c>
      <c r="T397" s="96" t="str">
        <f>1/(1+'Calculation_Assumptions'!$B$8)^(B397-'Calculation_Assumptions'!$B$2)</f>
      </c>
      <c r="U397" s="97" t="str">
        <f>Q397*T397</f>
      </c>
      <c r="V397" s="98" t="str">
        <f>R397*T397</f>
      </c>
      <c r="W397" s="99" t="str">
        <f>S397*T397</f>
      </c>
      <c r="X397" t="n">
        <v>0</v>
      </c>
      <c r="Y397" s="100" t="n">
        <v>2017</v>
      </c>
      <c r="Z397" t="s">
        <v>389</v>
      </c>
      <c r="AA397" s="101" t="str">
        <f>IF(G397="shared-count-once",COUNTIFS($A$2:$A$807,A397,$B$2:$B$807,B397,$D$2:$D$807,D397),1)</f>
      </c>
    </row>
    <row r="398">
      <c r="A398" t="s">
        <v>207</v>
      </c>
      <c r="B398" s="79" t="n">
        <v>2031</v>
      </c>
      <c r="C398" t="s">
        <v>202</v>
      </c>
      <c r="D398" s="80" t="s">
        <v>393</v>
      </c>
      <c r="E398" s="81" t="s">
        <v>394</v>
      </c>
      <c r="F398" s="82" t="s">
        <v>206</v>
      </c>
      <c r="G398" s="83" t="s">
        <v>395</v>
      </c>
      <c r="H398" s="84" t="s">
        <v>386</v>
      </c>
      <c r="I398" s="85" t="n">
        <v>1</v>
      </c>
      <c r="J398" s="86" t="n">
        <v>1</v>
      </c>
      <c r="K398" s="87" t="n">
        <v>0.008775</v>
      </c>
      <c r="L398" s="88" t="n">
        <v>300121149.554959</v>
      </c>
      <c r="M398" s="89" t="n">
        <v>300152603.254782</v>
      </c>
      <c r="N398" s="90" t="str">
        <f>MIN(MAX((B398-'Calculation_Assumptions'!$B$5+1)/'Calculation_Assumptions'!$B$7,0),1)</f>
      </c>
      <c r="O398" s="91" t="str">
        <f>L398*I398</f>
      </c>
      <c r="P398" s="92" t="str">
        <f>M398*I398</f>
      </c>
      <c r="Q398" s="93" t="str">
        <f>P398*'Calculation_Assumptions'!$B$14*J398*K398</f>
      </c>
      <c r="R398" s="94" t="str">
        <f>O398*N398*J398*K398</f>
      </c>
      <c r="S398" s="95" t="str">
        <f>R398-Q398</f>
      </c>
      <c r="T398" s="96" t="str">
        <f>1/(1+'Calculation_Assumptions'!$B$8)^(B398-'Calculation_Assumptions'!$B$2)</f>
      </c>
      <c r="U398" s="97" t="str">
        <f>Q398*T398</f>
      </c>
      <c r="V398" s="98" t="str">
        <f>R398*T398</f>
      </c>
      <c r="W398" s="99" t="str">
        <f>S398*T398</f>
      </c>
      <c r="X398" t="n">
        <v>0</v>
      </c>
      <c r="Y398" s="100" t="n">
        <v>2017</v>
      </c>
      <c r="Z398" t="s">
        <v>389</v>
      </c>
      <c r="AA398" s="101" t="str">
        <f>IF(G398="shared-count-once",COUNTIFS($A$2:$A$807,A398,$B$2:$B$807,B398,$D$2:$D$807,D398),1)</f>
      </c>
    </row>
    <row r="399">
      <c r="A399" t="s">
        <v>207</v>
      </c>
      <c r="B399" s="79" t="n">
        <v>2032</v>
      </c>
      <c r="C399" t="s">
        <v>202</v>
      </c>
      <c r="D399" s="80" t="s">
        <v>393</v>
      </c>
      <c r="E399" s="81" t="s">
        <v>394</v>
      </c>
      <c r="F399" s="82" t="s">
        <v>206</v>
      </c>
      <c r="G399" s="83" t="s">
        <v>395</v>
      </c>
      <c r="H399" s="84" t="s">
        <v>386</v>
      </c>
      <c r="I399" s="85" t="n">
        <v>1</v>
      </c>
      <c r="J399" s="86" t="n">
        <v>1</v>
      </c>
      <c r="K399" s="87" t="n">
        <v>0.008775</v>
      </c>
      <c r="L399" s="88" t="n">
        <v>301941450.07667</v>
      </c>
      <c r="M399" s="89" t="n">
        <v>301959399.633888</v>
      </c>
      <c r="N399" s="90" t="str">
        <f>MIN(MAX((B399-'Calculation_Assumptions'!$B$5+1)/'Calculation_Assumptions'!$B$7,0),1)</f>
      </c>
      <c r="O399" s="91" t="str">
        <f>L399*I399</f>
      </c>
      <c r="P399" s="92" t="str">
        <f>M399*I399</f>
      </c>
      <c r="Q399" s="93" t="str">
        <f>P399*'Calculation_Assumptions'!$B$14*J399*K399</f>
      </c>
      <c r="R399" s="94" t="str">
        <f>O399*N399*J399*K399</f>
      </c>
      <c r="S399" s="95" t="str">
        <f>R399-Q399</f>
      </c>
      <c r="T399" s="96" t="str">
        <f>1/(1+'Calculation_Assumptions'!$B$8)^(B399-'Calculation_Assumptions'!$B$2)</f>
      </c>
      <c r="U399" s="97" t="str">
        <f>Q399*T399</f>
      </c>
      <c r="V399" s="98" t="str">
        <f>R399*T399</f>
      </c>
      <c r="W399" s="99" t="str">
        <f>S399*T399</f>
      </c>
      <c r="X399" t="n">
        <v>0</v>
      </c>
      <c r="Y399" s="100" t="n">
        <v>2017</v>
      </c>
      <c r="Z399" t="s">
        <v>389</v>
      </c>
      <c r="AA399" s="101" t="str">
        <f>IF(G399="shared-count-once",COUNTIFS($A$2:$A$807,A399,$B$2:$B$807,B399,$D$2:$D$807,D399),1)</f>
      </c>
    </row>
    <row r="400">
      <c r="A400" t="s">
        <v>207</v>
      </c>
      <c r="B400" s="79" t="n">
        <v>2033</v>
      </c>
      <c r="C400" t="s">
        <v>202</v>
      </c>
      <c r="D400" s="80" t="s">
        <v>393</v>
      </c>
      <c r="E400" s="81" t="s">
        <v>394</v>
      </c>
      <c r="F400" s="82" t="s">
        <v>206</v>
      </c>
      <c r="G400" s="83" t="s">
        <v>395</v>
      </c>
      <c r="H400" s="84" t="s">
        <v>386</v>
      </c>
      <c r="I400" s="85" t="n">
        <v>1</v>
      </c>
      <c r="J400" s="86" t="n">
        <v>1</v>
      </c>
      <c r="K400" s="87" t="n">
        <v>0.008775</v>
      </c>
      <c r="L400" s="88" t="n">
        <v>303700299.219431</v>
      </c>
      <c r="M400" s="89" t="n">
        <v>303701035.202051</v>
      </c>
      <c r="N400" s="90" t="str">
        <f>MIN(MAX((B400-'Calculation_Assumptions'!$B$5+1)/'Calculation_Assumptions'!$B$7,0),1)</f>
      </c>
      <c r="O400" s="91" t="str">
        <f>L400*I400</f>
      </c>
      <c r="P400" s="92" t="str">
        <f>M400*I400</f>
      </c>
      <c r="Q400" s="93" t="str">
        <f>P400*'Calculation_Assumptions'!$B$14*J400*K400</f>
      </c>
      <c r="R400" s="94" t="str">
        <f>O400*N400*J400*K400</f>
      </c>
      <c r="S400" s="95" t="str">
        <f>R400-Q400</f>
      </c>
      <c r="T400" s="96" t="str">
        <f>1/(1+'Calculation_Assumptions'!$B$8)^(B400-'Calculation_Assumptions'!$B$2)</f>
      </c>
      <c r="U400" s="97" t="str">
        <f>Q400*T400</f>
      </c>
      <c r="V400" s="98" t="str">
        <f>R400*T400</f>
      </c>
      <c r="W400" s="99" t="str">
        <f>S400*T400</f>
      </c>
      <c r="X400" t="n">
        <v>0</v>
      </c>
      <c r="Y400" s="100" t="n">
        <v>2017</v>
      </c>
      <c r="Z400" t="s">
        <v>389</v>
      </c>
      <c r="AA400" s="101" t="str">
        <f>IF(G400="shared-count-once",COUNTIFS($A$2:$A$807,A400,$B$2:$B$807,B400,$D$2:$D$807,D400),1)</f>
      </c>
    </row>
    <row r="401">
      <c r="A401" t="s">
        <v>207</v>
      </c>
      <c r="B401" s="79" t="n">
        <v>2034</v>
      </c>
      <c r="C401" t="s">
        <v>202</v>
      </c>
      <c r="D401" s="80" t="s">
        <v>393</v>
      </c>
      <c r="E401" s="81" t="s">
        <v>394</v>
      </c>
      <c r="F401" s="82" t="s">
        <v>206</v>
      </c>
      <c r="G401" s="83" t="s">
        <v>395</v>
      </c>
      <c r="H401" s="84" t="s">
        <v>386</v>
      </c>
      <c r="I401" s="85" t="n">
        <v>1</v>
      </c>
      <c r="J401" s="86" t="n">
        <v>1</v>
      </c>
      <c r="K401" s="87" t="n">
        <v>0.008775</v>
      </c>
      <c r="L401" s="88" t="n">
        <v>305397476.214779</v>
      </c>
      <c r="M401" s="89" t="n">
        <v>305377998.093319</v>
      </c>
      <c r="N401" s="90" t="str">
        <f>MIN(MAX((B401-'Calculation_Assumptions'!$B$5+1)/'Calculation_Assumptions'!$B$7,0),1)</f>
      </c>
      <c r="O401" s="91" t="str">
        <f>L401*I401</f>
      </c>
      <c r="P401" s="92" t="str">
        <f>M401*I401</f>
      </c>
      <c r="Q401" s="93" t="str">
        <f>P401*'Calculation_Assumptions'!$B$14*J401*K401</f>
      </c>
      <c r="R401" s="94" t="str">
        <f>O401*N401*J401*K401</f>
      </c>
      <c r="S401" s="95" t="str">
        <f>R401-Q401</f>
      </c>
      <c r="T401" s="96" t="str">
        <f>1/(1+'Calculation_Assumptions'!$B$8)^(B401-'Calculation_Assumptions'!$B$2)</f>
      </c>
      <c r="U401" s="97" t="str">
        <f>Q401*T401</f>
      </c>
      <c r="V401" s="98" t="str">
        <f>R401*T401</f>
      </c>
      <c r="W401" s="99" t="str">
        <f>S401*T401</f>
      </c>
      <c r="X401" t="n">
        <v>0</v>
      </c>
      <c r="Y401" s="100" t="n">
        <v>2017</v>
      </c>
      <c r="Z401" t="s">
        <v>389</v>
      </c>
      <c r="AA401" s="101" t="str">
        <f>IF(G401="shared-count-once",COUNTIFS($A$2:$A$807,A401,$B$2:$B$807,B401,$D$2:$D$807,D401),1)</f>
      </c>
    </row>
    <row r="402">
      <c r="A402" t="s">
        <v>207</v>
      </c>
      <c r="B402" s="79" t="n">
        <v>2035</v>
      </c>
      <c r="C402" t="s">
        <v>202</v>
      </c>
      <c r="D402" s="80" t="s">
        <v>393</v>
      </c>
      <c r="E402" s="81" t="s">
        <v>394</v>
      </c>
      <c r="F402" s="82" t="s">
        <v>206</v>
      </c>
      <c r="G402" s="83" t="s">
        <v>395</v>
      </c>
      <c r="H402" s="84" t="s">
        <v>386</v>
      </c>
      <c r="I402" s="85" t="n">
        <v>1</v>
      </c>
      <c r="J402" s="86" t="n">
        <v>1</v>
      </c>
      <c r="K402" s="87" t="n">
        <v>0.008775</v>
      </c>
      <c r="L402" s="88" t="n">
        <v>307031511.511074</v>
      </c>
      <c r="M402" s="89" t="n">
        <v>306989258.29407</v>
      </c>
      <c r="N402" s="90" t="str">
        <f>MIN(MAX((B402-'Calculation_Assumptions'!$B$5+1)/'Calculation_Assumptions'!$B$7,0),1)</f>
      </c>
      <c r="O402" s="91" t="str">
        <f>L402*I402</f>
      </c>
      <c r="P402" s="92" t="str">
        <f>M402*I402</f>
      </c>
      <c r="Q402" s="93" t="str">
        <f>P402*'Calculation_Assumptions'!$B$14*J402*K402</f>
      </c>
      <c r="R402" s="94" t="str">
        <f>O402*N402*J402*K402</f>
      </c>
      <c r="S402" s="95" t="str">
        <f>R402-Q402</f>
      </c>
      <c r="T402" s="96" t="str">
        <f>1/(1+'Calculation_Assumptions'!$B$8)^(B402-'Calculation_Assumptions'!$B$2)</f>
      </c>
      <c r="U402" s="97" t="str">
        <f>Q402*T402</f>
      </c>
      <c r="V402" s="98" t="str">
        <f>R402*T402</f>
      </c>
      <c r="W402" s="99" t="str">
        <f>S402*T402</f>
      </c>
      <c r="X402" t="n">
        <v>0</v>
      </c>
      <c r="Y402" s="100" t="n">
        <v>2017</v>
      </c>
      <c r="Z402" t="s">
        <v>389</v>
      </c>
      <c r="AA402" s="101" t="str">
        <f>IF(G402="shared-count-once",COUNTIFS($A$2:$A$807,A402,$B$2:$B$807,B402,$D$2:$D$807,D402),1)</f>
      </c>
    </row>
    <row r="403">
      <c r="A403" t="s">
        <v>207</v>
      </c>
      <c r="B403" s="79" t="n">
        <v>2036</v>
      </c>
      <c r="C403" t="s">
        <v>202</v>
      </c>
      <c r="D403" s="80" t="s">
        <v>393</v>
      </c>
      <c r="E403" s="81" t="s">
        <v>394</v>
      </c>
      <c r="F403" s="82" t="s">
        <v>206</v>
      </c>
      <c r="G403" s="83" t="s">
        <v>395</v>
      </c>
      <c r="H403" s="84" t="s">
        <v>386</v>
      </c>
      <c r="I403" s="85" t="n">
        <v>1</v>
      </c>
      <c r="J403" s="86" t="n">
        <v>1</v>
      </c>
      <c r="K403" s="87" t="n">
        <v>0.008775</v>
      </c>
      <c r="L403" s="88" t="n">
        <v>308604764.350998</v>
      </c>
      <c r="M403" s="89" t="n">
        <v>308537399.672094</v>
      </c>
      <c r="N403" s="90" t="str">
        <f>MIN(MAX((B403-'Calculation_Assumptions'!$B$5+1)/'Calculation_Assumptions'!$B$7,0),1)</f>
      </c>
      <c r="O403" s="91" t="str">
        <f>L403*I403</f>
      </c>
      <c r="P403" s="92" t="str">
        <f>M403*I403</f>
      </c>
      <c r="Q403" s="93" t="str">
        <f>P403*'Calculation_Assumptions'!$B$14*J403*K403</f>
      </c>
      <c r="R403" s="94" t="str">
        <f>O403*N403*J403*K403</f>
      </c>
      <c r="S403" s="95" t="str">
        <f>R403-Q403</f>
      </c>
      <c r="T403" s="96" t="str">
        <f>1/(1+'Calculation_Assumptions'!$B$8)^(B403-'Calculation_Assumptions'!$B$2)</f>
      </c>
      <c r="U403" s="97" t="str">
        <f>Q403*T403</f>
      </c>
      <c r="V403" s="98" t="str">
        <f>R403*T403</f>
      </c>
      <c r="W403" s="99" t="str">
        <f>S403*T403</f>
      </c>
      <c r="X403" t="n">
        <v>0</v>
      </c>
      <c r="Y403" s="100" t="n">
        <v>2017</v>
      </c>
      <c r="Z403" t="s">
        <v>389</v>
      </c>
      <c r="AA403" s="101" t="str">
        <f>IF(G403="shared-count-once",COUNTIFS($A$2:$A$807,A403,$B$2:$B$807,B403,$D$2:$D$807,D403),1)</f>
      </c>
    </row>
    <row r="404">
      <c r="A404" t="s">
        <v>207</v>
      </c>
      <c r="B404" s="79" t="n">
        <v>2037</v>
      </c>
      <c r="C404" t="s">
        <v>202</v>
      </c>
      <c r="D404" s="80" t="s">
        <v>393</v>
      </c>
      <c r="E404" s="81" t="s">
        <v>394</v>
      </c>
      <c r="F404" s="82" t="s">
        <v>206</v>
      </c>
      <c r="G404" s="83" t="s">
        <v>395</v>
      </c>
      <c r="H404" s="84" t="s">
        <v>386</v>
      </c>
      <c r="I404" s="85" t="n">
        <v>1</v>
      </c>
      <c r="J404" s="86" t="n">
        <v>1</v>
      </c>
      <c r="K404" s="87" t="n">
        <v>0.008775</v>
      </c>
      <c r="L404" s="88" t="n">
        <v>310117640.615163</v>
      </c>
      <c r="M404" s="89" t="n">
        <v>310023120.393472</v>
      </c>
      <c r="N404" s="90" t="str">
        <f>MIN(MAX((B404-'Calculation_Assumptions'!$B$5+1)/'Calculation_Assumptions'!$B$7,0),1)</f>
      </c>
      <c r="O404" s="91" t="str">
        <f>L404*I404</f>
      </c>
      <c r="P404" s="92" t="str">
        <f>M404*I404</f>
      </c>
      <c r="Q404" s="93" t="str">
        <f>P404*'Calculation_Assumptions'!$B$14*J404*K404</f>
      </c>
      <c r="R404" s="94" t="str">
        <f>O404*N404*J404*K404</f>
      </c>
      <c r="S404" s="95" t="str">
        <f>R404-Q404</f>
      </c>
      <c r="T404" s="96" t="str">
        <f>1/(1+'Calculation_Assumptions'!$B$8)^(B404-'Calculation_Assumptions'!$B$2)</f>
      </c>
      <c r="U404" s="97" t="str">
        <f>Q404*T404</f>
      </c>
      <c r="V404" s="98" t="str">
        <f>R404*T404</f>
      </c>
      <c r="W404" s="99" t="str">
        <f>S404*T404</f>
      </c>
      <c r="X404" t="n">
        <v>0</v>
      </c>
      <c r="Y404" s="100" t="n">
        <v>2017</v>
      </c>
      <c r="Z404" t="s">
        <v>389</v>
      </c>
      <c r="AA404" s="101" t="str">
        <f>IF(G404="shared-count-once",COUNTIFS($A$2:$A$807,A404,$B$2:$B$807,B404,$D$2:$D$807,D404),1)</f>
      </c>
    </row>
    <row r="405">
      <c r="A405" t="s">
        <v>207</v>
      </c>
      <c r="B405" s="79" t="n">
        <v>2038</v>
      </c>
      <c r="C405" t="s">
        <v>202</v>
      </c>
      <c r="D405" s="80" t="s">
        <v>393</v>
      </c>
      <c r="E405" s="81" t="s">
        <v>394</v>
      </c>
      <c r="F405" s="82" t="s">
        <v>206</v>
      </c>
      <c r="G405" s="83" t="s">
        <v>395</v>
      </c>
      <c r="H405" s="84" t="s">
        <v>386</v>
      </c>
      <c r="I405" s="85" t="n">
        <v>1</v>
      </c>
      <c r="J405" s="86" t="n">
        <v>1</v>
      </c>
      <c r="K405" s="87" t="n">
        <v>0.008775</v>
      </c>
      <c r="L405" s="88" t="n">
        <v>311569909.623523</v>
      </c>
      <c r="M405" s="89" t="n">
        <v>311445837.134625</v>
      </c>
      <c r="N405" s="90" t="str">
        <f>MIN(MAX((B405-'Calculation_Assumptions'!$B$5+1)/'Calculation_Assumptions'!$B$7,0),1)</f>
      </c>
      <c r="O405" s="91" t="str">
        <f>L405*I405</f>
      </c>
      <c r="P405" s="92" t="str">
        <f>M405*I405</f>
      </c>
      <c r="Q405" s="93" t="str">
        <f>P405*'Calculation_Assumptions'!$B$14*J405*K405</f>
      </c>
      <c r="R405" s="94" t="str">
        <f>O405*N405*J405*K405</f>
      </c>
      <c r="S405" s="95" t="str">
        <f>R405-Q405</f>
      </c>
      <c r="T405" s="96" t="str">
        <f>1/(1+'Calculation_Assumptions'!$B$8)^(B405-'Calculation_Assumptions'!$B$2)</f>
      </c>
      <c r="U405" s="97" t="str">
        <f>Q405*T405</f>
      </c>
      <c r="V405" s="98" t="str">
        <f>R405*T405</f>
      </c>
      <c r="W405" s="99" t="str">
        <f>S405*T405</f>
      </c>
      <c r="X405" t="n">
        <v>0</v>
      </c>
      <c r="Y405" s="100" t="n">
        <v>2017</v>
      </c>
      <c r="Z405" t="s">
        <v>389</v>
      </c>
      <c r="AA405" s="101" t="str">
        <f>IF(G405="shared-count-once",COUNTIFS($A$2:$A$807,A405,$B$2:$B$807,B405,$D$2:$D$807,D405),1)</f>
      </c>
    </row>
    <row r="406">
      <c r="A406" t="s">
        <v>207</v>
      </c>
      <c r="B406" s="79" t="n">
        <v>2039</v>
      </c>
      <c r="C406" t="s">
        <v>202</v>
      </c>
      <c r="D406" s="80" t="s">
        <v>393</v>
      </c>
      <c r="E406" s="81" t="s">
        <v>394</v>
      </c>
      <c r="F406" s="82" t="s">
        <v>206</v>
      </c>
      <c r="G406" s="83" t="s">
        <v>395</v>
      </c>
      <c r="H406" s="84" t="s">
        <v>386</v>
      </c>
      <c r="I406" s="85" t="n">
        <v>1</v>
      </c>
      <c r="J406" s="86" t="n">
        <v>1</v>
      </c>
      <c r="K406" s="87" t="n">
        <v>0.008775</v>
      </c>
      <c r="L406" s="88" t="n">
        <v>312962572.337073</v>
      </c>
      <c r="M406" s="89" t="n">
        <v>312806989.715685</v>
      </c>
      <c r="N406" s="90" t="str">
        <f>MIN(MAX((B406-'Calculation_Assumptions'!$B$5+1)/'Calculation_Assumptions'!$B$7,0),1)</f>
      </c>
      <c r="O406" s="91" t="str">
        <f>L406*I406</f>
      </c>
      <c r="P406" s="92" t="str">
        <f>M406*I406</f>
      </c>
      <c r="Q406" s="93" t="str">
        <f>P406*'Calculation_Assumptions'!$B$14*J406*K406</f>
      </c>
      <c r="R406" s="94" t="str">
        <f>O406*N406*J406*K406</f>
      </c>
      <c r="S406" s="95" t="str">
        <f>R406-Q406</f>
      </c>
      <c r="T406" s="96" t="str">
        <f>1/(1+'Calculation_Assumptions'!$B$8)^(B406-'Calculation_Assumptions'!$B$2)</f>
      </c>
      <c r="U406" s="97" t="str">
        <f>Q406*T406</f>
      </c>
      <c r="V406" s="98" t="str">
        <f>R406*T406</f>
      </c>
      <c r="W406" s="99" t="str">
        <f>S406*T406</f>
      </c>
      <c r="X406" t="n">
        <v>0</v>
      </c>
      <c r="Y406" s="100" t="n">
        <v>2017</v>
      </c>
      <c r="Z406" t="s">
        <v>389</v>
      </c>
      <c r="AA406" s="101" t="str">
        <f>IF(G406="shared-count-once",COUNTIFS($A$2:$A$807,A406,$B$2:$B$807,B406,$D$2:$D$807,D406),1)</f>
      </c>
    </row>
    <row r="407">
      <c r="A407" t="s">
        <v>207</v>
      </c>
      <c r="B407" s="79" t="n">
        <v>2040</v>
      </c>
      <c r="C407" t="s">
        <v>202</v>
      </c>
      <c r="D407" s="80" t="s">
        <v>393</v>
      </c>
      <c r="E407" s="81" t="s">
        <v>394</v>
      </c>
      <c r="F407" s="82" t="s">
        <v>206</v>
      </c>
      <c r="G407" s="83" t="s">
        <v>395</v>
      </c>
      <c r="H407" s="84" t="s">
        <v>386</v>
      </c>
      <c r="I407" s="85" t="n">
        <v>1</v>
      </c>
      <c r="J407" s="86" t="n">
        <v>1</v>
      </c>
      <c r="K407" s="87" t="n">
        <v>0.008775</v>
      </c>
      <c r="L407" s="88" t="n">
        <v>314297753.303811</v>
      </c>
      <c r="M407" s="89" t="n">
        <v>314109251.582649</v>
      </c>
      <c r="N407" s="90" t="str">
        <f>MIN(MAX((B407-'Calculation_Assumptions'!$B$5+1)/'Calculation_Assumptions'!$B$7,0),1)</f>
      </c>
      <c r="O407" s="91" t="str">
        <f>L407*I407</f>
      </c>
      <c r="P407" s="92" t="str">
        <f>M407*I407</f>
      </c>
      <c r="Q407" s="93" t="str">
        <f>P407*'Calculation_Assumptions'!$B$14*J407*K407</f>
      </c>
      <c r="R407" s="94" t="str">
        <f>O407*N407*J407*K407</f>
      </c>
      <c r="S407" s="95" t="str">
        <f>R407-Q407</f>
      </c>
      <c r="T407" s="96" t="str">
        <f>1/(1+'Calculation_Assumptions'!$B$8)^(B407-'Calculation_Assumptions'!$B$2)</f>
      </c>
      <c r="U407" s="97" t="str">
        <f>Q407*T407</f>
      </c>
      <c r="V407" s="98" t="str">
        <f>R407*T407</f>
      </c>
      <c r="W407" s="99" t="str">
        <f>S407*T407</f>
      </c>
      <c r="X407" t="n">
        <v>0</v>
      </c>
      <c r="Y407" s="100" t="n">
        <v>2017</v>
      </c>
      <c r="Z407" t="s">
        <v>389</v>
      </c>
      <c r="AA407" s="101" t="str">
        <f>IF(G407="shared-count-once",COUNTIFS($A$2:$A$807,A407,$B$2:$B$807,B407,$D$2:$D$807,D407),1)</f>
      </c>
    </row>
    <row r="408">
      <c r="A408" t="s">
        <v>207</v>
      </c>
      <c r="B408" s="79" t="n">
        <v>2041</v>
      </c>
      <c r="C408" t="s">
        <v>202</v>
      </c>
      <c r="D408" s="80" t="s">
        <v>393</v>
      </c>
      <c r="E408" s="81" t="s">
        <v>394</v>
      </c>
      <c r="F408" s="82" t="s">
        <v>206</v>
      </c>
      <c r="G408" s="83" t="s">
        <v>395</v>
      </c>
      <c r="H408" s="84" t="s">
        <v>386</v>
      </c>
      <c r="I408" s="85" t="n">
        <v>1</v>
      </c>
      <c r="J408" s="86" t="n">
        <v>1</v>
      </c>
      <c r="K408" s="87" t="n">
        <v>0.008775</v>
      </c>
      <c r="L408" s="88" t="n">
        <v>315574254.910176</v>
      </c>
      <c r="M408" s="89" t="n">
        <v>315352079.812423</v>
      </c>
      <c r="N408" s="90" t="str">
        <f>MIN(MAX((B408-'Calculation_Assumptions'!$B$5+1)/'Calculation_Assumptions'!$B$7,0),1)</f>
      </c>
      <c r="O408" s="91" t="str">
        <f>L408*I408</f>
      </c>
      <c r="P408" s="92" t="str">
        <f>M408*I408</f>
      </c>
      <c r="Q408" s="93" t="str">
        <f>P408*'Calculation_Assumptions'!$B$14*J408*K408</f>
      </c>
      <c r="R408" s="94" t="str">
        <f>O408*N408*J408*K408</f>
      </c>
      <c r="S408" s="95" t="str">
        <f>R408-Q408</f>
      </c>
      <c r="T408" s="96" t="str">
        <f>1/(1+'Calculation_Assumptions'!$B$8)^(B408-'Calculation_Assumptions'!$B$2)</f>
      </c>
      <c r="U408" s="97" t="str">
        <f>Q408*T408</f>
      </c>
      <c r="V408" s="98" t="str">
        <f>R408*T408</f>
      </c>
      <c r="W408" s="99" t="str">
        <f>S408*T408</f>
      </c>
      <c r="X408" t="n">
        <v>0</v>
      </c>
      <c r="Y408" s="100" t="n">
        <v>2017</v>
      </c>
      <c r="Z408" t="s">
        <v>389</v>
      </c>
      <c r="AA408" s="101" t="str">
        <f>IF(G408="shared-count-once",COUNTIFS($A$2:$A$807,A408,$B$2:$B$807,B408,$D$2:$D$807,D408),1)</f>
      </c>
    </row>
    <row r="409">
      <c r="A409" t="s">
        <v>207</v>
      </c>
      <c r="B409" s="79" t="n">
        <v>2042</v>
      </c>
      <c r="C409" t="s">
        <v>202</v>
      </c>
      <c r="D409" s="80" t="s">
        <v>393</v>
      </c>
      <c r="E409" s="81" t="s">
        <v>394</v>
      </c>
      <c r="F409" s="82" t="s">
        <v>206</v>
      </c>
      <c r="G409" s="83" t="s">
        <v>395</v>
      </c>
      <c r="H409" s="84" t="s">
        <v>386</v>
      </c>
      <c r="I409" s="85" t="n">
        <v>1</v>
      </c>
      <c r="J409" s="86" t="n">
        <v>1</v>
      </c>
      <c r="K409" s="87" t="n">
        <v>0.008775</v>
      </c>
      <c r="L409" s="88" t="n">
        <v>316792723.043932</v>
      </c>
      <c r="M409" s="89" t="n">
        <v>316395286.312016</v>
      </c>
      <c r="N409" s="90" t="str">
        <f>MIN(MAX((B409-'Calculation_Assumptions'!$B$5+1)/'Calculation_Assumptions'!$B$7,0),1)</f>
      </c>
      <c r="O409" s="91" t="str">
        <f>L409*I409</f>
      </c>
      <c r="P409" s="92" t="str">
        <f>M409*I409</f>
      </c>
      <c r="Q409" s="93" t="str">
        <f>P409*'Calculation_Assumptions'!$B$14*J409*K409</f>
      </c>
      <c r="R409" s="94" t="str">
        <f>O409*N409*J409*K409</f>
      </c>
      <c r="S409" s="95" t="str">
        <f>R409-Q409</f>
      </c>
      <c r="T409" s="96" t="str">
        <f>1/(1+'Calculation_Assumptions'!$B$8)^(B409-'Calculation_Assumptions'!$B$2)</f>
      </c>
      <c r="U409" s="97" t="str">
        <f>Q409*T409</f>
      </c>
      <c r="V409" s="98" t="str">
        <f>R409*T409</f>
      </c>
      <c r="W409" s="99" t="str">
        <f>S409*T409</f>
      </c>
      <c r="X409" t="n">
        <v>0</v>
      </c>
      <c r="Y409" s="100" t="n">
        <v>2017</v>
      </c>
      <c r="Z409" t="s">
        <v>389</v>
      </c>
      <c r="AA409" s="101" t="str">
        <f>IF(G409="shared-count-once",COUNTIFS($A$2:$A$807,A409,$B$2:$B$807,B409,$D$2:$D$807,D409),1)</f>
      </c>
    </row>
    <row r="410">
      <c r="A410" t="s">
        <v>207</v>
      </c>
      <c r="B410" s="79" t="n">
        <v>2043</v>
      </c>
      <c r="C410" t="s">
        <v>202</v>
      </c>
      <c r="D410" s="80" t="s">
        <v>393</v>
      </c>
      <c r="E410" s="81" t="s">
        <v>394</v>
      </c>
      <c r="F410" s="82" t="s">
        <v>206</v>
      </c>
      <c r="G410" s="83" t="s">
        <v>395</v>
      </c>
      <c r="H410" s="84" t="s">
        <v>386</v>
      </c>
      <c r="I410" s="85" t="n">
        <v>1</v>
      </c>
      <c r="J410" s="86" t="n">
        <v>1</v>
      </c>
      <c r="K410" s="87" t="n">
        <v>0.008775</v>
      </c>
      <c r="L410" s="88" t="n">
        <v>318061619.430722</v>
      </c>
      <c r="M410" s="89" t="n">
        <v>317619735.688289</v>
      </c>
      <c r="N410" s="90" t="str">
        <f>MIN(MAX((B410-'Calculation_Assumptions'!$B$5+1)/'Calculation_Assumptions'!$B$7,0),1)</f>
      </c>
      <c r="O410" s="91" t="str">
        <f>L410*I410</f>
      </c>
      <c r="P410" s="92" t="str">
        <f>M410*I410</f>
      </c>
      <c r="Q410" s="93" t="str">
        <f>P410*'Calculation_Assumptions'!$B$14*J410*K410</f>
      </c>
      <c r="R410" s="94" t="str">
        <f>O410*N410*J410*K410</f>
      </c>
      <c r="S410" s="95" t="str">
        <f>R410-Q410</f>
      </c>
      <c r="T410" s="96" t="str">
        <f>1/(1+'Calculation_Assumptions'!$B$8)^(B410-'Calculation_Assumptions'!$B$2)</f>
      </c>
      <c r="U410" s="97" t="str">
        <f>Q410*T410</f>
      </c>
      <c r="V410" s="98" t="str">
        <f>R410*T410</f>
      </c>
      <c r="W410" s="99" t="str">
        <f>S410*T410</f>
      </c>
      <c r="X410" t="n">
        <v>0</v>
      </c>
      <c r="Y410" s="100" t="n">
        <v>2017</v>
      </c>
      <c r="Z410" t="s">
        <v>389</v>
      </c>
      <c r="AA410" s="101" t="str">
        <f>IF(G410="shared-count-once",COUNTIFS($A$2:$A$807,A410,$B$2:$B$807,B410,$D$2:$D$807,D410),1)</f>
      </c>
    </row>
    <row r="411">
      <c r="A411" t="s">
        <v>207</v>
      </c>
      <c r="B411" s="79" t="n">
        <v>2044</v>
      </c>
      <c r="C411" t="s">
        <v>202</v>
      </c>
      <c r="D411" s="80" t="s">
        <v>393</v>
      </c>
      <c r="E411" s="81" t="s">
        <v>394</v>
      </c>
      <c r="F411" s="82" t="s">
        <v>206</v>
      </c>
      <c r="G411" s="83" t="s">
        <v>395</v>
      </c>
      <c r="H411" s="84" t="s">
        <v>386</v>
      </c>
      <c r="I411" s="85" t="n">
        <v>1</v>
      </c>
      <c r="J411" s="86" t="n">
        <v>1</v>
      </c>
      <c r="K411" s="87" t="n">
        <v>0.008775</v>
      </c>
      <c r="L411" s="88" t="n">
        <v>319178928.466973</v>
      </c>
      <c r="M411" s="89" t="n">
        <v>318697135.863652</v>
      </c>
      <c r="N411" s="90" t="str">
        <f>MIN(MAX((B411-'Calculation_Assumptions'!$B$5+1)/'Calculation_Assumptions'!$B$7,0),1)</f>
      </c>
      <c r="O411" s="91" t="str">
        <f>L411*I411</f>
      </c>
      <c r="P411" s="92" t="str">
        <f>M411*I411</f>
      </c>
      <c r="Q411" s="93" t="str">
        <f>P411*'Calculation_Assumptions'!$B$14*J411*K411</f>
      </c>
      <c r="R411" s="94" t="str">
        <f>O411*N411*J411*K411</f>
      </c>
      <c r="S411" s="95" t="str">
        <f>R411-Q411</f>
      </c>
      <c r="T411" s="96" t="str">
        <f>1/(1+'Calculation_Assumptions'!$B$8)^(B411-'Calculation_Assumptions'!$B$2)</f>
      </c>
      <c r="U411" s="97" t="str">
        <f>Q411*T411</f>
      </c>
      <c r="V411" s="98" t="str">
        <f>R411*T411</f>
      </c>
      <c r="W411" s="99" t="str">
        <f>S411*T411</f>
      </c>
      <c r="X411" t="n">
        <v>0</v>
      </c>
      <c r="Y411" s="100" t="n">
        <v>2017</v>
      </c>
      <c r="Z411" t="s">
        <v>389</v>
      </c>
      <c r="AA411" s="101" t="str">
        <f>IF(G411="shared-count-once",COUNTIFS($A$2:$A$807,A411,$B$2:$B$807,B411,$D$2:$D$807,D411),1)</f>
      </c>
    </row>
    <row r="412">
      <c r="A412" t="s">
        <v>207</v>
      </c>
      <c r="B412" s="79" t="n">
        <v>2045</v>
      </c>
      <c r="C412" t="s">
        <v>202</v>
      </c>
      <c r="D412" s="80" t="s">
        <v>393</v>
      </c>
      <c r="E412" s="81" t="s">
        <v>394</v>
      </c>
      <c r="F412" s="82" t="s">
        <v>206</v>
      </c>
      <c r="G412" s="83" t="s">
        <v>395</v>
      </c>
      <c r="H412" s="84" t="s">
        <v>386</v>
      </c>
      <c r="I412" s="85" t="n">
        <v>1</v>
      </c>
      <c r="J412" s="86" t="n">
        <v>1</v>
      </c>
      <c r="K412" s="87" t="n">
        <v>0.008775</v>
      </c>
      <c r="L412" s="88" t="n">
        <v>320239528.676681</v>
      </c>
      <c r="M412" s="89" t="n">
        <v>319717840.85179</v>
      </c>
      <c r="N412" s="90" t="str">
        <f>MIN(MAX((B412-'Calculation_Assumptions'!$B$5+1)/'Calculation_Assumptions'!$B$7,0),1)</f>
      </c>
      <c r="O412" s="91" t="str">
        <f>L412*I412</f>
      </c>
      <c r="P412" s="92" t="str">
        <f>M412*I412</f>
      </c>
      <c r="Q412" s="93" t="str">
        <f>P412*'Calculation_Assumptions'!$B$14*J412*K412</f>
      </c>
      <c r="R412" s="94" t="str">
        <f>O412*N412*J412*K412</f>
      </c>
      <c r="S412" s="95" t="str">
        <f>R412-Q412</f>
      </c>
      <c r="T412" s="96" t="str">
        <f>1/(1+'Calculation_Assumptions'!$B$8)^(B412-'Calculation_Assumptions'!$B$2)</f>
      </c>
      <c r="U412" s="97" t="str">
        <f>Q412*T412</f>
      </c>
      <c r="V412" s="98" t="str">
        <f>R412*T412</f>
      </c>
      <c r="W412" s="99" t="str">
        <f>S412*T412</f>
      </c>
      <c r="X412" t="n">
        <v>0</v>
      </c>
      <c r="Y412" s="100" t="n">
        <v>2017</v>
      </c>
      <c r="Z412" t="s">
        <v>389</v>
      </c>
      <c r="AA412" s="101" t="str">
        <f>IF(G412="shared-count-once",COUNTIFS($A$2:$A$807,A412,$B$2:$B$807,B412,$D$2:$D$807,D412),1)</f>
      </c>
    </row>
    <row r="413">
      <c r="A413" t="s">
        <v>207</v>
      </c>
      <c r="B413" s="79" t="n">
        <v>2046</v>
      </c>
      <c r="C413" t="s">
        <v>202</v>
      </c>
      <c r="D413" s="80" t="s">
        <v>393</v>
      </c>
      <c r="E413" s="81" t="s">
        <v>394</v>
      </c>
      <c r="F413" s="82" t="s">
        <v>206</v>
      </c>
      <c r="G413" s="83" t="s">
        <v>395</v>
      </c>
      <c r="H413" s="84" t="s">
        <v>386</v>
      </c>
      <c r="I413" s="85" t="n">
        <v>1</v>
      </c>
      <c r="J413" s="86" t="n">
        <v>1</v>
      </c>
      <c r="K413" s="87" t="n">
        <v>0.008775</v>
      </c>
      <c r="L413" s="88" t="n">
        <v>321245351.030761</v>
      </c>
      <c r="M413" s="89" t="n">
        <v>320683879.806276</v>
      </c>
      <c r="N413" s="90" t="str">
        <f>MIN(MAX((B413-'Calculation_Assumptions'!$B$5+1)/'Calculation_Assumptions'!$B$7,0),1)</f>
      </c>
      <c r="O413" s="91" t="str">
        <f>L413*I413</f>
      </c>
      <c r="P413" s="92" t="str">
        <f>M413*I413</f>
      </c>
      <c r="Q413" s="93" t="str">
        <f>P413*'Calculation_Assumptions'!$B$14*J413*K413</f>
      </c>
      <c r="R413" s="94" t="str">
        <f>O413*N413*J413*K413</f>
      </c>
      <c r="S413" s="95" t="str">
        <f>R413-Q413</f>
      </c>
      <c r="T413" s="96" t="str">
        <f>1/(1+'Calculation_Assumptions'!$B$8)^(B413-'Calculation_Assumptions'!$B$2)</f>
      </c>
      <c r="U413" s="97" t="str">
        <f>Q413*T413</f>
      </c>
      <c r="V413" s="98" t="str">
        <f>R413*T413</f>
      </c>
      <c r="W413" s="99" t="str">
        <f>S413*T413</f>
      </c>
      <c r="X413" t="n">
        <v>0</v>
      </c>
      <c r="Y413" s="100" t="n">
        <v>2017</v>
      </c>
      <c r="Z413" t="s">
        <v>389</v>
      </c>
      <c r="AA413" s="101" t="str">
        <f>IF(G413="shared-count-once",COUNTIFS($A$2:$A$807,A413,$B$2:$B$807,B413,$D$2:$D$807,D413),1)</f>
      </c>
    </row>
    <row r="414">
      <c r="A414" t="s">
        <v>207</v>
      </c>
      <c r="B414" s="79" t="n">
        <v>2047</v>
      </c>
      <c r="C414" t="s">
        <v>202</v>
      </c>
      <c r="D414" s="80" t="s">
        <v>393</v>
      </c>
      <c r="E414" s="81" t="s">
        <v>394</v>
      </c>
      <c r="F414" s="82" t="s">
        <v>206</v>
      </c>
      <c r="G414" s="83" t="s">
        <v>395</v>
      </c>
      <c r="H414" s="84" t="s">
        <v>386</v>
      </c>
      <c r="I414" s="85" t="n">
        <v>1</v>
      </c>
      <c r="J414" s="86" t="n">
        <v>1</v>
      </c>
      <c r="K414" s="87" t="n">
        <v>0.008775</v>
      </c>
      <c r="L414" s="88" t="n">
        <v>322196532.836748</v>
      </c>
      <c r="M414" s="89" t="n">
        <v>321595541.389526</v>
      </c>
      <c r="N414" s="90" t="str">
        <f>MIN(MAX((B414-'Calculation_Assumptions'!$B$5+1)/'Calculation_Assumptions'!$B$7,0),1)</f>
      </c>
      <c r="O414" s="91" t="str">
        <f>L414*I414</f>
      </c>
      <c r="P414" s="92" t="str">
        <f>M414*I414</f>
      </c>
      <c r="Q414" s="93" t="str">
        <f>P414*'Calculation_Assumptions'!$B$14*J414*K414</f>
      </c>
      <c r="R414" s="94" t="str">
        <f>O414*N414*J414*K414</f>
      </c>
      <c r="S414" s="95" t="str">
        <f>R414-Q414</f>
      </c>
      <c r="T414" s="96" t="str">
        <f>1/(1+'Calculation_Assumptions'!$B$8)^(B414-'Calculation_Assumptions'!$B$2)</f>
      </c>
      <c r="U414" s="97" t="str">
        <f>Q414*T414</f>
      </c>
      <c r="V414" s="98" t="str">
        <f>R414*T414</f>
      </c>
      <c r="W414" s="99" t="str">
        <f>S414*T414</f>
      </c>
      <c r="X414" t="n">
        <v>0</v>
      </c>
      <c r="Y414" s="100" t="n">
        <v>2017</v>
      </c>
      <c r="Z414" t="s">
        <v>389</v>
      </c>
      <c r="AA414" s="101" t="str">
        <f>IF(G414="shared-count-once",COUNTIFS($A$2:$A$807,A414,$B$2:$B$807,B414,$D$2:$D$807,D414),1)</f>
      </c>
    </row>
    <row r="415">
      <c r="A415" t="s">
        <v>207</v>
      </c>
      <c r="B415" s="79" t="n">
        <v>2048</v>
      </c>
      <c r="C415" t="s">
        <v>202</v>
      </c>
      <c r="D415" s="80" t="s">
        <v>393</v>
      </c>
      <c r="E415" s="81" t="s">
        <v>394</v>
      </c>
      <c r="F415" s="82" t="s">
        <v>206</v>
      </c>
      <c r="G415" s="83" t="s">
        <v>395</v>
      </c>
      <c r="H415" s="84" t="s">
        <v>386</v>
      </c>
      <c r="I415" s="85" t="n">
        <v>1</v>
      </c>
      <c r="J415" s="86" t="n">
        <v>1</v>
      </c>
      <c r="K415" s="87" t="n">
        <v>0.008775</v>
      </c>
      <c r="L415" s="88" t="n">
        <v>322905422.339843</v>
      </c>
      <c r="M415" s="89" t="n">
        <v>322453622.669464</v>
      </c>
      <c r="N415" s="90" t="str">
        <f>MIN(MAX((B415-'Calculation_Assumptions'!$B$5+1)/'Calculation_Assumptions'!$B$7,0),1)</f>
      </c>
      <c r="O415" s="91" t="str">
        <f>L415*I415</f>
      </c>
      <c r="P415" s="92" t="str">
        <f>M415*I415</f>
      </c>
      <c r="Q415" s="93" t="str">
        <f>P415*'Calculation_Assumptions'!$B$14*J415*K415</f>
      </c>
      <c r="R415" s="94" t="str">
        <f>O415*N415*J415*K415</f>
      </c>
      <c r="S415" s="95" t="str">
        <f>R415-Q415</f>
      </c>
      <c r="T415" s="96" t="str">
        <f>1/(1+'Calculation_Assumptions'!$B$8)^(B415-'Calculation_Assumptions'!$B$2)</f>
      </c>
      <c r="U415" s="97" t="str">
        <f>Q415*T415</f>
      </c>
      <c r="V415" s="98" t="str">
        <f>R415*T415</f>
      </c>
      <c r="W415" s="99" t="str">
        <f>S415*T415</f>
      </c>
      <c r="X415" t="n">
        <v>0</v>
      </c>
      <c r="Y415" s="100" t="n">
        <v>2017</v>
      </c>
      <c r="Z415" t="s">
        <v>389</v>
      </c>
      <c r="AA415" s="101" t="str">
        <f>IF(G415="shared-count-once",COUNTIFS($A$2:$A$807,A415,$B$2:$B$807,B415,$D$2:$D$807,D415),1)</f>
      </c>
    </row>
    <row r="416">
      <c r="A416" t="s">
        <v>207</v>
      </c>
      <c r="B416" s="79" t="n">
        <v>2049</v>
      </c>
      <c r="C416" t="s">
        <v>202</v>
      </c>
      <c r="D416" s="80" t="s">
        <v>393</v>
      </c>
      <c r="E416" s="81" t="s">
        <v>394</v>
      </c>
      <c r="F416" s="82" t="s">
        <v>206</v>
      </c>
      <c r="G416" s="83" t="s">
        <v>395</v>
      </c>
      <c r="H416" s="84" t="s">
        <v>386</v>
      </c>
      <c r="I416" s="85" t="n">
        <v>1</v>
      </c>
      <c r="J416" s="86" t="n">
        <v>1</v>
      </c>
      <c r="K416" s="87" t="n">
        <v>0.008775</v>
      </c>
      <c r="L416" s="88" t="n">
        <v>323738781.157843</v>
      </c>
      <c r="M416" s="89" t="n">
        <v>323259246.716719</v>
      </c>
      <c r="N416" s="90" t="str">
        <f>MIN(MAX((B416-'Calculation_Assumptions'!$B$5+1)/'Calculation_Assumptions'!$B$7,0),1)</f>
      </c>
      <c r="O416" s="91" t="str">
        <f>L416*I416</f>
      </c>
      <c r="P416" s="92" t="str">
        <f>M416*I416</f>
      </c>
      <c r="Q416" s="93" t="str">
        <f>P416*'Calculation_Assumptions'!$B$14*J416*K416</f>
      </c>
      <c r="R416" s="94" t="str">
        <f>O416*N416*J416*K416</f>
      </c>
      <c r="S416" s="95" t="str">
        <f>R416-Q416</f>
      </c>
      <c r="T416" s="96" t="str">
        <f>1/(1+'Calculation_Assumptions'!$B$8)^(B416-'Calculation_Assumptions'!$B$2)</f>
      </c>
      <c r="U416" s="97" t="str">
        <f>Q416*T416</f>
      </c>
      <c r="V416" s="98" t="str">
        <f>R416*T416</f>
      </c>
      <c r="W416" s="99" t="str">
        <f>S416*T416</f>
      </c>
      <c r="X416" t="n">
        <v>0</v>
      </c>
      <c r="Y416" s="100" t="n">
        <v>2017</v>
      </c>
      <c r="Z416" t="s">
        <v>389</v>
      </c>
      <c r="AA416" s="101" t="str">
        <f>IF(G416="shared-count-once",COUNTIFS($A$2:$A$807,A416,$B$2:$B$807,B416,$D$2:$D$807,D416),1)</f>
      </c>
    </row>
    <row r="417">
      <c r="A417" t="s">
        <v>207</v>
      </c>
      <c r="B417" s="79" t="n">
        <v>2050</v>
      </c>
      <c r="C417" t="s">
        <v>202</v>
      </c>
      <c r="D417" s="80" t="s">
        <v>393</v>
      </c>
      <c r="E417" s="81" t="s">
        <v>394</v>
      </c>
      <c r="F417" s="82" t="s">
        <v>206</v>
      </c>
      <c r="G417" s="83" t="s">
        <v>395</v>
      </c>
      <c r="H417" s="84" t="s">
        <v>386</v>
      </c>
      <c r="I417" s="85" t="n">
        <v>1</v>
      </c>
      <c r="J417" s="86" t="n">
        <v>1</v>
      </c>
      <c r="K417" s="87" t="n">
        <v>0.008775</v>
      </c>
      <c r="L417" s="88" t="n">
        <v>324519557.566742</v>
      </c>
      <c r="M417" s="89" t="n">
        <v>324013738.182479</v>
      </c>
      <c r="N417" s="90" t="str">
        <f>MIN(MAX((B417-'Calculation_Assumptions'!$B$5+1)/'Calculation_Assumptions'!$B$7,0),1)</f>
      </c>
      <c r="O417" s="91" t="str">
        <f>L417*I417</f>
      </c>
      <c r="P417" s="92" t="str">
        <f>M417*I417</f>
      </c>
      <c r="Q417" s="93" t="str">
        <f>P417*'Calculation_Assumptions'!$B$14*J417*K417</f>
      </c>
      <c r="R417" s="94" t="str">
        <f>O417*N417*J417*K417</f>
      </c>
      <c r="S417" s="95" t="str">
        <f>R417-Q417</f>
      </c>
      <c r="T417" s="96" t="str">
        <f>1/(1+'Calculation_Assumptions'!$B$8)^(B417-'Calculation_Assumptions'!$B$2)</f>
      </c>
      <c r="U417" s="97" t="str">
        <f>Q417*T417</f>
      </c>
      <c r="V417" s="98" t="str">
        <f>R417*T417</f>
      </c>
      <c r="W417" s="99" t="str">
        <f>S417*T417</f>
      </c>
      <c r="X417" t="n">
        <v>0</v>
      </c>
      <c r="Y417" s="100" t="n">
        <v>2017</v>
      </c>
      <c r="Z417" t="s">
        <v>389</v>
      </c>
      <c r="AA417" s="101" t="str">
        <f>IF(G417="shared-count-once",COUNTIFS($A$2:$A$807,A417,$B$2:$B$807,B417,$D$2:$D$807,D417),1)</f>
      </c>
    </row>
    <row r="418">
      <c r="A418" t="s">
        <v>207</v>
      </c>
      <c r="B418" s="79" t="n">
        <v>2025</v>
      </c>
      <c r="C418" t="s">
        <v>212</v>
      </c>
      <c r="D418" s="80" t="s">
        <v>397</v>
      </c>
      <c r="E418" s="81" t="s">
        <v>398</v>
      </c>
      <c r="F418" s="82" t="s">
        <v>215</v>
      </c>
      <c r="G418" s="83" t="s">
        <v>395</v>
      </c>
      <c r="H418" s="84" t="s">
        <v>386</v>
      </c>
      <c r="I418" s="85" t="n">
        <v>1</v>
      </c>
      <c r="J418" s="86" t="n">
        <v>1</v>
      </c>
      <c r="K418" s="87" t="n">
        <v>0.008775</v>
      </c>
      <c r="L418" s="88" t="n">
        <v>288000821.106462</v>
      </c>
      <c r="M418" s="89" t="n">
        <v>288000821.106462</v>
      </c>
      <c r="N418" s="90" t="str">
        <f>MIN(MAX((B418-'Calculation_Assumptions'!$B$5+1)/'Calculation_Assumptions'!$B$7,0),1)</f>
      </c>
      <c r="O418" s="91" t="str">
        <f>L418*I418</f>
      </c>
      <c r="P418" s="92" t="str">
        <f>M418*I418</f>
      </c>
      <c r="Q418" s="93" t="str">
        <f>P418*'Calculation_Assumptions'!$B$14*J418*K418</f>
      </c>
      <c r="R418" s="94" t="str">
        <f>O418*N418*J418*K418</f>
      </c>
      <c r="S418" s="95" t="str">
        <f>R418-Q418</f>
      </c>
      <c r="T418" s="96" t="str">
        <f>1/(1+'Calculation_Assumptions'!$B$8)^(B418-'Calculation_Assumptions'!$B$2)</f>
      </c>
      <c r="U418" s="97" t="str">
        <f>Q418*T418</f>
      </c>
      <c r="V418" s="98" t="str">
        <f>R418*T418</f>
      </c>
      <c r="W418" s="99" t="str">
        <f>S418*T418</f>
      </c>
      <c r="X418" t="n">
        <v>0</v>
      </c>
      <c r="Y418" s="100" t="n">
        <v>2017</v>
      </c>
      <c r="Z418" t="s">
        <v>389</v>
      </c>
      <c r="AA418" s="101" t="str">
        <f>IF(G418="shared-count-once",COUNTIFS($A$2:$A$807,A418,$B$2:$B$807,B418,$D$2:$D$807,D418),1)</f>
      </c>
    </row>
    <row r="419">
      <c r="A419" t="s">
        <v>207</v>
      </c>
      <c r="B419" s="79" t="n">
        <v>2026</v>
      </c>
      <c r="C419" t="s">
        <v>212</v>
      </c>
      <c r="D419" s="80" t="s">
        <v>397</v>
      </c>
      <c r="E419" s="81" t="s">
        <v>398</v>
      </c>
      <c r="F419" s="82" t="s">
        <v>215</v>
      </c>
      <c r="G419" s="83" t="s">
        <v>395</v>
      </c>
      <c r="H419" s="84" t="s">
        <v>386</v>
      </c>
      <c r="I419" s="85" t="n">
        <v>1</v>
      </c>
      <c r="J419" s="86" t="n">
        <v>1</v>
      </c>
      <c r="K419" s="87" t="n">
        <v>0.008775</v>
      </c>
      <c r="L419" s="88" t="n">
        <v>290123496.103219</v>
      </c>
      <c r="M419" s="89" t="n">
        <v>290123496.103219</v>
      </c>
      <c r="N419" s="90" t="str">
        <f>MIN(MAX((B419-'Calculation_Assumptions'!$B$5+1)/'Calculation_Assumptions'!$B$7,0),1)</f>
      </c>
      <c r="O419" s="91" t="str">
        <f>L419*I419</f>
      </c>
      <c r="P419" s="92" t="str">
        <f>M419*I419</f>
      </c>
      <c r="Q419" s="93" t="str">
        <f>P419*'Calculation_Assumptions'!$B$14*J419*K419</f>
      </c>
      <c r="R419" s="94" t="str">
        <f>O419*N419*J419*K419</f>
      </c>
      <c r="S419" s="95" t="str">
        <f>R419-Q419</f>
      </c>
      <c r="T419" s="96" t="str">
        <f>1/(1+'Calculation_Assumptions'!$B$8)^(B419-'Calculation_Assumptions'!$B$2)</f>
      </c>
      <c r="U419" s="97" t="str">
        <f>Q419*T419</f>
      </c>
      <c r="V419" s="98" t="str">
        <f>R419*T419</f>
      </c>
      <c r="W419" s="99" t="str">
        <f>S419*T419</f>
      </c>
      <c r="X419" t="n">
        <v>0</v>
      </c>
      <c r="Y419" s="100" t="n">
        <v>2017</v>
      </c>
      <c r="Z419" t="s">
        <v>389</v>
      </c>
      <c r="AA419" s="101" t="str">
        <f>IF(G419="shared-count-once",COUNTIFS($A$2:$A$807,A419,$B$2:$B$807,B419,$D$2:$D$807,D419),1)</f>
      </c>
    </row>
    <row r="420">
      <c r="A420" t="s">
        <v>207</v>
      </c>
      <c r="B420" s="79" t="n">
        <v>2027</v>
      </c>
      <c r="C420" t="s">
        <v>212</v>
      </c>
      <c r="D420" s="80" t="s">
        <v>397</v>
      </c>
      <c r="E420" s="81" t="s">
        <v>398</v>
      </c>
      <c r="F420" s="82" t="s">
        <v>215</v>
      </c>
      <c r="G420" s="83" t="s">
        <v>395</v>
      </c>
      <c r="H420" s="84" t="s">
        <v>386</v>
      </c>
      <c r="I420" s="85" t="n">
        <v>1</v>
      </c>
      <c r="J420" s="86" t="n">
        <v>1</v>
      </c>
      <c r="K420" s="87" t="n">
        <v>0.008775</v>
      </c>
      <c r="L420" s="88" t="n">
        <v>292252895.096956</v>
      </c>
      <c r="M420" s="89" t="n">
        <v>292252895.096956</v>
      </c>
      <c r="N420" s="90" t="str">
        <f>MIN(MAX((B420-'Calculation_Assumptions'!$B$5+1)/'Calculation_Assumptions'!$B$7,0),1)</f>
      </c>
      <c r="O420" s="91" t="str">
        <f>L420*I420</f>
      </c>
      <c r="P420" s="92" t="str">
        <f>M420*I420</f>
      </c>
      <c r="Q420" s="93" t="str">
        <f>P420*'Calculation_Assumptions'!$B$14*J420*K420</f>
      </c>
      <c r="R420" s="94" t="str">
        <f>O420*N420*J420*K420</f>
      </c>
      <c r="S420" s="95" t="str">
        <f>R420-Q420</f>
      </c>
      <c r="T420" s="96" t="str">
        <f>1/(1+'Calculation_Assumptions'!$B$8)^(B420-'Calculation_Assumptions'!$B$2)</f>
      </c>
      <c r="U420" s="97" t="str">
        <f>Q420*T420</f>
      </c>
      <c r="V420" s="98" t="str">
        <f>R420*T420</f>
      </c>
      <c r="W420" s="99" t="str">
        <f>S420*T420</f>
      </c>
      <c r="X420" t="n">
        <v>0</v>
      </c>
      <c r="Y420" s="100" t="n">
        <v>2017</v>
      </c>
      <c r="Z420" t="s">
        <v>389</v>
      </c>
      <c r="AA420" s="101" t="str">
        <f>IF(G420="shared-count-once",COUNTIFS($A$2:$A$807,A420,$B$2:$B$807,B420,$D$2:$D$807,D420),1)</f>
      </c>
    </row>
    <row r="421">
      <c r="A421" t="s">
        <v>207</v>
      </c>
      <c r="B421" s="79" t="n">
        <v>2028</v>
      </c>
      <c r="C421" t="s">
        <v>212</v>
      </c>
      <c r="D421" s="80" t="s">
        <v>397</v>
      </c>
      <c r="E421" s="81" t="s">
        <v>398</v>
      </c>
      <c r="F421" s="82" t="s">
        <v>215</v>
      </c>
      <c r="G421" s="83" t="s">
        <v>395</v>
      </c>
      <c r="H421" s="84" t="s">
        <v>386</v>
      </c>
      <c r="I421" s="85" t="n">
        <v>1</v>
      </c>
      <c r="J421" s="86" t="n">
        <v>1</v>
      </c>
      <c r="K421" s="87" t="n">
        <v>0.008775</v>
      </c>
      <c r="L421" s="88" t="n">
        <v>294317096.231241</v>
      </c>
      <c r="M421" s="89" t="n">
        <v>294314895.305465</v>
      </c>
      <c r="N421" s="90" t="str">
        <f>MIN(MAX((B421-'Calculation_Assumptions'!$B$5+1)/'Calculation_Assumptions'!$B$7,0),1)</f>
      </c>
      <c r="O421" s="91" t="str">
        <f>L421*I421</f>
      </c>
      <c r="P421" s="92" t="str">
        <f>M421*I421</f>
      </c>
      <c r="Q421" s="93" t="str">
        <f>P421*'Calculation_Assumptions'!$B$14*J421*K421</f>
      </c>
      <c r="R421" s="94" t="str">
        <f>O421*N421*J421*K421</f>
      </c>
      <c r="S421" s="95" t="str">
        <f>R421-Q421</f>
      </c>
      <c r="T421" s="96" t="str">
        <f>1/(1+'Calculation_Assumptions'!$B$8)^(B421-'Calculation_Assumptions'!$B$2)</f>
      </c>
      <c r="U421" s="97" t="str">
        <f>Q421*T421</f>
      </c>
      <c r="V421" s="98" t="str">
        <f>R421*T421</f>
      </c>
      <c r="W421" s="99" t="str">
        <f>S421*T421</f>
      </c>
      <c r="X421" t="n">
        <v>0</v>
      </c>
      <c r="Y421" s="100" t="n">
        <v>2017</v>
      </c>
      <c r="Z421" t="s">
        <v>389</v>
      </c>
      <c r="AA421" s="101" t="str">
        <f>IF(G421="shared-count-once",COUNTIFS($A$2:$A$807,A421,$B$2:$B$807,B421,$D$2:$D$807,D421),1)</f>
      </c>
    </row>
    <row r="422">
      <c r="A422" t="s">
        <v>207</v>
      </c>
      <c r="B422" s="79" t="n">
        <v>2029</v>
      </c>
      <c r="C422" t="s">
        <v>212</v>
      </c>
      <c r="D422" s="80" t="s">
        <v>397</v>
      </c>
      <c r="E422" s="81" t="s">
        <v>398</v>
      </c>
      <c r="F422" s="82" t="s">
        <v>215</v>
      </c>
      <c r="G422" s="83" t="s">
        <v>395</v>
      </c>
      <c r="H422" s="84" t="s">
        <v>386</v>
      </c>
      <c r="I422" s="85" t="n">
        <v>1</v>
      </c>
      <c r="J422" s="86" t="n">
        <v>1</v>
      </c>
      <c r="K422" s="87" t="n">
        <v>0.008775</v>
      </c>
      <c r="L422" s="88" t="n">
        <v>296349028.669572</v>
      </c>
      <c r="M422" s="89" t="n">
        <v>296341062.542853</v>
      </c>
      <c r="N422" s="90" t="str">
        <f>MIN(MAX((B422-'Calculation_Assumptions'!$B$5+1)/'Calculation_Assumptions'!$B$7,0),1)</f>
      </c>
      <c r="O422" s="91" t="str">
        <f>L422*I422</f>
      </c>
      <c r="P422" s="92" t="str">
        <f>M422*I422</f>
      </c>
      <c r="Q422" s="93" t="str">
        <f>P422*'Calculation_Assumptions'!$B$14*J422*K422</f>
      </c>
      <c r="R422" s="94" t="str">
        <f>O422*N422*J422*K422</f>
      </c>
      <c r="S422" s="95" t="str">
        <f>R422-Q422</f>
      </c>
      <c r="T422" s="96" t="str">
        <f>1/(1+'Calculation_Assumptions'!$B$8)^(B422-'Calculation_Assumptions'!$B$2)</f>
      </c>
      <c r="U422" s="97" t="str">
        <f>Q422*T422</f>
      </c>
      <c r="V422" s="98" t="str">
        <f>R422*T422</f>
      </c>
      <c r="W422" s="99" t="str">
        <f>S422*T422</f>
      </c>
      <c r="X422" t="n">
        <v>0</v>
      </c>
      <c r="Y422" s="100" t="n">
        <v>2017</v>
      </c>
      <c r="Z422" t="s">
        <v>389</v>
      </c>
      <c r="AA422" s="101" t="str">
        <f>IF(G422="shared-count-once",COUNTIFS($A$2:$A$807,A422,$B$2:$B$807,B422,$D$2:$D$807,D422),1)</f>
      </c>
    </row>
    <row r="423">
      <c r="A423" t="s">
        <v>207</v>
      </c>
      <c r="B423" s="79" t="n">
        <v>2030</v>
      </c>
      <c r="C423" t="s">
        <v>212</v>
      </c>
      <c r="D423" s="80" t="s">
        <v>397</v>
      </c>
      <c r="E423" s="81" t="s">
        <v>398</v>
      </c>
      <c r="F423" s="82" t="s">
        <v>215</v>
      </c>
      <c r="G423" s="83" t="s">
        <v>395</v>
      </c>
      <c r="H423" s="84" t="s">
        <v>386</v>
      </c>
      <c r="I423" s="85" t="n">
        <v>1</v>
      </c>
      <c r="J423" s="86" t="n">
        <v>1</v>
      </c>
      <c r="K423" s="87" t="n">
        <v>0.008775</v>
      </c>
      <c r="L423" s="88" t="n">
        <v>298298571.282757</v>
      </c>
      <c r="M423" s="89" t="n">
        <v>298280286.057263</v>
      </c>
      <c r="N423" s="90" t="str">
        <f>MIN(MAX((B423-'Calculation_Assumptions'!$B$5+1)/'Calculation_Assumptions'!$B$7,0),1)</f>
      </c>
      <c r="O423" s="91" t="str">
        <f>L423*I423</f>
      </c>
      <c r="P423" s="92" t="str">
        <f>M423*I423</f>
      </c>
      <c r="Q423" s="93" t="str">
        <f>P423*'Calculation_Assumptions'!$B$14*J423*K423</f>
      </c>
      <c r="R423" s="94" t="str">
        <f>O423*N423*J423*K423</f>
      </c>
      <c r="S423" s="95" t="str">
        <f>R423-Q423</f>
      </c>
      <c r="T423" s="96" t="str">
        <f>1/(1+'Calculation_Assumptions'!$B$8)^(B423-'Calculation_Assumptions'!$B$2)</f>
      </c>
      <c r="U423" s="97" t="str">
        <f>Q423*T423</f>
      </c>
      <c r="V423" s="98" t="str">
        <f>R423*T423</f>
      </c>
      <c r="W423" s="99" t="str">
        <f>S423*T423</f>
      </c>
      <c r="X423" t="n">
        <v>0</v>
      </c>
      <c r="Y423" s="100" t="n">
        <v>2017</v>
      </c>
      <c r="Z423" t="s">
        <v>389</v>
      </c>
      <c r="AA423" s="101" t="str">
        <f>IF(G423="shared-count-once",COUNTIFS($A$2:$A$807,A423,$B$2:$B$807,B423,$D$2:$D$807,D423),1)</f>
      </c>
    </row>
    <row r="424">
      <c r="A424" t="s">
        <v>207</v>
      </c>
      <c r="B424" s="79" t="n">
        <v>2031</v>
      </c>
      <c r="C424" t="s">
        <v>212</v>
      </c>
      <c r="D424" s="80" t="s">
        <v>397</v>
      </c>
      <c r="E424" s="81" t="s">
        <v>398</v>
      </c>
      <c r="F424" s="82" t="s">
        <v>215</v>
      </c>
      <c r="G424" s="83" t="s">
        <v>395</v>
      </c>
      <c r="H424" s="84" t="s">
        <v>386</v>
      </c>
      <c r="I424" s="85" t="n">
        <v>1</v>
      </c>
      <c r="J424" s="86" t="n">
        <v>1</v>
      </c>
      <c r="K424" s="87" t="n">
        <v>0.008775</v>
      </c>
      <c r="L424" s="88" t="n">
        <v>300121149.554959</v>
      </c>
      <c r="M424" s="89" t="n">
        <v>300152603.254782</v>
      </c>
      <c r="N424" s="90" t="str">
        <f>MIN(MAX((B424-'Calculation_Assumptions'!$B$5+1)/'Calculation_Assumptions'!$B$7,0),1)</f>
      </c>
      <c r="O424" s="91" t="str">
        <f>L424*I424</f>
      </c>
      <c r="P424" s="92" t="str">
        <f>M424*I424</f>
      </c>
      <c r="Q424" s="93" t="str">
        <f>P424*'Calculation_Assumptions'!$B$14*J424*K424</f>
      </c>
      <c r="R424" s="94" t="str">
        <f>O424*N424*J424*K424</f>
      </c>
      <c r="S424" s="95" t="str">
        <f>R424-Q424</f>
      </c>
      <c r="T424" s="96" t="str">
        <f>1/(1+'Calculation_Assumptions'!$B$8)^(B424-'Calculation_Assumptions'!$B$2)</f>
      </c>
      <c r="U424" s="97" t="str">
        <f>Q424*T424</f>
      </c>
      <c r="V424" s="98" t="str">
        <f>R424*T424</f>
      </c>
      <c r="W424" s="99" t="str">
        <f>S424*T424</f>
      </c>
      <c r="X424" t="n">
        <v>0</v>
      </c>
      <c r="Y424" s="100" t="n">
        <v>2017</v>
      </c>
      <c r="Z424" t="s">
        <v>389</v>
      </c>
      <c r="AA424" s="101" t="str">
        <f>IF(G424="shared-count-once",COUNTIFS($A$2:$A$807,A424,$B$2:$B$807,B424,$D$2:$D$807,D424),1)</f>
      </c>
    </row>
    <row r="425">
      <c r="A425" t="s">
        <v>207</v>
      </c>
      <c r="B425" s="79" t="n">
        <v>2032</v>
      </c>
      <c r="C425" t="s">
        <v>212</v>
      </c>
      <c r="D425" s="80" t="s">
        <v>397</v>
      </c>
      <c r="E425" s="81" t="s">
        <v>398</v>
      </c>
      <c r="F425" s="82" t="s">
        <v>215</v>
      </c>
      <c r="G425" s="83" t="s">
        <v>395</v>
      </c>
      <c r="H425" s="84" t="s">
        <v>386</v>
      </c>
      <c r="I425" s="85" t="n">
        <v>1</v>
      </c>
      <c r="J425" s="86" t="n">
        <v>1</v>
      </c>
      <c r="K425" s="87" t="n">
        <v>0.008775</v>
      </c>
      <c r="L425" s="88" t="n">
        <v>301941450.07667</v>
      </c>
      <c r="M425" s="89" t="n">
        <v>301959399.633888</v>
      </c>
      <c r="N425" s="90" t="str">
        <f>MIN(MAX((B425-'Calculation_Assumptions'!$B$5+1)/'Calculation_Assumptions'!$B$7,0),1)</f>
      </c>
      <c r="O425" s="91" t="str">
        <f>L425*I425</f>
      </c>
      <c r="P425" s="92" t="str">
        <f>M425*I425</f>
      </c>
      <c r="Q425" s="93" t="str">
        <f>P425*'Calculation_Assumptions'!$B$14*J425*K425</f>
      </c>
      <c r="R425" s="94" t="str">
        <f>O425*N425*J425*K425</f>
      </c>
      <c r="S425" s="95" t="str">
        <f>R425-Q425</f>
      </c>
      <c r="T425" s="96" t="str">
        <f>1/(1+'Calculation_Assumptions'!$B$8)^(B425-'Calculation_Assumptions'!$B$2)</f>
      </c>
      <c r="U425" s="97" t="str">
        <f>Q425*T425</f>
      </c>
      <c r="V425" s="98" t="str">
        <f>R425*T425</f>
      </c>
      <c r="W425" s="99" t="str">
        <f>S425*T425</f>
      </c>
      <c r="X425" t="n">
        <v>0</v>
      </c>
      <c r="Y425" s="100" t="n">
        <v>2017</v>
      </c>
      <c r="Z425" t="s">
        <v>389</v>
      </c>
      <c r="AA425" s="101" t="str">
        <f>IF(G425="shared-count-once",COUNTIFS($A$2:$A$807,A425,$B$2:$B$807,B425,$D$2:$D$807,D425),1)</f>
      </c>
    </row>
    <row r="426">
      <c r="A426" t="s">
        <v>207</v>
      </c>
      <c r="B426" s="79" t="n">
        <v>2033</v>
      </c>
      <c r="C426" t="s">
        <v>212</v>
      </c>
      <c r="D426" s="80" t="s">
        <v>397</v>
      </c>
      <c r="E426" s="81" t="s">
        <v>398</v>
      </c>
      <c r="F426" s="82" t="s">
        <v>215</v>
      </c>
      <c r="G426" s="83" t="s">
        <v>395</v>
      </c>
      <c r="H426" s="84" t="s">
        <v>386</v>
      </c>
      <c r="I426" s="85" t="n">
        <v>1</v>
      </c>
      <c r="J426" s="86" t="n">
        <v>1</v>
      </c>
      <c r="K426" s="87" t="n">
        <v>0.008775</v>
      </c>
      <c r="L426" s="88" t="n">
        <v>303700299.219431</v>
      </c>
      <c r="M426" s="89" t="n">
        <v>303701035.202051</v>
      </c>
      <c r="N426" s="90" t="str">
        <f>MIN(MAX((B426-'Calculation_Assumptions'!$B$5+1)/'Calculation_Assumptions'!$B$7,0),1)</f>
      </c>
      <c r="O426" s="91" t="str">
        <f>L426*I426</f>
      </c>
      <c r="P426" s="92" t="str">
        <f>M426*I426</f>
      </c>
      <c r="Q426" s="93" t="str">
        <f>P426*'Calculation_Assumptions'!$B$14*J426*K426</f>
      </c>
      <c r="R426" s="94" t="str">
        <f>O426*N426*J426*K426</f>
      </c>
      <c r="S426" s="95" t="str">
        <f>R426-Q426</f>
      </c>
      <c r="T426" s="96" t="str">
        <f>1/(1+'Calculation_Assumptions'!$B$8)^(B426-'Calculation_Assumptions'!$B$2)</f>
      </c>
      <c r="U426" s="97" t="str">
        <f>Q426*T426</f>
      </c>
      <c r="V426" s="98" t="str">
        <f>R426*T426</f>
      </c>
      <c r="W426" s="99" t="str">
        <f>S426*T426</f>
      </c>
      <c r="X426" t="n">
        <v>0</v>
      </c>
      <c r="Y426" s="100" t="n">
        <v>2017</v>
      </c>
      <c r="Z426" t="s">
        <v>389</v>
      </c>
      <c r="AA426" s="101" t="str">
        <f>IF(G426="shared-count-once",COUNTIFS($A$2:$A$807,A426,$B$2:$B$807,B426,$D$2:$D$807,D426),1)</f>
      </c>
    </row>
    <row r="427">
      <c r="A427" t="s">
        <v>207</v>
      </c>
      <c r="B427" s="79" t="n">
        <v>2034</v>
      </c>
      <c r="C427" t="s">
        <v>212</v>
      </c>
      <c r="D427" s="80" t="s">
        <v>397</v>
      </c>
      <c r="E427" s="81" t="s">
        <v>398</v>
      </c>
      <c r="F427" s="82" t="s">
        <v>215</v>
      </c>
      <c r="G427" s="83" t="s">
        <v>395</v>
      </c>
      <c r="H427" s="84" t="s">
        <v>386</v>
      </c>
      <c r="I427" s="85" t="n">
        <v>1</v>
      </c>
      <c r="J427" s="86" t="n">
        <v>1</v>
      </c>
      <c r="K427" s="87" t="n">
        <v>0.008775</v>
      </c>
      <c r="L427" s="88" t="n">
        <v>305397476.214779</v>
      </c>
      <c r="M427" s="89" t="n">
        <v>305377998.093319</v>
      </c>
      <c r="N427" s="90" t="str">
        <f>MIN(MAX((B427-'Calculation_Assumptions'!$B$5+1)/'Calculation_Assumptions'!$B$7,0),1)</f>
      </c>
      <c r="O427" s="91" t="str">
        <f>L427*I427</f>
      </c>
      <c r="P427" s="92" t="str">
        <f>M427*I427</f>
      </c>
      <c r="Q427" s="93" t="str">
        <f>P427*'Calculation_Assumptions'!$B$14*J427*K427</f>
      </c>
      <c r="R427" s="94" t="str">
        <f>O427*N427*J427*K427</f>
      </c>
      <c r="S427" s="95" t="str">
        <f>R427-Q427</f>
      </c>
      <c r="T427" s="96" t="str">
        <f>1/(1+'Calculation_Assumptions'!$B$8)^(B427-'Calculation_Assumptions'!$B$2)</f>
      </c>
      <c r="U427" s="97" t="str">
        <f>Q427*T427</f>
      </c>
      <c r="V427" s="98" t="str">
        <f>R427*T427</f>
      </c>
      <c r="W427" s="99" t="str">
        <f>S427*T427</f>
      </c>
      <c r="X427" t="n">
        <v>0</v>
      </c>
      <c r="Y427" s="100" t="n">
        <v>2017</v>
      </c>
      <c r="Z427" t="s">
        <v>389</v>
      </c>
      <c r="AA427" s="101" t="str">
        <f>IF(G427="shared-count-once",COUNTIFS($A$2:$A$807,A427,$B$2:$B$807,B427,$D$2:$D$807,D427),1)</f>
      </c>
    </row>
    <row r="428">
      <c r="A428" t="s">
        <v>207</v>
      </c>
      <c r="B428" s="79" t="n">
        <v>2035</v>
      </c>
      <c r="C428" t="s">
        <v>212</v>
      </c>
      <c r="D428" s="80" t="s">
        <v>397</v>
      </c>
      <c r="E428" s="81" t="s">
        <v>398</v>
      </c>
      <c r="F428" s="82" t="s">
        <v>215</v>
      </c>
      <c r="G428" s="83" t="s">
        <v>395</v>
      </c>
      <c r="H428" s="84" t="s">
        <v>386</v>
      </c>
      <c r="I428" s="85" t="n">
        <v>1</v>
      </c>
      <c r="J428" s="86" t="n">
        <v>1</v>
      </c>
      <c r="K428" s="87" t="n">
        <v>0.008775</v>
      </c>
      <c r="L428" s="88" t="n">
        <v>307031511.511074</v>
      </c>
      <c r="M428" s="89" t="n">
        <v>306989258.29407</v>
      </c>
      <c r="N428" s="90" t="str">
        <f>MIN(MAX((B428-'Calculation_Assumptions'!$B$5+1)/'Calculation_Assumptions'!$B$7,0),1)</f>
      </c>
      <c r="O428" s="91" t="str">
        <f>L428*I428</f>
      </c>
      <c r="P428" s="92" t="str">
        <f>M428*I428</f>
      </c>
      <c r="Q428" s="93" t="str">
        <f>P428*'Calculation_Assumptions'!$B$14*J428*K428</f>
      </c>
      <c r="R428" s="94" t="str">
        <f>O428*N428*J428*K428</f>
      </c>
      <c r="S428" s="95" t="str">
        <f>R428-Q428</f>
      </c>
      <c r="T428" s="96" t="str">
        <f>1/(1+'Calculation_Assumptions'!$B$8)^(B428-'Calculation_Assumptions'!$B$2)</f>
      </c>
      <c r="U428" s="97" t="str">
        <f>Q428*T428</f>
      </c>
      <c r="V428" s="98" t="str">
        <f>R428*T428</f>
      </c>
      <c r="W428" s="99" t="str">
        <f>S428*T428</f>
      </c>
      <c r="X428" t="n">
        <v>0</v>
      </c>
      <c r="Y428" s="100" t="n">
        <v>2017</v>
      </c>
      <c r="Z428" t="s">
        <v>389</v>
      </c>
      <c r="AA428" s="101" t="str">
        <f>IF(G428="shared-count-once",COUNTIFS($A$2:$A$807,A428,$B$2:$B$807,B428,$D$2:$D$807,D428),1)</f>
      </c>
    </row>
    <row r="429">
      <c r="A429" t="s">
        <v>207</v>
      </c>
      <c r="B429" s="79" t="n">
        <v>2036</v>
      </c>
      <c r="C429" t="s">
        <v>212</v>
      </c>
      <c r="D429" s="80" t="s">
        <v>397</v>
      </c>
      <c r="E429" s="81" t="s">
        <v>398</v>
      </c>
      <c r="F429" s="82" t="s">
        <v>215</v>
      </c>
      <c r="G429" s="83" t="s">
        <v>395</v>
      </c>
      <c r="H429" s="84" t="s">
        <v>386</v>
      </c>
      <c r="I429" s="85" t="n">
        <v>1</v>
      </c>
      <c r="J429" s="86" t="n">
        <v>1</v>
      </c>
      <c r="K429" s="87" t="n">
        <v>0.008775</v>
      </c>
      <c r="L429" s="88" t="n">
        <v>308604764.350998</v>
      </c>
      <c r="M429" s="89" t="n">
        <v>308537399.672094</v>
      </c>
      <c r="N429" s="90" t="str">
        <f>MIN(MAX((B429-'Calculation_Assumptions'!$B$5+1)/'Calculation_Assumptions'!$B$7,0),1)</f>
      </c>
      <c r="O429" s="91" t="str">
        <f>L429*I429</f>
      </c>
      <c r="P429" s="92" t="str">
        <f>M429*I429</f>
      </c>
      <c r="Q429" s="93" t="str">
        <f>P429*'Calculation_Assumptions'!$B$14*J429*K429</f>
      </c>
      <c r="R429" s="94" t="str">
        <f>O429*N429*J429*K429</f>
      </c>
      <c r="S429" s="95" t="str">
        <f>R429-Q429</f>
      </c>
      <c r="T429" s="96" t="str">
        <f>1/(1+'Calculation_Assumptions'!$B$8)^(B429-'Calculation_Assumptions'!$B$2)</f>
      </c>
      <c r="U429" s="97" t="str">
        <f>Q429*T429</f>
      </c>
      <c r="V429" s="98" t="str">
        <f>R429*T429</f>
      </c>
      <c r="W429" s="99" t="str">
        <f>S429*T429</f>
      </c>
      <c r="X429" t="n">
        <v>0</v>
      </c>
      <c r="Y429" s="100" t="n">
        <v>2017</v>
      </c>
      <c r="Z429" t="s">
        <v>389</v>
      </c>
      <c r="AA429" s="101" t="str">
        <f>IF(G429="shared-count-once",COUNTIFS($A$2:$A$807,A429,$B$2:$B$807,B429,$D$2:$D$807,D429),1)</f>
      </c>
    </row>
    <row r="430">
      <c r="A430" t="s">
        <v>207</v>
      </c>
      <c r="B430" s="79" t="n">
        <v>2037</v>
      </c>
      <c r="C430" t="s">
        <v>212</v>
      </c>
      <c r="D430" s="80" t="s">
        <v>397</v>
      </c>
      <c r="E430" s="81" t="s">
        <v>398</v>
      </c>
      <c r="F430" s="82" t="s">
        <v>215</v>
      </c>
      <c r="G430" s="83" t="s">
        <v>395</v>
      </c>
      <c r="H430" s="84" t="s">
        <v>386</v>
      </c>
      <c r="I430" s="85" t="n">
        <v>1</v>
      </c>
      <c r="J430" s="86" t="n">
        <v>1</v>
      </c>
      <c r="K430" s="87" t="n">
        <v>0.008775</v>
      </c>
      <c r="L430" s="88" t="n">
        <v>310117640.615163</v>
      </c>
      <c r="M430" s="89" t="n">
        <v>310023120.393472</v>
      </c>
      <c r="N430" s="90" t="str">
        <f>MIN(MAX((B430-'Calculation_Assumptions'!$B$5+1)/'Calculation_Assumptions'!$B$7,0),1)</f>
      </c>
      <c r="O430" s="91" t="str">
        <f>L430*I430</f>
      </c>
      <c r="P430" s="92" t="str">
        <f>M430*I430</f>
      </c>
      <c r="Q430" s="93" t="str">
        <f>P430*'Calculation_Assumptions'!$B$14*J430*K430</f>
      </c>
      <c r="R430" s="94" t="str">
        <f>O430*N430*J430*K430</f>
      </c>
      <c r="S430" s="95" t="str">
        <f>R430-Q430</f>
      </c>
      <c r="T430" s="96" t="str">
        <f>1/(1+'Calculation_Assumptions'!$B$8)^(B430-'Calculation_Assumptions'!$B$2)</f>
      </c>
      <c r="U430" s="97" t="str">
        <f>Q430*T430</f>
      </c>
      <c r="V430" s="98" t="str">
        <f>R430*T430</f>
      </c>
      <c r="W430" s="99" t="str">
        <f>S430*T430</f>
      </c>
      <c r="X430" t="n">
        <v>0</v>
      </c>
      <c r="Y430" s="100" t="n">
        <v>2017</v>
      </c>
      <c r="Z430" t="s">
        <v>389</v>
      </c>
      <c r="AA430" s="101" t="str">
        <f>IF(G430="shared-count-once",COUNTIFS($A$2:$A$807,A430,$B$2:$B$807,B430,$D$2:$D$807,D430),1)</f>
      </c>
    </row>
    <row r="431">
      <c r="A431" t="s">
        <v>207</v>
      </c>
      <c r="B431" s="79" t="n">
        <v>2038</v>
      </c>
      <c r="C431" t="s">
        <v>212</v>
      </c>
      <c r="D431" s="80" t="s">
        <v>397</v>
      </c>
      <c r="E431" s="81" t="s">
        <v>398</v>
      </c>
      <c r="F431" s="82" t="s">
        <v>215</v>
      </c>
      <c r="G431" s="83" t="s">
        <v>395</v>
      </c>
      <c r="H431" s="84" t="s">
        <v>386</v>
      </c>
      <c r="I431" s="85" t="n">
        <v>1</v>
      </c>
      <c r="J431" s="86" t="n">
        <v>1</v>
      </c>
      <c r="K431" s="87" t="n">
        <v>0.008775</v>
      </c>
      <c r="L431" s="88" t="n">
        <v>311569909.623523</v>
      </c>
      <c r="M431" s="89" t="n">
        <v>311445837.134625</v>
      </c>
      <c r="N431" s="90" t="str">
        <f>MIN(MAX((B431-'Calculation_Assumptions'!$B$5+1)/'Calculation_Assumptions'!$B$7,0),1)</f>
      </c>
      <c r="O431" s="91" t="str">
        <f>L431*I431</f>
      </c>
      <c r="P431" s="92" t="str">
        <f>M431*I431</f>
      </c>
      <c r="Q431" s="93" t="str">
        <f>P431*'Calculation_Assumptions'!$B$14*J431*K431</f>
      </c>
      <c r="R431" s="94" t="str">
        <f>O431*N431*J431*K431</f>
      </c>
      <c r="S431" s="95" t="str">
        <f>R431-Q431</f>
      </c>
      <c r="T431" s="96" t="str">
        <f>1/(1+'Calculation_Assumptions'!$B$8)^(B431-'Calculation_Assumptions'!$B$2)</f>
      </c>
      <c r="U431" s="97" t="str">
        <f>Q431*T431</f>
      </c>
      <c r="V431" s="98" t="str">
        <f>R431*T431</f>
      </c>
      <c r="W431" s="99" t="str">
        <f>S431*T431</f>
      </c>
      <c r="X431" t="n">
        <v>0</v>
      </c>
      <c r="Y431" s="100" t="n">
        <v>2017</v>
      </c>
      <c r="Z431" t="s">
        <v>389</v>
      </c>
      <c r="AA431" s="101" t="str">
        <f>IF(G431="shared-count-once",COUNTIFS($A$2:$A$807,A431,$B$2:$B$807,B431,$D$2:$D$807,D431),1)</f>
      </c>
    </row>
    <row r="432">
      <c r="A432" t="s">
        <v>207</v>
      </c>
      <c r="B432" s="79" t="n">
        <v>2039</v>
      </c>
      <c r="C432" t="s">
        <v>212</v>
      </c>
      <c r="D432" s="80" t="s">
        <v>397</v>
      </c>
      <c r="E432" s="81" t="s">
        <v>398</v>
      </c>
      <c r="F432" s="82" t="s">
        <v>215</v>
      </c>
      <c r="G432" s="83" t="s">
        <v>395</v>
      </c>
      <c r="H432" s="84" t="s">
        <v>386</v>
      </c>
      <c r="I432" s="85" t="n">
        <v>1</v>
      </c>
      <c r="J432" s="86" t="n">
        <v>1</v>
      </c>
      <c r="K432" s="87" t="n">
        <v>0.008775</v>
      </c>
      <c r="L432" s="88" t="n">
        <v>312962572.337073</v>
      </c>
      <c r="M432" s="89" t="n">
        <v>312806989.715685</v>
      </c>
      <c r="N432" s="90" t="str">
        <f>MIN(MAX((B432-'Calculation_Assumptions'!$B$5+1)/'Calculation_Assumptions'!$B$7,0),1)</f>
      </c>
      <c r="O432" s="91" t="str">
        <f>L432*I432</f>
      </c>
      <c r="P432" s="92" t="str">
        <f>M432*I432</f>
      </c>
      <c r="Q432" s="93" t="str">
        <f>P432*'Calculation_Assumptions'!$B$14*J432*K432</f>
      </c>
      <c r="R432" s="94" t="str">
        <f>O432*N432*J432*K432</f>
      </c>
      <c r="S432" s="95" t="str">
        <f>R432-Q432</f>
      </c>
      <c r="T432" s="96" t="str">
        <f>1/(1+'Calculation_Assumptions'!$B$8)^(B432-'Calculation_Assumptions'!$B$2)</f>
      </c>
      <c r="U432" s="97" t="str">
        <f>Q432*T432</f>
      </c>
      <c r="V432" s="98" t="str">
        <f>R432*T432</f>
      </c>
      <c r="W432" s="99" t="str">
        <f>S432*T432</f>
      </c>
      <c r="X432" t="n">
        <v>0</v>
      </c>
      <c r="Y432" s="100" t="n">
        <v>2017</v>
      </c>
      <c r="Z432" t="s">
        <v>389</v>
      </c>
      <c r="AA432" s="101" t="str">
        <f>IF(G432="shared-count-once",COUNTIFS($A$2:$A$807,A432,$B$2:$B$807,B432,$D$2:$D$807,D432),1)</f>
      </c>
    </row>
    <row r="433">
      <c r="A433" t="s">
        <v>207</v>
      </c>
      <c r="B433" s="79" t="n">
        <v>2040</v>
      </c>
      <c r="C433" t="s">
        <v>212</v>
      </c>
      <c r="D433" s="80" t="s">
        <v>397</v>
      </c>
      <c r="E433" s="81" t="s">
        <v>398</v>
      </c>
      <c r="F433" s="82" t="s">
        <v>215</v>
      </c>
      <c r="G433" s="83" t="s">
        <v>395</v>
      </c>
      <c r="H433" s="84" t="s">
        <v>386</v>
      </c>
      <c r="I433" s="85" t="n">
        <v>1</v>
      </c>
      <c r="J433" s="86" t="n">
        <v>1</v>
      </c>
      <c r="K433" s="87" t="n">
        <v>0.008775</v>
      </c>
      <c r="L433" s="88" t="n">
        <v>314297753.303811</v>
      </c>
      <c r="M433" s="89" t="n">
        <v>314109251.582649</v>
      </c>
      <c r="N433" s="90" t="str">
        <f>MIN(MAX((B433-'Calculation_Assumptions'!$B$5+1)/'Calculation_Assumptions'!$B$7,0),1)</f>
      </c>
      <c r="O433" s="91" t="str">
        <f>L433*I433</f>
      </c>
      <c r="P433" s="92" t="str">
        <f>M433*I433</f>
      </c>
      <c r="Q433" s="93" t="str">
        <f>P433*'Calculation_Assumptions'!$B$14*J433*K433</f>
      </c>
      <c r="R433" s="94" t="str">
        <f>O433*N433*J433*K433</f>
      </c>
      <c r="S433" s="95" t="str">
        <f>R433-Q433</f>
      </c>
      <c r="T433" s="96" t="str">
        <f>1/(1+'Calculation_Assumptions'!$B$8)^(B433-'Calculation_Assumptions'!$B$2)</f>
      </c>
      <c r="U433" s="97" t="str">
        <f>Q433*T433</f>
      </c>
      <c r="V433" s="98" t="str">
        <f>R433*T433</f>
      </c>
      <c r="W433" s="99" t="str">
        <f>S433*T433</f>
      </c>
      <c r="X433" t="n">
        <v>0</v>
      </c>
      <c r="Y433" s="100" t="n">
        <v>2017</v>
      </c>
      <c r="Z433" t="s">
        <v>389</v>
      </c>
      <c r="AA433" s="101" t="str">
        <f>IF(G433="shared-count-once",COUNTIFS($A$2:$A$807,A433,$B$2:$B$807,B433,$D$2:$D$807,D433),1)</f>
      </c>
    </row>
    <row r="434">
      <c r="A434" t="s">
        <v>207</v>
      </c>
      <c r="B434" s="79" t="n">
        <v>2041</v>
      </c>
      <c r="C434" t="s">
        <v>212</v>
      </c>
      <c r="D434" s="80" t="s">
        <v>397</v>
      </c>
      <c r="E434" s="81" t="s">
        <v>398</v>
      </c>
      <c r="F434" s="82" t="s">
        <v>215</v>
      </c>
      <c r="G434" s="83" t="s">
        <v>395</v>
      </c>
      <c r="H434" s="84" t="s">
        <v>386</v>
      </c>
      <c r="I434" s="85" t="n">
        <v>1</v>
      </c>
      <c r="J434" s="86" t="n">
        <v>1</v>
      </c>
      <c r="K434" s="87" t="n">
        <v>0.008775</v>
      </c>
      <c r="L434" s="88" t="n">
        <v>315574254.910176</v>
      </c>
      <c r="M434" s="89" t="n">
        <v>315352079.812423</v>
      </c>
      <c r="N434" s="90" t="str">
        <f>MIN(MAX((B434-'Calculation_Assumptions'!$B$5+1)/'Calculation_Assumptions'!$B$7,0),1)</f>
      </c>
      <c r="O434" s="91" t="str">
        <f>L434*I434</f>
      </c>
      <c r="P434" s="92" t="str">
        <f>M434*I434</f>
      </c>
      <c r="Q434" s="93" t="str">
        <f>P434*'Calculation_Assumptions'!$B$14*J434*K434</f>
      </c>
      <c r="R434" s="94" t="str">
        <f>O434*N434*J434*K434</f>
      </c>
      <c r="S434" s="95" t="str">
        <f>R434-Q434</f>
      </c>
      <c r="T434" s="96" t="str">
        <f>1/(1+'Calculation_Assumptions'!$B$8)^(B434-'Calculation_Assumptions'!$B$2)</f>
      </c>
      <c r="U434" s="97" t="str">
        <f>Q434*T434</f>
      </c>
      <c r="V434" s="98" t="str">
        <f>R434*T434</f>
      </c>
      <c r="W434" s="99" t="str">
        <f>S434*T434</f>
      </c>
      <c r="X434" t="n">
        <v>0</v>
      </c>
      <c r="Y434" s="100" t="n">
        <v>2017</v>
      </c>
      <c r="Z434" t="s">
        <v>389</v>
      </c>
      <c r="AA434" s="101" t="str">
        <f>IF(G434="shared-count-once",COUNTIFS($A$2:$A$807,A434,$B$2:$B$807,B434,$D$2:$D$807,D434),1)</f>
      </c>
    </row>
    <row r="435">
      <c r="A435" t="s">
        <v>207</v>
      </c>
      <c r="B435" s="79" t="n">
        <v>2042</v>
      </c>
      <c r="C435" t="s">
        <v>212</v>
      </c>
      <c r="D435" s="80" t="s">
        <v>397</v>
      </c>
      <c r="E435" s="81" t="s">
        <v>398</v>
      </c>
      <c r="F435" s="82" t="s">
        <v>215</v>
      </c>
      <c r="G435" s="83" t="s">
        <v>395</v>
      </c>
      <c r="H435" s="84" t="s">
        <v>386</v>
      </c>
      <c r="I435" s="85" t="n">
        <v>1</v>
      </c>
      <c r="J435" s="86" t="n">
        <v>1</v>
      </c>
      <c r="K435" s="87" t="n">
        <v>0.008775</v>
      </c>
      <c r="L435" s="88" t="n">
        <v>316792723.043932</v>
      </c>
      <c r="M435" s="89" t="n">
        <v>316395286.312016</v>
      </c>
      <c r="N435" s="90" t="str">
        <f>MIN(MAX((B435-'Calculation_Assumptions'!$B$5+1)/'Calculation_Assumptions'!$B$7,0),1)</f>
      </c>
      <c r="O435" s="91" t="str">
        <f>L435*I435</f>
      </c>
      <c r="P435" s="92" t="str">
        <f>M435*I435</f>
      </c>
      <c r="Q435" s="93" t="str">
        <f>P435*'Calculation_Assumptions'!$B$14*J435*K435</f>
      </c>
      <c r="R435" s="94" t="str">
        <f>O435*N435*J435*K435</f>
      </c>
      <c r="S435" s="95" t="str">
        <f>R435-Q435</f>
      </c>
      <c r="T435" s="96" t="str">
        <f>1/(1+'Calculation_Assumptions'!$B$8)^(B435-'Calculation_Assumptions'!$B$2)</f>
      </c>
      <c r="U435" s="97" t="str">
        <f>Q435*T435</f>
      </c>
      <c r="V435" s="98" t="str">
        <f>R435*T435</f>
      </c>
      <c r="W435" s="99" t="str">
        <f>S435*T435</f>
      </c>
      <c r="X435" t="n">
        <v>0</v>
      </c>
      <c r="Y435" s="100" t="n">
        <v>2017</v>
      </c>
      <c r="Z435" t="s">
        <v>389</v>
      </c>
      <c r="AA435" s="101" t="str">
        <f>IF(G435="shared-count-once",COUNTIFS($A$2:$A$807,A435,$B$2:$B$807,B435,$D$2:$D$807,D435),1)</f>
      </c>
    </row>
    <row r="436">
      <c r="A436" t="s">
        <v>207</v>
      </c>
      <c r="B436" s="79" t="n">
        <v>2043</v>
      </c>
      <c r="C436" t="s">
        <v>212</v>
      </c>
      <c r="D436" s="80" t="s">
        <v>397</v>
      </c>
      <c r="E436" s="81" t="s">
        <v>398</v>
      </c>
      <c r="F436" s="82" t="s">
        <v>215</v>
      </c>
      <c r="G436" s="83" t="s">
        <v>395</v>
      </c>
      <c r="H436" s="84" t="s">
        <v>386</v>
      </c>
      <c r="I436" s="85" t="n">
        <v>1</v>
      </c>
      <c r="J436" s="86" t="n">
        <v>1</v>
      </c>
      <c r="K436" s="87" t="n">
        <v>0.008775</v>
      </c>
      <c r="L436" s="88" t="n">
        <v>318061619.430722</v>
      </c>
      <c r="M436" s="89" t="n">
        <v>317619735.688289</v>
      </c>
      <c r="N436" s="90" t="str">
        <f>MIN(MAX((B436-'Calculation_Assumptions'!$B$5+1)/'Calculation_Assumptions'!$B$7,0),1)</f>
      </c>
      <c r="O436" s="91" t="str">
        <f>L436*I436</f>
      </c>
      <c r="P436" s="92" t="str">
        <f>M436*I436</f>
      </c>
      <c r="Q436" s="93" t="str">
        <f>P436*'Calculation_Assumptions'!$B$14*J436*K436</f>
      </c>
      <c r="R436" s="94" t="str">
        <f>O436*N436*J436*K436</f>
      </c>
      <c r="S436" s="95" t="str">
        <f>R436-Q436</f>
      </c>
      <c r="T436" s="96" t="str">
        <f>1/(1+'Calculation_Assumptions'!$B$8)^(B436-'Calculation_Assumptions'!$B$2)</f>
      </c>
      <c r="U436" s="97" t="str">
        <f>Q436*T436</f>
      </c>
      <c r="V436" s="98" t="str">
        <f>R436*T436</f>
      </c>
      <c r="W436" s="99" t="str">
        <f>S436*T436</f>
      </c>
      <c r="X436" t="n">
        <v>0</v>
      </c>
      <c r="Y436" s="100" t="n">
        <v>2017</v>
      </c>
      <c r="Z436" t="s">
        <v>389</v>
      </c>
      <c r="AA436" s="101" t="str">
        <f>IF(G436="shared-count-once",COUNTIFS($A$2:$A$807,A436,$B$2:$B$807,B436,$D$2:$D$807,D436),1)</f>
      </c>
    </row>
    <row r="437">
      <c r="A437" t="s">
        <v>207</v>
      </c>
      <c r="B437" s="79" t="n">
        <v>2044</v>
      </c>
      <c r="C437" t="s">
        <v>212</v>
      </c>
      <c r="D437" s="80" t="s">
        <v>397</v>
      </c>
      <c r="E437" s="81" t="s">
        <v>398</v>
      </c>
      <c r="F437" s="82" t="s">
        <v>215</v>
      </c>
      <c r="G437" s="83" t="s">
        <v>395</v>
      </c>
      <c r="H437" s="84" t="s">
        <v>386</v>
      </c>
      <c r="I437" s="85" t="n">
        <v>1</v>
      </c>
      <c r="J437" s="86" t="n">
        <v>1</v>
      </c>
      <c r="K437" s="87" t="n">
        <v>0.008775</v>
      </c>
      <c r="L437" s="88" t="n">
        <v>319178928.466973</v>
      </c>
      <c r="M437" s="89" t="n">
        <v>318697135.863652</v>
      </c>
      <c r="N437" s="90" t="str">
        <f>MIN(MAX((B437-'Calculation_Assumptions'!$B$5+1)/'Calculation_Assumptions'!$B$7,0),1)</f>
      </c>
      <c r="O437" s="91" t="str">
        <f>L437*I437</f>
      </c>
      <c r="P437" s="92" t="str">
        <f>M437*I437</f>
      </c>
      <c r="Q437" s="93" t="str">
        <f>P437*'Calculation_Assumptions'!$B$14*J437*K437</f>
      </c>
      <c r="R437" s="94" t="str">
        <f>O437*N437*J437*K437</f>
      </c>
      <c r="S437" s="95" t="str">
        <f>R437-Q437</f>
      </c>
      <c r="T437" s="96" t="str">
        <f>1/(1+'Calculation_Assumptions'!$B$8)^(B437-'Calculation_Assumptions'!$B$2)</f>
      </c>
      <c r="U437" s="97" t="str">
        <f>Q437*T437</f>
      </c>
      <c r="V437" s="98" t="str">
        <f>R437*T437</f>
      </c>
      <c r="W437" s="99" t="str">
        <f>S437*T437</f>
      </c>
      <c r="X437" t="n">
        <v>0</v>
      </c>
      <c r="Y437" s="100" t="n">
        <v>2017</v>
      </c>
      <c r="Z437" t="s">
        <v>389</v>
      </c>
      <c r="AA437" s="101" t="str">
        <f>IF(G437="shared-count-once",COUNTIFS($A$2:$A$807,A437,$B$2:$B$807,B437,$D$2:$D$807,D437),1)</f>
      </c>
    </row>
    <row r="438">
      <c r="A438" t="s">
        <v>207</v>
      </c>
      <c r="B438" s="79" t="n">
        <v>2045</v>
      </c>
      <c r="C438" t="s">
        <v>212</v>
      </c>
      <c r="D438" s="80" t="s">
        <v>397</v>
      </c>
      <c r="E438" s="81" t="s">
        <v>398</v>
      </c>
      <c r="F438" s="82" t="s">
        <v>215</v>
      </c>
      <c r="G438" s="83" t="s">
        <v>395</v>
      </c>
      <c r="H438" s="84" t="s">
        <v>386</v>
      </c>
      <c r="I438" s="85" t="n">
        <v>1</v>
      </c>
      <c r="J438" s="86" t="n">
        <v>1</v>
      </c>
      <c r="K438" s="87" t="n">
        <v>0.008775</v>
      </c>
      <c r="L438" s="88" t="n">
        <v>320239528.676681</v>
      </c>
      <c r="M438" s="89" t="n">
        <v>319717840.85179</v>
      </c>
      <c r="N438" s="90" t="str">
        <f>MIN(MAX((B438-'Calculation_Assumptions'!$B$5+1)/'Calculation_Assumptions'!$B$7,0),1)</f>
      </c>
      <c r="O438" s="91" t="str">
        <f>L438*I438</f>
      </c>
      <c r="P438" s="92" t="str">
        <f>M438*I438</f>
      </c>
      <c r="Q438" s="93" t="str">
        <f>P438*'Calculation_Assumptions'!$B$14*J438*K438</f>
      </c>
      <c r="R438" s="94" t="str">
        <f>O438*N438*J438*K438</f>
      </c>
      <c r="S438" s="95" t="str">
        <f>R438-Q438</f>
      </c>
      <c r="T438" s="96" t="str">
        <f>1/(1+'Calculation_Assumptions'!$B$8)^(B438-'Calculation_Assumptions'!$B$2)</f>
      </c>
      <c r="U438" s="97" t="str">
        <f>Q438*T438</f>
      </c>
      <c r="V438" s="98" t="str">
        <f>R438*T438</f>
      </c>
      <c r="W438" s="99" t="str">
        <f>S438*T438</f>
      </c>
      <c r="X438" t="n">
        <v>0</v>
      </c>
      <c r="Y438" s="100" t="n">
        <v>2017</v>
      </c>
      <c r="Z438" t="s">
        <v>389</v>
      </c>
      <c r="AA438" s="101" t="str">
        <f>IF(G438="shared-count-once",COUNTIFS($A$2:$A$807,A438,$B$2:$B$807,B438,$D$2:$D$807,D438),1)</f>
      </c>
    </row>
    <row r="439">
      <c r="A439" t="s">
        <v>207</v>
      </c>
      <c r="B439" s="79" t="n">
        <v>2046</v>
      </c>
      <c r="C439" t="s">
        <v>212</v>
      </c>
      <c r="D439" s="80" t="s">
        <v>397</v>
      </c>
      <c r="E439" s="81" t="s">
        <v>398</v>
      </c>
      <c r="F439" s="82" t="s">
        <v>215</v>
      </c>
      <c r="G439" s="83" t="s">
        <v>395</v>
      </c>
      <c r="H439" s="84" t="s">
        <v>386</v>
      </c>
      <c r="I439" s="85" t="n">
        <v>1</v>
      </c>
      <c r="J439" s="86" t="n">
        <v>1</v>
      </c>
      <c r="K439" s="87" t="n">
        <v>0.008775</v>
      </c>
      <c r="L439" s="88" t="n">
        <v>321245351.030761</v>
      </c>
      <c r="M439" s="89" t="n">
        <v>320683879.806276</v>
      </c>
      <c r="N439" s="90" t="str">
        <f>MIN(MAX((B439-'Calculation_Assumptions'!$B$5+1)/'Calculation_Assumptions'!$B$7,0),1)</f>
      </c>
      <c r="O439" s="91" t="str">
        <f>L439*I439</f>
      </c>
      <c r="P439" s="92" t="str">
        <f>M439*I439</f>
      </c>
      <c r="Q439" s="93" t="str">
        <f>P439*'Calculation_Assumptions'!$B$14*J439*K439</f>
      </c>
      <c r="R439" s="94" t="str">
        <f>O439*N439*J439*K439</f>
      </c>
      <c r="S439" s="95" t="str">
        <f>R439-Q439</f>
      </c>
      <c r="T439" s="96" t="str">
        <f>1/(1+'Calculation_Assumptions'!$B$8)^(B439-'Calculation_Assumptions'!$B$2)</f>
      </c>
      <c r="U439" s="97" t="str">
        <f>Q439*T439</f>
      </c>
      <c r="V439" s="98" t="str">
        <f>R439*T439</f>
      </c>
      <c r="W439" s="99" t="str">
        <f>S439*T439</f>
      </c>
      <c r="X439" t="n">
        <v>0</v>
      </c>
      <c r="Y439" s="100" t="n">
        <v>2017</v>
      </c>
      <c r="Z439" t="s">
        <v>389</v>
      </c>
      <c r="AA439" s="101" t="str">
        <f>IF(G439="shared-count-once",COUNTIFS($A$2:$A$807,A439,$B$2:$B$807,B439,$D$2:$D$807,D439),1)</f>
      </c>
    </row>
    <row r="440">
      <c r="A440" t="s">
        <v>207</v>
      </c>
      <c r="B440" s="79" t="n">
        <v>2047</v>
      </c>
      <c r="C440" t="s">
        <v>212</v>
      </c>
      <c r="D440" s="80" t="s">
        <v>397</v>
      </c>
      <c r="E440" s="81" t="s">
        <v>398</v>
      </c>
      <c r="F440" s="82" t="s">
        <v>215</v>
      </c>
      <c r="G440" s="83" t="s">
        <v>395</v>
      </c>
      <c r="H440" s="84" t="s">
        <v>386</v>
      </c>
      <c r="I440" s="85" t="n">
        <v>1</v>
      </c>
      <c r="J440" s="86" t="n">
        <v>1</v>
      </c>
      <c r="K440" s="87" t="n">
        <v>0.008775</v>
      </c>
      <c r="L440" s="88" t="n">
        <v>322196532.836748</v>
      </c>
      <c r="M440" s="89" t="n">
        <v>321595541.389526</v>
      </c>
      <c r="N440" s="90" t="str">
        <f>MIN(MAX((B440-'Calculation_Assumptions'!$B$5+1)/'Calculation_Assumptions'!$B$7,0),1)</f>
      </c>
      <c r="O440" s="91" t="str">
        <f>L440*I440</f>
      </c>
      <c r="P440" s="92" t="str">
        <f>M440*I440</f>
      </c>
      <c r="Q440" s="93" t="str">
        <f>P440*'Calculation_Assumptions'!$B$14*J440*K440</f>
      </c>
      <c r="R440" s="94" t="str">
        <f>O440*N440*J440*K440</f>
      </c>
      <c r="S440" s="95" t="str">
        <f>R440-Q440</f>
      </c>
      <c r="T440" s="96" t="str">
        <f>1/(1+'Calculation_Assumptions'!$B$8)^(B440-'Calculation_Assumptions'!$B$2)</f>
      </c>
      <c r="U440" s="97" t="str">
        <f>Q440*T440</f>
      </c>
      <c r="V440" s="98" t="str">
        <f>R440*T440</f>
      </c>
      <c r="W440" s="99" t="str">
        <f>S440*T440</f>
      </c>
      <c r="X440" t="n">
        <v>0</v>
      </c>
      <c r="Y440" s="100" t="n">
        <v>2017</v>
      </c>
      <c r="Z440" t="s">
        <v>389</v>
      </c>
      <c r="AA440" s="101" t="str">
        <f>IF(G440="shared-count-once",COUNTIFS($A$2:$A$807,A440,$B$2:$B$807,B440,$D$2:$D$807,D440),1)</f>
      </c>
    </row>
    <row r="441">
      <c r="A441" t="s">
        <v>207</v>
      </c>
      <c r="B441" s="79" t="n">
        <v>2048</v>
      </c>
      <c r="C441" t="s">
        <v>212</v>
      </c>
      <c r="D441" s="80" t="s">
        <v>397</v>
      </c>
      <c r="E441" s="81" t="s">
        <v>398</v>
      </c>
      <c r="F441" s="82" t="s">
        <v>215</v>
      </c>
      <c r="G441" s="83" t="s">
        <v>395</v>
      </c>
      <c r="H441" s="84" t="s">
        <v>386</v>
      </c>
      <c r="I441" s="85" t="n">
        <v>1</v>
      </c>
      <c r="J441" s="86" t="n">
        <v>1</v>
      </c>
      <c r="K441" s="87" t="n">
        <v>0.008775</v>
      </c>
      <c r="L441" s="88" t="n">
        <v>322905422.339843</v>
      </c>
      <c r="M441" s="89" t="n">
        <v>322453622.669464</v>
      </c>
      <c r="N441" s="90" t="str">
        <f>MIN(MAX((B441-'Calculation_Assumptions'!$B$5+1)/'Calculation_Assumptions'!$B$7,0),1)</f>
      </c>
      <c r="O441" s="91" t="str">
        <f>L441*I441</f>
      </c>
      <c r="P441" s="92" t="str">
        <f>M441*I441</f>
      </c>
      <c r="Q441" s="93" t="str">
        <f>P441*'Calculation_Assumptions'!$B$14*J441*K441</f>
      </c>
      <c r="R441" s="94" t="str">
        <f>O441*N441*J441*K441</f>
      </c>
      <c r="S441" s="95" t="str">
        <f>R441-Q441</f>
      </c>
      <c r="T441" s="96" t="str">
        <f>1/(1+'Calculation_Assumptions'!$B$8)^(B441-'Calculation_Assumptions'!$B$2)</f>
      </c>
      <c r="U441" s="97" t="str">
        <f>Q441*T441</f>
      </c>
      <c r="V441" s="98" t="str">
        <f>R441*T441</f>
      </c>
      <c r="W441" s="99" t="str">
        <f>S441*T441</f>
      </c>
      <c r="X441" t="n">
        <v>0</v>
      </c>
      <c r="Y441" s="100" t="n">
        <v>2017</v>
      </c>
      <c r="Z441" t="s">
        <v>389</v>
      </c>
      <c r="AA441" s="101" t="str">
        <f>IF(G441="shared-count-once",COUNTIFS($A$2:$A$807,A441,$B$2:$B$807,B441,$D$2:$D$807,D441),1)</f>
      </c>
    </row>
    <row r="442">
      <c r="A442" t="s">
        <v>207</v>
      </c>
      <c r="B442" s="79" t="n">
        <v>2049</v>
      </c>
      <c r="C442" t="s">
        <v>212</v>
      </c>
      <c r="D442" s="80" t="s">
        <v>397</v>
      </c>
      <c r="E442" s="81" t="s">
        <v>398</v>
      </c>
      <c r="F442" s="82" t="s">
        <v>215</v>
      </c>
      <c r="G442" s="83" t="s">
        <v>395</v>
      </c>
      <c r="H442" s="84" t="s">
        <v>386</v>
      </c>
      <c r="I442" s="85" t="n">
        <v>1</v>
      </c>
      <c r="J442" s="86" t="n">
        <v>1</v>
      </c>
      <c r="K442" s="87" t="n">
        <v>0.008775</v>
      </c>
      <c r="L442" s="88" t="n">
        <v>323738781.157843</v>
      </c>
      <c r="M442" s="89" t="n">
        <v>323259246.716719</v>
      </c>
      <c r="N442" s="90" t="str">
        <f>MIN(MAX((B442-'Calculation_Assumptions'!$B$5+1)/'Calculation_Assumptions'!$B$7,0),1)</f>
      </c>
      <c r="O442" s="91" t="str">
        <f>L442*I442</f>
      </c>
      <c r="P442" s="92" t="str">
        <f>M442*I442</f>
      </c>
      <c r="Q442" s="93" t="str">
        <f>P442*'Calculation_Assumptions'!$B$14*J442*K442</f>
      </c>
      <c r="R442" s="94" t="str">
        <f>O442*N442*J442*K442</f>
      </c>
      <c r="S442" s="95" t="str">
        <f>R442-Q442</f>
      </c>
      <c r="T442" s="96" t="str">
        <f>1/(1+'Calculation_Assumptions'!$B$8)^(B442-'Calculation_Assumptions'!$B$2)</f>
      </c>
      <c r="U442" s="97" t="str">
        <f>Q442*T442</f>
      </c>
      <c r="V442" s="98" t="str">
        <f>R442*T442</f>
      </c>
      <c r="W442" s="99" t="str">
        <f>S442*T442</f>
      </c>
      <c r="X442" t="n">
        <v>0</v>
      </c>
      <c r="Y442" s="100" t="n">
        <v>2017</v>
      </c>
      <c r="Z442" t="s">
        <v>389</v>
      </c>
      <c r="AA442" s="101" t="str">
        <f>IF(G442="shared-count-once",COUNTIFS($A$2:$A$807,A442,$B$2:$B$807,B442,$D$2:$D$807,D442),1)</f>
      </c>
    </row>
    <row r="443">
      <c r="A443" t="s">
        <v>207</v>
      </c>
      <c r="B443" s="79" t="n">
        <v>2050</v>
      </c>
      <c r="C443" t="s">
        <v>212</v>
      </c>
      <c r="D443" s="80" t="s">
        <v>397</v>
      </c>
      <c r="E443" s="81" t="s">
        <v>398</v>
      </c>
      <c r="F443" s="82" t="s">
        <v>215</v>
      </c>
      <c r="G443" s="83" t="s">
        <v>395</v>
      </c>
      <c r="H443" s="84" t="s">
        <v>386</v>
      </c>
      <c r="I443" s="85" t="n">
        <v>1</v>
      </c>
      <c r="J443" s="86" t="n">
        <v>1</v>
      </c>
      <c r="K443" s="87" t="n">
        <v>0.008775</v>
      </c>
      <c r="L443" s="88" t="n">
        <v>324519557.566742</v>
      </c>
      <c r="M443" s="89" t="n">
        <v>324013738.182479</v>
      </c>
      <c r="N443" s="90" t="str">
        <f>MIN(MAX((B443-'Calculation_Assumptions'!$B$5+1)/'Calculation_Assumptions'!$B$7,0),1)</f>
      </c>
      <c r="O443" s="91" t="str">
        <f>L443*I443</f>
      </c>
      <c r="P443" s="92" t="str">
        <f>M443*I443</f>
      </c>
      <c r="Q443" s="93" t="str">
        <f>P443*'Calculation_Assumptions'!$B$14*J443*K443</f>
      </c>
      <c r="R443" s="94" t="str">
        <f>O443*N443*J443*K443</f>
      </c>
      <c r="S443" s="95" t="str">
        <f>R443-Q443</f>
      </c>
      <c r="T443" s="96" t="str">
        <f>1/(1+'Calculation_Assumptions'!$B$8)^(B443-'Calculation_Assumptions'!$B$2)</f>
      </c>
      <c r="U443" s="97" t="str">
        <f>Q443*T443</f>
      </c>
      <c r="V443" s="98" t="str">
        <f>R443*T443</f>
      </c>
      <c r="W443" s="99" t="str">
        <f>S443*T443</f>
      </c>
      <c r="X443" t="n">
        <v>0</v>
      </c>
      <c r="Y443" s="100" t="n">
        <v>2017</v>
      </c>
      <c r="Z443" t="s">
        <v>389</v>
      </c>
      <c r="AA443" s="101" t="str">
        <f>IF(G443="shared-count-once",COUNTIFS($A$2:$A$807,A443,$B$2:$B$807,B443,$D$2:$D$807,D443),1)</f>
      </c>
    </row>
    <row r="444">
      <c r="A444" t="s">
        <v>207</v>
      </c>
      <c r="B444" s="79" t="n">
        <v>2025</v>
      </c>
      <c r="C444" t="s">
        <v>219</v>
      </c>
      <c r="D444" s="80" t="s">
        <v>399</v>
      </c>
      <c r="E444" s="81" t="s">
        <v>400</v>
      </c>
      <c r="F444" s="82" t="s">
        <v>222</v>
      </c>
      <c r="G444" s="83" t="s">
        <v>395</v>
      </c>
      <c r="H444" s="84" t="s">
        <v>386</v>
      </c>
      <c r="I444" s="85" t="n">
        <v>1</v>
      </c>
      <c r="J444" s="86" t="n">
        <v>1</v>
      </c>
      <c r="K444" s="87" t="n">
        <v>0.008775</v>
      </c>
      <c r="L444" s="88" t="n">
        <v>288000821.106462</v>
      </c>
      <c r="M444" s="89" t="n">
        <v>288000821.106462</v>
      </c>
      <c r="N444" s="90" t="str">
        <f>MIN(MAX((B444-'Calculation_Assumptions'!$B$5+1)/'Calculation_Assumptions'!$B$7,0),1)</f>
      </c>
      <c r="O444" s="91" t="str">
        <f>L444*I444</f>
      </c>
      <c r="P444" s="92" t="str">
        <f>M444*I444</f>
      </c>
      <c r="Q444" s="93" t="str">
        <f>P444*'Calculation_Assumptions'!$B$14*J444*K444</f>
      </c>
      <c r="R444" s="94" t="str">
        <f>O444*N444*J444*K444</f>
      </c>
      <c r="S444" s="95" t="str">
        <f>R444-Q444</f>
      </c>
      <c r="T444" s="96" t="str">
        <f>1/(1+'Calculation_Assumptions'!$B$8)^(B444-'Calculation_Assumptions'!$B$2)</f>
      </c>
      <c r="U444" s="97" t="str">
        <f>Q444*T444</f>
      </c>
      <c r="V444" s="98" t="str">
        <f>R444*T444</f>
      </c>
      <c r="W444" s="99" t="str">
        <f>S444*T444</f>
      </c>
      <c r="X444" t="n">
        <v>0</v>
      </c>
      <c r="Y444" s="100" t="n">
        <v>2017</v>
      </c>
      <c r="Z444" t="s">
        <v>389</v>
      </c>
      <c r="AA444" s="101" t="str">
        <f>IF(G444="shared-count-once",COUNTIFS($A$2:$A$807,A444,$B$2:$B$807,B444,$D$2:$D$807,D444),1)</f>
      </c>
    </row>
    <row r="445">
      <c r="A445" t="s">
        <v>207</v>
      </c>
      <c r="B445" s="79" t="n">
        <v>2026</v>
      </c>
      <c r="C445" t="s">
        <v>219</v>
      </c>
      <c r="D445" s="80" t="s">
        <v>399</v>
      </c>
      <c r="E445" s="81" t="s">
        <v>400</v>
      </c>
      <c r="F445" s="82" t="s">
        <v>222</v>
      </c>
      <c r="G445" s="83" t="s">
        <v>395</v>
      </c>
      <c r="H445" s="84" t="s">
        <v>386</v>
      </c>
      <c r="I445" s="85" t="n">
        <v>1</v>
      </c>
      <c r="J445" s="86" t="n">
        <v>1</v>
      </c>
      <c r="K445" s="87" t="n">
        <v>0.008775</v>
      </c>
      <c r="L445" s="88" t="n">
        <v>290123496.103219</v>
      </c>
      <c r="M445" s="89" t="n">
        <v>290123496.103219</v>
      </c>
      <c r="N445" s="90" t="str">
        <f>MIN(MAX((B445-'Calculation_Assumptions'!$B$5+1)/'Calculation_Assumptions'!$B$7,0),1)</f>
      </c>
      <c r="O445" s="91" t="str">
        <f>L445*I445</f>
      </c>
      <c r="P445" s="92" t="str">
        <f>M445*I445</f>
      </c>
      <c r="Q445" s="93" t="str">
        <f>P445*'Calculation_Assumptions'!$B$14*J445*K445</f>
      </c>
      <c r="R445" s="94" t="str">
        <f>O445*N445*J445*K445</f>
      </c>
      <c r="S445" s="95" t="str">
        <f>R445-Q445</f>
      </c>
      <c r="T445" s="96" t="str">
        <f>1/(1+'Calculation_Assumptions'!$B$8)^(B445-'Calculation_Assumptions'!$B$2)</f>
      </c>
      <c r="U445" s="97" t="str">
        <f>Q445*T445</f>
      </c>
      <c r="V445" s="98" t="str">
        <f>R445*T445</f>
      </c>
      <c r="W445" s="99" t="str">
        <f>S445*T445</f>
      </c>
      <c r="X445" t="n">
        <v>0</v>
      </c>
      <c r="Y445" s="100" t="n">
        <v>2017</v>
      </c>
      <c r="Z445" t="s">
        <v>389</v>
      </c>
      <c r="AA445" s="101" t="str">
        <f>IF(G445="shared-count-once",COUNTIFS($A$2:$A$807,A445,$B$2:$B$807,B445,$D$2:$D$807,D445),1)</f>
      </c>
    </row>
    <row r="446">
      <c r="A446" t="s">
        <v>207</v>
      </c>
      <c r="B446" s="79" t="n">
        <v>2027</v>
      </c>
      <c r="C446" t="s">
        <v>219</v>
      </c>
      <c r="D446" s="80" t="s">
        <v>399</v>
      </c>
      <c r="E446" s="81" t="s">
        <v>400</v>
      </c>
      <c r="F446" s="82" t="s">
        <v>222</v>
      </c>
      <c r="G446" s="83" t="s">
        <v>395</v>
      </c>
      <c r="H446" s="84" t="s">
        <v>386</v>
      </c>
      <c r="I446" s="85" t="n">
        <v>1</v>
      </c>
      <c r="J446" s="86" t="n">
        <v>1</v>
      </c>
      <c r="K446" s="87" t="n">
        <v>0.008775</v>
      </c>
      <c r="L446" s="88" t="n">
        <v>292252895.096956</v>
      </c>
      <c r="M446" s="89" t="n">
        <v>292252895.096956</v>
      </c>
      <c r="N446" s="90" t="str">
        <f>MIN(MAX((B446-'Calculation_Assumptions'!$B$5+1)/'Calculation_Assumptions'!$B$7,0),1)</f>
      </c>
      <c r="O446" s="91" t="str">
        <f>L446*I446</f>
      </c>
      <c r="P446" s="92" t="str">
        <f>M446*I446</f>
      </c>
      <c r="Q446" s="93" t="str">
        <f>P446*'Calculation_Assumptions'!$B$14*J446*K446</f>
      </c>
      <c r="R446" s="94" t="str">
        <f>O446*N446*J446*K446</f>
      </c>
      <c r="S446" s="95" t="str">
        <f>R446-Q446</f>
      </c>
      <c r="T446" s="96" t="str">
        <f>1/(1+'Calculation_Assumptions'!$B$8)^(B446-'Calculation_Assumptions'!$B$2)</f>
      </c>
      <c r="U446" s="97" t="str">
        <f>Q446*T446</f>
      </c>
      <c r="V446" s="98" t="str">
        <f>R446*T446</f>
      </c>
      <c r="W446" s="99" t="str">
        <f>S446*T446</f>
      </c>
      <c r="X446" t="n">
        <v>0</v>
      </c>
      <c r="Y446" s="100" t="n">
        <v>2017</v>
      </c>
      <c r="Z446" t="s">
        <v>389</v>
      </c>
      <c r="AA446" s="101" t="str">
        <f>IF(G446="shared-count-once",COUNTIFS($A$2:$A$807,A446,$B$2:$B$807,B446,$D$2:$D$807,D446),1)</f>
      </c>
    </row>
    <row r="447">
      <c r="A447" t="s">
        <v>207</v>
      </c>
      <c r="B447" s="79" t="n">
        <v>2028</v>
      </c>
      <c r="C447" t="s">
        <v>219</v>
      </c>
      <c r="D447" s="80" t="s">
        <v>399</v>
      </c>
      <c r="E447" s="81" t="s">
        <v>400</v>
      </c>
      <c r="F447" s="82" t="s">
        <v>222</v>
      </c>
      <c r="G447" s="83" t="s">
        <v>395</v>
      </c>
      <c r="H447" s="84" t="s">
        <v>386</v>
      </c>
      <c r="I447" s="85" t="n">
        <v>1</v>
      </c>
      <c r="J447" s="86" t="n">
        <v>1</v>
      </c>
      <c r="K447" s="87" t="n">
        <v>0.008775</v>
      </c>
      <c r="L447" s="88" t="n">
        <v>294317096.231241</v>
      </c>
      <c r="M447" s="89" t="n">
        <v>294314895.305465</v>
      </c>
      <c r="N447" s="90" t="str">
        <f>MIN(MAX((B447-'Calculation_Assumptions'!$B$5+1)/'Calculation_Assumptions'!$B$7,0),1)</f>
      </c>
      <c r="O447" s="91" t="str">
        <f>L447*I447</f>
      </c>
      <c r="P447" s="92" t="str">
        <f>M447*I447</f>
      </c>
      <c r="Q447" s="93" t="str">
        <f>P447*'Calculation_Assumptions'!$B$14*J447*K447</f>
      </c>
      <c r="R447" s="94" t="str">
        <f>O447*N447*J447*K447</f>
      </c>
      <c r="S447" s="95" t="str">
        <f>R447-Q447</f>
      </c>
      <c r="T447" s="96" t="str">
        <f>1/(1+'Calculation_Assumptions'!$B$8)^(B447-'Calculation_Assumptions'!$B$2)</f>
      </c>
      <c r="U447" s="97" t="str">
        <f>Q447*T447</f>
      </c>
      <c r="V447" s="98" t="str">
        <f>R447*T447</f>
      </c>
      <c r="W447" s="99" t="str">
        <f>S447*T447</f>
      </c>
      <c r="X447" t="n">
        <v>0</v>
      </c>
      <c r="Y447" s="100" t="n">
        <v>2017</v>
      </c>
      <c r="Z447" t="s">
        <v>389</v>
      </c>
      <c r="AA447" s="101" t="str">
        <f>IF(G447="shared-count-once",COUNTIFS($A$2:$A$807,A447,$B$2:$B$807,B447,$D$2:$D$807,D447),1)</f>
      </c>
    </row>
    <row r="448">
      <c r="A448" t="s">
        <v>207</v>
      </c>
      <c r="B448" s="79" t="n">
        <v>2029</v>
      </c>
      <c r="C448" t="s">
        <v>219</v>
      </c>
      <c r="D448" s="80" t="s">
        <v>399</v>
      </c>
      <c r="E448" s="81" t="s">
        <v>400</v>
      </c>
      <c r="F448" s="82" t="s">
        <v>222</v>
      </c>
      <c r="G448" s="83" t="s">
        <v>395</v>
      </c>
      <c r="H448" s="84" t="s">
        <v>386</v>
      </c>
      <c r="I448" s="85" t="n">
        <v>1</v>
      </c>
      <c r="J448" s="86" t="n">
        <v>1</v>
      </c>
      <c r="K448" s="87" t="n">
        <v>0.008775</v>
      </c>
      <c r="L448" s="88" t="n">
        <v>296349028.669572</v>
      </c>
      <c r="M448" s="89" t="n">
        <v>296341062.542853</v>
      </c>
      <c r="N448" s="90" t="str">
        <f>MIN(MAX((B448-'Calculation_Assumptions'!$B$5+1)/'Calculation_Assumptions'!$B$7,0),1)</f>
      </c>
      <c r="O448" s="91" t="str">
        <f>L448*I448</f>
      </c>
      <c r="P448" s="92" t="str">
        <f>M448*I448</f>
      </c>
      <c r="Q448" s="93" t="str">
        <f>P448*'Calculation_Assumptions'!$B$14*J448*K448</f>
      </c>
      <c r="R448" s="94" t="str">
        <f>O448*N448*J448*K448</f>
      </c>
      <c r="S448" s="95" t="str">
        <f>R448-Q448</f>
      </c>
      <c r="T448" s="96" t="str">
        <f>1/(1+'Calculation_Assumptions'!$B$8)^(B448-'Calculation_Assumptions'!$B$2)</f>
      </c>
      <c r="U448" s="97" t="str">
        <f>Q448*T448</f>
      </c>
      <c r="V448" s="98" t="str">
        <f>R448*T448</f>
      </c>
      <c r="W448" s="99" t="str">
        <f>S448*T448</f>
      </c>
      <c r="X448" t="n">
        <v>0</v>
      </c>
      <c r="Y448" s="100" t="n">
        <v>2017</v>
      </c>
      <c r="Z448" t="s">
        <v>389</v>
      </c>
      <c r="AA448" s="101" t="str">
        <f>IF(G448="shared-count-once",COUNTIFS($A$2:$A$807,A448,$B$2:$B$807,B448,$D$2:$D$807,D448),1)</f>
      </c>
    </row>
    <row r="449">
      <c r="A449" t="s">
        <v>207</v>
      </c>
      <c r="B449" s="79" t="n">
        <v>2030</v>
      </c>
      <c r="C449" t="s">
        <v>219</v>
      </c>
      <c r="D449" s="80" t="s">
        <v>399</v>
      </c>
      <c r="E449" s="81" t="s">
        <v>400</v>
      </c>
      <c r="F449" s="82" t="s">
        <v>222</v>
      </c>
      <c r="G449" s="83" t="s">
        <v>395</v>
      </c>
      <c r="H449" s="84" t="s">
        <v>386</v>
      </c>
      <c r="I449" s="85" t="n">
        <v>1</v>
      </c>
      <c r="J449" s="86" t="n">
        <v>1</v>
      </c>
      <c r="K449" s="87" t="n">
        <v>0.008775</v>
      </c>
      <c r="L449" s="88" t="n">
        <v>298298571.282757</v>
      </c>
      <c r="M449" s="89" t="n">
        <v>298280286.057263</v>
      </c>
      <c r="N449" s="90" t="str">
        <f>MIN(MAX((B449-'Calculation_Assumptions'!$B$5+1)/'Calculation_Assumptions'!$B$7,0),1)</f>
      </c>
      <c r="O449" s="91" t="str">
        <f>L449*I449</f>
      </c>
      <c r="P449" s="92" t="str">
        <f>M449*I449</f>
      </c>
      <c r="Q449" s="93" t="str">
        <f>P449*'Calculation_Assumptions'!$B$14*J449*K449</f>
      </c>
      <c r="R449" s="94" t="str">
        <f>O449*N449*J449*K449</f>
      </c>
      <c r="S449" s="95" t="str">
        <f>R449-Q449</f>
      </c>
      <c r="T449" s="96" t="str">
        <f>1/(1+'Calculation_Assumptions'!$B$8)^(B449-'Calculation_Assumptions'!$B$2)</f>
      </c>
      <c r="U449" s="97" t="str">
        <f>Q449*T449</f>
      </c>
      <c r="V449" s="98" t="str">
        <f>R449*T449</f>
      </c>
      <c r="W449" s="99" t="str">
        <f>S449*T449</f>
      </c>
      <c r="X449" t="n">
        <v>0</v>
      </c>
      <c r="Y449" s="100" t="n">
        <v>2017</v>
      </c>
      <c r="Z449" t="s">
        <v>389</v>
      </c>
      <c r="AA449" s="101" t="str">
        <f>IF(G449="shared-count-once",COUNTIFS($A$2:$A$807,A449,$B$2:$B$807,B449,$D$2:$D$807,D449),1)</f>
      </c>
    </row>
    <row r="450">
      <c r="A450" t="s">
        <v>207</v>
      </c>
      <c r="B450" s="79" t="n">
        <v>2031</v>
      </c>
      <c r="C450" t="s">
        <v>219</v>
      </c>
      <c r="D450" s="80" t="s">
        <v>399</v>
      </c>
      <c r="E450" s="81" t="s">
        <v>400</v>
      </c>
      <c r="F450" s="82" t="s">
        <v>222</v>
      </c>
      <c r="G450" s="83" t="s">
        <v>395</v>
      </c>
      <c r="H450" s="84" t="s">
        <v>386</v>
      </c>
      <c r="I450" s="85" t="n">
        <v>1</v>
      </c>
      <c r="J450" s="86" t="n">
        <v>1</v>
      </c>
      <c r="K450" s="87" t="n">
        <v>0.008775</v>
      </c>
      <c r="L450" s="88" t="n">
        <v>300121149.554959</v>
      </c>
      <c r="M450" s="89" t="n">
        <v>300152603.254782</v>
      </c>
      <c r="N450" s="90" t="str">
        <f>MIN(MAX((B450-'Calculation_Assumptions'!$B$5+1)/'Calculation_Assumptions'!$B$7,0),1)</f>
      </c>
      <c r="O450" s="91" t="str">
        <f>L450*I450</f>
      </c>
      <c r="P450" s="92" t="str">
        <f>M450*I450</f>
      </c>
      <c r="Q450" s="93" t="str">
        <f>P450*'Calculation_Assumptions'!$B$14*J450*K450</f>
      </c>
      <c r="R450" s="94" t="str">
        <f>O450*N450*J450*K450</f>
      </c>
      <c r="S450" s="95" t="str">
        <f>R450-Q450</f>
      </c>
      <c r="T450" s="96" t="str">
        <f>1/(1+'Calculation_Assumptions'!$B$8)^(B450-'Calculation_Assumptions'!$B$2)</f>
      </c>
      <c r="U450" s="97" t="str">
        <f>Q450*T450</f>
      </c>
      <c r="V450" s="98" t="str">
        <f>R450*T450</f>
      </c>
      <c r="W450" s="99" t="str">
        <f>S450*T450</f>
      </c>
      <c r="X450" t="n">
        <v>0</v>
      </c>
      <c r="Y450" s="100" t="n">
        <v>2017</v>
      </c>
      <c r="Z450" t="s">
        <v>389</v>
      </c>
      <c r="AA450" s="101" t="str">
        <f>IF(G450="shared-count-once",COUNTIFS($A$2:$A$807,A450,$B$2:$B$807,B450,$D$2:$D$807,D450),1)</f>
      </c>
    </row>
    <row r="451">
      <c r="A451" t="s">
        <v>207</v>
      </c>
      <c r="B451" s="79" t="n">
        <v>2032</v>
      </c>
      <c r="C451" t="s">
        <v>219</v>
      </c>
      <c r="D451" s="80" t="s">
        <v>399</v>
      </c>
      <c r="E451" s="81" t="s">
        <v>400</v>
      </c>
      <c r="F451" s="82" t="s">
        <v>222</v>
      </c>
      <c r="G451" s="83" t="s">
        <v>395</v>
      </c>
      <c r="H451" s="84" t="s">
        <v>386</v>
      </c>
      <c r="I451" s="85" t="n">
        <v>1</v>
      </c>
      <c r="J451" s="86" t="n">
        <v>1</v>
      </c>
      <c r="K451" s="87" t="n">
        <v>0.008775</v>
      </c>
      <c r="L451" s="88" t="n">
        <v>301941450.07667</v>
      </c>
      <c r="M451" s="89" t="n">
        <v>301959399.633888</v>
      </c>
      <c r="N451" s="90" t="str">
        <f>MIN(MAX((B451-'Calculation_Assumptions'!$B$5+1)/'Calculation_Assumptions'!$B$7,0),1)</f>
      </c>
      <c r="O451" s="91" t="str">
        <f>L451*I451</f>
      </c>
      <c r="P451" s="92" t="str">
        <f>M451*I451</f>
      </c>
      <c r="Q451" s="93" t="str">
        <f>P451*'Calculation_Assumptions'!$B$14*J451*K451</f>
      </c>
      <c r="R451" s="94" t="str">
        <f>O451*N451*J451*K451</f>
      </c>
      <c r="S451" s="95" t="str">
        <f>R451-Q451</f>
      </c>
      <c r="T451" s="96" t="str">
        <f>1/(1+'Calculation_Assumptions'!$B$8)^(B451-'Calculation_Assumptions'!$B$2)</f>
      </c>
      <c r="U451" s="97" t="str">
        <f>Q451*T451</f>
      </c>
      <c r="V451" s="98" t="str">
        <f>R451*T451</f>
      </c>
      <c r="W451" s="99" t="str">
        <f>S451*T451</f>
      </c>
      <c r="X451" t="n">
        <v>0</v>
      </c>
      <c r="Y451" s="100" t="n">
        <v>2017</v>
      </c>
      <c r="Z451" t="s">
        <v>389</v>
      </c>
      <c r="AA451" s="101" t="str">
        <f>IF(G451="shared-count-once",COUNTIFS($A$2:$A$807,A451,$B$2:$B$807,B451,$D$2:$D$807,D451),1)</f>
      </c>
    </row>
    <row r="452">
      <c r="A452" t="s">
        <v>207</v>
      </c>
      <c r="B452" s="79" t="n">
        <v>2033</v>
      </c>
      <c r="C452" t="s">
        <v>219</v>
      </c>
      <c r="D452" s="80" t="s">
        <v>399</v>
      </c>
      <c r="E452" s="81" t="s">
        <v>400</v>
      </c>
      <c r="F452" s="82" t="s">
        <v>222</v>
      </c>
      <c r="G452" s="83" t="s">
        <v>395</v>
      </c>
      <c r="H452" s="84" t="s">
        <v>386</v>
      </c>
      <c r="I452" s="85" t="n">
        <v>1</v>
      </c>
      <c r="J452" s="86" t="n">
        <v>1</v>
      </c>
      <c r="K452" s="87" t="n">
        <v>0.008775</v>
      </c>
      <c r="L452" s="88" t="n">
        <v>303700299.219431</v>
      </c>
      <c r="M452" s="89" t="n">
        <v>303701035.202051</v>
      </c>
      <c r="N452" s="90" t="str">
        <f>MIN(MAX((B452-'Calculation_Assumptions'!$B$5+1)/'Calculation_Assumptions'!$B$7,0),1)</f>
      </c>
      <c r="O452" s="91" t="str">
        <f>L452*I452</f>
      </c>
      <c r="P452" s="92" t="str">
        <f>M452*I452</f>
      </c>
      <c r="Q452" s="93" t="str">
        <f>P452*'Calculation_Assumptions'!$B$14*J452*K452</f>
      </c>
      <c r="R452" s="94" t="str">
        <f>O452*N452*J452*K452</f>
      </c>
      <c r="S452" s="95" t="str">
        <f>R452-Q452</f>
      </c>
      <c r="T452" s="96" t="str">
        <f>1/(1+'Calculation_Assumptions'!$B$8)^(B452-'Calculation_Assumptions'!$B$2)</f>
      </c>
      <c r="U452" s="97" t="str">
        <f>Q452*T452</f>
      </c>
      <c r="V452" s="98" t="str">
        <f>R452*T452</f>
      </c>
      <c r="W452" s="99" t="str">
        <f>S452*T452</f>
      </c>
      <c r="X452" t="n">
        <v>0</v>
      </c>
      <c r="Y452" s="100" t="n">
        <v>2017</v>
      </c>
      <c r="Z452" t="s">
        <v>389</v>
      </c>
      <c r="AA452" s="101" t="str">
        <f>IF(G452="shared-count-once",COUNTIFS($A$2:$A$807,A452,$B$2:$B$807,B452,$D$2:$D$807,D452),1)</f>
      </c>
    </row>
    <row r="453">
      <c r="A453" t="s">
        <v>207</v>
      </c>
      <c r="B453" s="79" t="n">
        <v>2034</v>
      </c>
      <c r="C453" t="s">
        <v>219</v>
      </c>
      <c r="D453" s="80" t="s">
        <v>399</v>
      </c>
      <c r="E453" s="81" t="s">
        <v>400</v>
      </c>
      <c r="F453" s="82" t="s">
        <v>222</v>
      </c>
      <c r="G453" s="83" t="s">
        <v>395</v>
      </c>
      <c r="H453" s="84" t="s">
        <v>386</v>
      </c>
      <c r="I453" s="85" t="n">
        <v>1</v>
      </c>
      <c r="J453" s="86" t="n">
        <v>1</v>
      </c>
      <c r="K453" s="87" t="n">
        <v>0.008775</v>
      </c>
      <c r="L453" s="88" t="n">
        <v>305397476.214779</v>
      </c>
      <c r="M453" s="89" t="n">
        <v>305377998.093319</v>
      </c>
      <c r="N453" s="90" t="str">
        <f>MIN(MAX((B453-'Calculation_Assumptions'!$B$5+1)/'Calculation_Assumptions'!$B$7,0),1)</f>
      </c>
      <c r="O453" s="91" t="str">
        <f>L453*I453</f>
      </c>
      <c r="P453" s="92" t="str">
        <f>M453*I453</f>
      </c>
      <c r="Q453" s="93" t="str">
        <f>P453*'Calculation_Assumptions'!$B$14*J453*K453</f>
      </c>
      <c r="R453" s="94" t="str">
        <f>O453*N453*J453*K453</f>
      </c>
      <c r="S453" s="95" t="str">
        <f>R453-Q453</f>
      </c>
      <c r="T453" s="96" t="str">
        <f>1/(1+'Calculation_Assumptions'!$B$8)^(B453-'Calculation_Assumptions'!$B$2)</f>
      </c>
      <c r="U453" s="97" t="str">
        <f>Q453*T453</f>
      </c>
      <c r="V453" s="98" t="str">
        <f>R453*T453</f>
      </c>
      <c r="W453" s="99" t="str">
        <f>S453*T453</f>
      </c>
      <c r="X453" t="n">
        <v>0</v>
      </c>
      <c r="Y453" s="100" t="n">
        <v>2017</v>
      </c>
      <c r="Z453" t="s">
        <v>389</v>
      </c>
      <c r="AA453" s="101" t="str">
        <f>IF(G453="shared-count-once",COUNTIFS($A$2:$A$807,A453,$B$2:$B$807,B453,$D$2:$D$807,D453),1)</f>
      </c>
    </row>
    <row r="454">
      <c r="A454" t="s">
        <v>207</v>
      </c>
      <c r="B454" s="79" t="n">
        <v>2035</v>
      </c>
      <c r="C454" t="s">
        <v>219</v>
      </c>
      <c r="D454" s="80" t="s">
        <v>399</v>
      </c>
      <c r="E454" s="81" t="s">
        <v>400</v>
      </c>
      <c r="F454" s="82" t="s">
        <v>222</v>
      </c>
      <c r="G454" s="83" t="s">
        <v>395</v>
      </c>
      <c r="H454" s="84" t="s">
        <v>386</v>
      </c>
      <c r="I454" s="85" t="n">
        <v>1</v>
      </c>
      <c r="J454" s="86" t="n">
        <v>1</v>
      </c>
      <c r="K454" s="87" t="n">
        <v>0.008775</v>
      </c>
      <c r="L454" s="88" t="n">
        <v>307031511.511074</v>
      </c>
      <c r="M454" s="89" t="n">
        <v>306989258.29407</v>
      </c>
      <c r="N454" s="90" t="str">
        <f>MIN(MAX((B454-'Calculation_Assumptions'!$B$5+1)/'Calculation_Assumptions'!$B$7,0),1)</f>
      </c>
      <c r="O454" s="91" t="str">
        <f>L454*I454</f>
      </c>
      <c r="P454" s="92" t="str">
        <f>M454*I454</f>
      </c>
      <c r="Q454" s="93" t="str">
        <f>P454*'Calculation_Assumptions'!$B$14*J454*K454</f>
      </c>
      <c r="R454" s="94" t="str">
        <f>O454*N454*J454*K454</f>
      </c>
      <c r="S454" s="95" t="str">
        <f>R454-Q454</f>
      </c>
      <c r="T454" s="96" t="str">
        <f>1/(1+'Calculation_Assumptions'!$B$8)^(B454-'Calculation_Assumptions'!$B$2)</f>
      </c>
      <c r="U454" s="97" t="str">
        <f>Q454*T454</f>
      </c>
      <c r="V454" s="98" t="str">
        <f>R454*T454</f>
      </c>
      <c r="W454" s="99" t="str">
        <f>S454*T454</f>
      </c>
      <c r="X454" t="n">
        <v>0</v>
      </c>
      <c r="Y454" s="100" t="n">
        <v>2017</v>
      </c>
      <c r="Z454" t="s">
        <v>389</v>
      </c>
      <c r="AA454" s="101" t="str">
        <f>IF(G454="shared-count-once",COUNTIFS($A$2:$A$807,A454,$B$2:$B$807,B454,$D$2:$D$807,D454),1)</f>
      </c>
    </row>
    <row r="455">
      <c r="A455" t="s">
        <v>207</v>
      </c>
      <c r="B455" s="79" t="n">
        <v>2036</v>
      </c>
      <c r="C455" t="s">
        <v>219</v>
      </c>
      <c r="D455" s="80" t="s">
        <v>399</v>
      </c>
      <c r="E455" s="81" t="s">
        <v>400</v>
      </c>
      <c r="F455" s="82" t="s">
        <v>222</v>
      </c>
      <c r="G455" s="83" t="s">
        <v>395</v>
      </c>
      <c r="H455" s="84" t="s">
        <v>386</v>
      </c>
      <c r="I455" s="85" t="n">
        <v>1</v>
      </c>
      <c r="J455" s="86" t="n">
        <v>1</v>
      </c>
      <c r="K455" s="87" t="n">
        <v>0.008775</v>
      </c>
      <c r="L455" s="88" t="n">
        <v>308604764.350998</v>
      </c>
      <c r="M455" s="89" t="n">
        <v>308537399.672094</v>
      </c>
      <c r="N455" s="90" t="str">
        <f>MIN(MAX((B455-'Calculation_Assumptions'!$B$5+1)/'Calculation_Assumptions'!$B$7,0),1)</f>
      </c>
      <c r="O455" s="91" t="str">
        <f>L455*I455</f>
      </c>
      <c r="P455" s="92" t="str">
        <f>M455*I455</f>
      </c>
      <c r="Q455" s="93" t="str">
        <f>P455*'Calculation_Assumptions'!$B$14*J455*K455</f>
      </c>
      <c r="R455" s="94" t="str">
        <f>O455*N455*J455*K455</f>
      </c>
      <c r="S455" s="95" t="str">
        <f>R455-Q455</f>
      </c>
      <c r="T455" s="96" t="str">
        <f>1/(1+'Calculation_Assumptions'!$B$8)^(B455-'Calculation_Assumptions'!$B$2)</f>
      </c>
      <c r="U455" s="97" t="str">
        <f>Q455*T455</f>
      </c>
      <c r="V455" s="98" t="str">
        <f>R455*T455</f>
      </c>
      <c r="W455" s="99" t="str">
        <f>S455*T455</f>
      </c>
      <c r="X455" t="n">
        <v>0</v>
      </c>
      <c r="Y455" s="100" t="n">
        <v>2017</v>
      </c>
      <c r="Z455" t="s">
        <v>389</v>
      </c>
      <c r="AA455" s="101" t="str">
        <f>IF(G455="shared-count-once",COUNTIFS($A$2:$A$807,A455,$B$2:$B$807,B455,$D$2:$D$807,D455),1)</f>
      </c>
    </row>
    <row r="456">
      <c r="A456" t="s">
        <v>207</v>
      </c>
      <c r="B456" s="79" t="n">
        <v>2037</v>
      </c>
      <c r="C456" t="s">
        <v>219</v>
      </c>
      <c r="D456" s="80" t="s">
        <v>399</v>
      </c>
      <c r="E456" s="81" t="s">
        <v>400</v>
      </c>
      <c r="F456" s="82" t="s">
        <v>222</v>
      </c>
      <c r="G456" s="83" t="s">
        <v>395</v>
      </c>
      <c r="H456" s="84" t="s">
        <v>386</v>
      </c>
      <c r="I456" s="85" t="n">
        <v>1</v>
      </c>
      <c r="J456" s="86" t="n">
        <v>1</v>
      </c>
      <c r="K456" s="87" t="n">
        <v>0.008775</v>
      </c>
      <c r="L456" s="88" t="n">
        <v>310117640.615163</v>
      </c>
      <c r="M456" s="89" t="n">
        <v>310023120.393472</v>
      </c>
      <c r="N456" s="90" t="str">
        <f>MIN(MAX((B456-'Calculation_Assumptions'!$B$5+1)/'Calculation_Assumptions'!$B$7,0),1)</f>
      </c>
      <c r="O456" s="91" t="str">
        <f>L456*I456</f>
      </c>
      <c r="P456" s="92" t="str">
        <f>M456*I456</f>
      </c>
      <c r="Q456" s="93" t="str">
        <f>P456*'Calculation_Assumptions'!$B$14*J456*K456</f>
      </c>
      <c r="R456" s="94" t="str">
        <f>O456*N456*J456*K456</f>
      </c>
      <c r="S456" s="95" t="str">
        <f>R456-Q456</f>
      </c>
      <c r="T456" s="96" t="str">
        <f>1/(1+'Calculation_Assumptions'!$B$8)^(B456-'Calculation_Assumptions'!$B$2)</f>
      </c>
      <c r="U456" s="97" t="str">
        <f>Q456*T456</f>
      </c>
      <c r="V456" s="98" t="str">
        <f>R456*T456</f>
      </c>
      <c r="W456" s="99" t="str">
        <f>S456*T456</f>
      </c>
      <c r="X456" t="n">
        <v>0</v>
      </c>
      <c r="Y456" s="100" t="n">
        <v>2017</v>
      </c>
      <c r="Z456" t="s">
        <v>389</v>
      </c>
      <c r="AA456" s="101" t="str">
        <f>IF(G456="shared-count-once",COUNTIFS($A$2:$A$807,A456,$B$2:$B$807,B456,$D$2:$D$807,D456),1)</f>
      </c>
    </row>
    <row r="457">
      <c r="A457" t="s">
        <v>207</v>
      </c>
      <c r="B457" s="79" t="n">
        <v>2038</v>
      </c>
      <c r="C457" t="s">
        <v>219</v>
      </c>
      <c r="D457" s="80" t="s">
        <v>399</v>
      </c>
      <c r="E457" s="81" t="s">
        <v>400</v>
      </c>
      <c r="F457" s="82" t="s">
        <v>222</v>
      </c>
      <c r="G457" s="83" t="s">
        <v>395</v>
      </c>
      <c r="H457" s="84" t="s">
        <v>386</v>
      </c>
      <c r="I457" s="85" t="n">
        <v>1</v>
      </c>
      <c r="J457" s="86" t="n">
        <v>1</v>
      </c>
      <c r="K457" s="87" t="n">
        <v>0.008775</v>
      </c>
      <c r="L457" s="88" t="n">
        <v>311569909.623523</v>
      </c>
      <c r="M457" s="89" t="n">
        <v>311445837.134625</v>
      </c>
      <c r="N457" s="90" t="str">
        <f>MIN(MAX((B457-'Calculation_Assumptions'!$B$5+1)/'Calculation_Assumptions'!$B$7,0),1)</f>
      </c>
      <c r="O457" s="91" t="str">
        <f>L457*I457</f>
      </c>
      <c r="P457" s="92" t="str">
        <f>M457*I457</f>
      </c>
      <c r="Q457" s="93" t="str">
        <f>P457*'Calculation_Assumptions'!$B$14*J457*K457</f>
      </c>
      <c r="R457" s="94" t="str">
        <f>O457*N457*J457*K457</f>
      </c>
      <c r="S457" s="95" t="str">
        <f>R457-Q457</f>
      </c>
      <c r="T457" s="96" t="str">
        <f>1/(1+'Calculation_Assumptions'!$B$8)^(B457-'Calculation_Assumptions'!$B$2)</f>
      </c>
      <c r="U457" s="97" t="str">
        <f>Q457*T457</f>
      </c>
      <c r="V457" s="98" t="str">
        <f>R457*T457</f>
      </c>
      <c r="W457" s="99" t="str">
        <f>S457*T457</f>
      </c>
      <c r="X457" t="n">
        <v>0</v>
      </c>
      <c r="Y457" s="100" t="n">
        <v>2017</v>
      </c>
      <c r="Z457" t="s">
        <v>389</v>
      </c>
      <c r="AA457" s="101" t="str">
        <f>IF(G457="shared-count-once",COUNTIFS($A$2:$A$807,A457,$B$2:$B$807,B457,$D$2:$D$807,D457),1)</f>
      </c>
    </row>
    <row r="458">
      <c r="A458" t="s">
        <v>207</v>
      </c>
      <c r="B458" s="79" t="n">
        <v>2039</v>
      </c>
      <c r="C458" t="s">
        <v>219</v>
      </c>
      <c r="D458" s="80" t="s">
        <v>399</v>
      </c>
      <c r="E458" s="81" t="s">
        <v>400</v>
      </c>
      <c r="F458" s="82" t="s">
        <v>222</v>
      </c>
      <c r="G458" s="83" t="s">
        <v>395</v>
      </c>
      <c r="H458" s="84" t="s">
        <v>386</v>
      </c>
      <c r="I458" s="85" t="n">
        <v>1</v>
      </c>
      <c r="J458" s="86" t="n">
        <v>1</v>
      </c>
      <c r="K458" s="87" t="n">
        <v>0.008775</v>
      </c>
      <c r="L458" s="88" t="n">
        <v>312962572.337073</v>
      </c>
      <c r="M458" s="89" t="n">
        <v>312806989.715685</v>
      </c>
      <c r="N458" s="90" t="str">
        <f>MIN(MAX((B458-'Calculation_Assumptions'!$B$5+1)/'Calculation_Assumptions'!$B$7,0),1)</f>
      </c>
      <c r="O458" s="91" t="str">
        <f>L458*I458</f>
      </c>
      <c r="P458" s="92" t="str">
        <f>M458*I458</f>
      </c>
      <c r="Q458" s="93" t="str">
        <f>P458*'Calculation_Assumptions'!$B$14*J458*K458</f>
      </c>
      <c r="R458" s="94" t="str">
        <f>O458*N458*J458*K458</f>
      </c>
      <c r="S458" s="95" t="str">
        <f>R458-Q458</f>
      </c>
      <c r="T458" s="96" t="str">
        <f>1/(1+'Calculation_Assumptions'!$B$8)^(B458-'Calculation_Assumptions'!$B$2)</f>
      </c>
      <c r="U458" s="97" t="str">
        <f>Q458*T458</f>
      </c>
      <c r="V458" s="98" t="str">
        <f>R458*T458</f>
      </c>
      <c r="W458" s="99" t="str">
        <f>S458*T458</f>
      </c>
      <c r="X458" t="n">
        <v>0</v>
      </c>
      <c r="Y458" s="100" t="n">
        <v>2017</v>
      </c>
      <c r="Z458" t="s">
        <v>389</v>
      </c>
      <c r="AA458" s="101" t="str">
        <f>IF(G458="shared-count-once",COUNTIFS($A$2:$A$807,A458,$B$2:$B$807,B458,$D$2:$D$807,D458),1)</f>
      </c>
    </row>
    <row r="459">
      <c r="A459" t="s">
        <v>207</v>
      </c>
      <c r="B459" s="79" t="n">
        <v>2040</v>
      </c>
      <c r="C459" t="s">
        <v>219</v>
      </c>
      <c r="D459" s="80" t="s">
        <v>399</v>
      </c>
      <c r="E459" s="81" t="s">
        <v>400</v>
      </c>
      <c r="F459" s="82" t="s">
        <v>222</v>
      </c>
      <c r="G459" s="83" t="s">
        <v>395</v>
      </c>
      <c r="H459" s="84" t="s">
        <v>386</v>
      </c>
      <c r="I459" s="85" t="n">
        <v>1</v>
      </c>
      <c r="J459" s="86" t="n">
        <v>1</v>
      </c>
      <c r="K459" s="87" t="n">
        <v>0.008775</v>
      </c>
      <c r="L459" s="88" t="n">
        <v>314297753.303811</v>
      </c>
      <c r="M459" s="89" t="n">
        <v>314109251.582649</v>
      </c>
      <c r="N459" s="90" t="str">
        <f>MIN(MAX((B459-'Calculation_Assumptions'!$B$5+1)/'Calculation_Assumptions'!$B$7,0),1)</f>
      </c>
      <c r="O459" s="91" t="str">
        <f>L459*I459</f>
      </c>
      <c r="P459" s="92" t="str">
        <f>M459*I459</f>
      </c>
      <c r="Q459" s="93" t="str">
        <f>P459*'Calculation_Assumptions'!$B$14*J459*K459</f>
      </c>
      <c r="R459" s="94" t="str">
        <f>O459*N459*J459*K459</f>
      </c>
      <c r="S459" s="95" t="str">
        <f>R459-Q459</f>
      </c>
      <c r="T459" s="96" t="str">
        <f>1/(1+'Calculation_Assumptions'!$B$8)^(B459-'Calculation_Assumptions'!$B$2)</f>
      </c>
      <c r="U459" s="97" t="str">
        <f>Q459*T459</f>
      </c>
      <c r="V459" s="98" t="str">
        <f>R459*T459</f>
      </c>
      <c r="W459" s="99" t="str">
        <f>S459*T459</f>
      </c>
      <c r="X459" t="n">
        <v>0</v>
      </c>
      <c r="Y459" s="100" t="n">
        <v>2017</v>
      </c>
      <c r="Z459" t="s">
        <v>389</v>
      </c>
      <c r="AA459" s="101" t="str">
        <f>IF(G459="shared-count-once",COUNTIFS($A$2:$A$807,A459,$B$2:$B$807,B459,$D$2:$D$807,D459),1)</f>
      </c>
    </row>
    <row r="460">
      <c r="A460" t="s">
        <v>207</v>
      </c>
      <c r="B460" s="79" t="n">
        <v>2041</v>
      </c>
      <c r="C460" t="s">
        <v>219</v>
      </c>
      <c r="D460" s="80" t="s">
        <v>399</v>
      </c>
      <c r="E460" s="81" t="s">
        <v>400</v>
      </c>
      <c r="F460" s="82" t="s">
        <v>222</v>
      </c>
      <c r="G460" s="83" t="s">
        <v>395</v>
      </c>
      <c r="H460" s="84" t="s">
        <v>386</v>
      </c>
      <c r="I460" s="85" t="n">
        <v>1</v>
      </c>
      <c r="J460" s="86" t="n">
        <v>1</v>
      </c>
      <c r="K460" s="87" t="n">
        <v>0.008775</v>
      </c>
      <c r="L460" s="88" t="n">
        <v>315574254.910176</v>
      </c>
      <c r="M460" s="89" t="n">
        <v>315352079.812423</v>
      </c>
      <c r="N460" s="90" t="str">
        <f>MIN(MAX((B460-'Calculation_Assumptions'!$B$5+1)/'Calculation_Assumptions'!$B$7,0),1)</f>
      </c>
      <c r="O460" s="91" t="str">
        <f>L460*I460</f>
      </c>
      <c r="P460" s="92" t="str">
        <f>M460*I460</f>
      </c>
      <c r="Q460" s="93" t="str">
        <f>P460*'Calculation_Assumptions'!$B$14*J460*K460</f>
      </c>
      <c r="R460" s="94" t="str">
        <f>O460*N460*J460*K460</f>
      </c>
      <c r="S460" s="95" t="str">
        <f>R460-Q460</f>
      </c>
      <c r="T460" s="96" t="str">
        <f>1/(1+'Calculation_Assumptions'!$B$8)^(B460-'Calculation_Assumptions'!$B$2)</f>
      </c>
      <c r="U460" s="97" t="str">
        <f>Q460*T460</f>
      </c>
      <c r="V460" s="98" t="str">
        <f>R460*T460</f>
      </c>
      <c r="W460" s="99" t="str">
        <f>S460*T460</f>
      </c>
      <c r="X460" t="n">
        <v>0</v>
      </c>
      <c r="Y460" s="100" t="n">
        <v>2017</v>
      </c>
      <c r="Z460" t="s">
        <v>389</v>
      </c>
      <c r="AA460" s="101" t="str">
        <f>IF(G460="shared-count-once",COUNTIFS($A$2:$A$807,A460,$B$2:$B$807,B460,$D$2:$D$807,D460),1)</f>
      </c>
    </row>
    <row r="461">
      <c r="A461" t="s">
        <v>207</v>
      </c>
      <c r="B461" s="79" t="n">
        <v>2042</v>
      </c>
      <c r="C461" t="s">
        <v>219</v>
      </c>
      <c r="D461" s="80" t="s">
        <v>399</v>
      </c>
      <c r="E461" s="81" t="s">
        <v>400</v>
      </c>
      <c r="F461" s="82" t="s">
        <v>222</v>
      </c>
      <c r="G461" s="83" t="s">
        <v>395</v>
      </c>
      <c r="H461" s="84" t="s">
        <v>386</v>
      </c>
      <c r="I461" s="85" t="n">
        <v>1</v>
      </c>
      <c r="J461" s="86" t="n">
        <v>1</v>
      </c>
      <c r="K461" s="87" t="n">
        <v>0.008775</v>
      </c>
      <c r="L461" s="88" t="n">
        <v>316792723.043932</v>
      </c>
      <c r="M461" s="89" t="n">
        <v>316395286.312016</v>
      </c>
      <c r="N461" s="90" t="str">
        <f>MIN(MAX((B461-'Calculation_Assumptions'!$B$5+1)/'Calculation_Assumptions'!$B$7,0),1)</f>
      </c>
      <c r="O461" s="91" t="str">
        <f>L461*I461</f>
      </c>
      <c r="P461" s="92" t="str">
        <f>M461*I461</f>
      </c>
      <c r="Q461" s="93" t="str">
        <f>P461*'Calculation_Assumptions'!$B$14*J461*K461</f>
      </c>
      <c r="R461" s="94" t="str">
        <f>O461*N461*J461*K461</f>
      </c>
      <c r="S461" s="95" t="str">
        <f>R461-Q461</f>
      </c>
      <c r="T461" s="96" t="str">
        <f>1/(1+'Calculation_Assumptions'!$B$8)^(B461-'Calculation_Assumptions'!$B$2)</f>
      </c>
      <c r="U461" s="97" t="str">
        <f>Q461*T461</f>
      </c>
      <c r="V461" s="98" t="str">
        <f>R461*T461</f>
      </c>
      <c r="W461" s="99" t="str">
        <f>S461*T461</f>
      </c>
      <c r="X461" t="n">
        <v>0</v>
      </c>
      <c r="Y461" s="100" t="n">
        <v>2017</v>
      </c>
      <c r="Z461" t="s">
        <v>389</v>
      </c>
      <c r="AA461" s="101" t="str">
        <f>IF(G461="shared-count-once",COUNTIFS($A$2:$A$807,A461,$B$2:$B$807,B461,$D$2:$D$807,D461),1)</f>
      </c>
    </row>
    <row r="462">
      <c r="A462" t="s">
        <v>207</v>
      </c>
      <c r="B462" s="79" t="n">
        <v>2043</v>
      </c>
      <c r="C462" t="s">
        <v>219</v>
      </c>
      <c r="D462" s="80" t="s">
        <v>399</v>
      </c>
      <c r="E462" s="81" t="s">
        <v>400</v>
      </c>
      <c r="F462" s="82" t="s">
        <v>222</v>
      </c>
      <c r="G462" s="83" t="s">
        <v>395</v>
      </c>
      <c r="H462" s="84" t="s">
        <v>386</v>
      </c>
      <c r="I462" s="85" t="n">
        <v>1</v>
      </c>
      <c r="J462" s="86" t="n">
        <v>1</v>
      </c>
      <c r="K462" s="87" t="n">
        <v>0.008775</v>
      </c>
      <c r="L462" s="88" t="n">
        <v>318061619.430722</v>
      </c>
      <c r="M462" s="89" t="n">
        <v>317619735.688289</v>
      </c>
      <c r="N462" s="90" t="str">
        <f>MIN(MAX((B462-'Calculation_Assumptions'!$B$5+1)/'Calculation_Assumptions'!$B$7,0),1)</f>
      </c>
      <c r="O462" s="91" t="str">
        <f>L462*I462</f>
      </c>
      <c r="P462" s="92" t="str">
        <f>M462*I462</f>
      </c>
      <c r="Q462" s="93" t="str">
        <f>P462*'Calculation_Assumptions'!$B$14*J462*K462</f>
      </c>
      <c r="R462" s="94" t="str">
        <f>O462*N462*J462*K462</f>
      </c>
      <c r="S462" s="95" t="str">
        <f>R462-Q462</f>
      </c>
      <c r="T462" s="96" t="str">
        <f>1/(1+'Calculation_Assumptions'!$B$8)^(B462-'Calculation_Assumptions'!$B$2)</f>
      </c>
      <c r="U462" s="97" t="str">
        <f>Q462*T462</f>
      </c>
      <c r="V462" s="98" t="str">
        <f>R462*T462</f>
      </c>
      <c r="W462" s="99" t="str">
        <f>S462*T462</f>
      </c>
      <c r="X462" t="n">
        <v>0</v>
      </c>
      <c r="Y462" s="100" t="n">
        <v>2017</v>
      </c>
      <c r="Z462" t="s">
        <v>389</v>
      </c>
      <c r="AA462" s="101" t="str">
        <f>IF(G462="shared-count-once",COUNTIFS($A$2:$A$807,A462,$B$2:$B$807,B462,$D$2:$D$807,D462),1)</f>
      </c>
    </row>
    <row r="463">
      <c r="A463" t="s">
        <v>207</v>
      </c>
      <c r="B463" s="79" t="n">
        <v>2044</v>
      </c>
      <c r="C463" t="s">
        <v>219</v>
      </c>
      <c r="D463" s="80" t="s">
        <v>399</v>
      </c>
      <c r="E463" s="81" t="s">
        <v>400</v>
      </c>
      <c r="F463" s="82" t="s">
        <v>222</v>
      </c>
      <c r="G463" s="83" t="s">
        <v>395</v>
      </c>
      <c r="H463" s="84" t="s">
        <v>386</v>
      </c>
      <c r="I463" s="85" t="n">
        <v>1</v>
      </c>
      <c r="J463" s="86" t="n">
        <v>1</v>
      </c>
      <c r="K463" s="87" t="n">
        <v>0.008775</v>
      </c>
      <c r="L463" s="88" t="n">
        <v>319178928.466973</v>
      </c>
      <c r="M463" s="89" t="n">
        <v>318697135.863652</v>
      </c>
      <c r="N463" s="90" t="str">
        <f>MIN(MAX((B463-'Calculation_Assumptions'!$B$5+1)/'Calculation_Assumptions'!$B$7,0),1)</f>
      </c>
      <c r="O463" s="91" t="str">
        <f>L463*I463</f>
      </c>
      <c r="P463" s="92" t="str">
        <f>M463*I463</f>
      </c>
      <c r="Q463" s="93" t="str">
        <f>P463*'Calculation_Assumptions'!$B$14*J463*K463</f>
      </c>
      <c r="R463" s="94" t="str">
        <f>O463*N463*J463*K463</f>
      </c>
      <c r="S463" s="95" t="str">
        <f>R463-Q463</f>
      </c>
      <c r="T463" s="96" t="str">
        <f>1/(1+'Calculation_Assumptions'!$B$8)^(B463-'Calculation_Assumptions'!$B$2)</f>
      </c>
      <c r="U463" s="97" t="str">
        <f>Q463*T463</f>
      </c>
      <c r="V463" s="98" t="str">
        <f>R463*T463</f>
      </c>
      <c r="W463" s="99" t="str">
        <f>S463*T463</f>
      </c>
      <c r="X463" t="n">
        <v>0</v>
      </c>
      <c r="Y463" s="100" t="n">
        <v>2017</v>
      </c>
      <c r="Z463" t="s">
        <v>389</v>
      </c>
      <c r="AA463" s="101" t="str">
        <f>IF(G463="shared-count-once",COUNTIFS($A$2:$A$807,A463,$B$2:$B$807,B463,$D$2:$D$807,D463),1)</f>
      </c>
    </row>
    <row r="464">
      <c r="A464" t="s">
        <v>207</v>
      </c>
      <c r="B464" s="79" t="n">
        <v>2045</v>
      </c>
      <c r="C464" t="s">
        <v>219</v>
      </c>
      <c r="D464" s="80" t="s">
        <v>399</v>
      </c>
      <c r="E464" s="81" t="s">
        <v>400</v>
      </c>
      <c r="F464" s="82" t="s">
        <v>222</v>
      </c>
      <c r="G464" s="83" t="s">
        <v>395</v>
      </c>
      <c r="H464" s="84" t="s">
        <v>386</v>
      </c>
      <c r="I464" s="85" t="n">
        <v>1</v>
      </c>
      <c r="J464" s="86" t="n">
        <v>1</v>
      </c>
      <c r="K464" s="87" t="n">
        <v>0.008775</v>
      </c>
      <c r="L464" s="88" t="n">
        <v>320239528.676681</v>
      </c>
      <c r="M464" s="89" t="n">
        <v>319717840.85179</v>
      </c>
      <c r="N464" s="90" t="str">
        <f>MIN(MAX((B464-'Calculation_Assumptions'!$B$5+1)/'Calculation_Assumptions'!$B$7,0),1)</f>
      </c>
      <c r="O464" s="91" t="str">
        <f>L464*I464</f>
      </c>
      <c r="P464" s="92" t="str">
        <f>M464*I464</f>
      </c>
      <c r="Q464" s="93" t="str">
        <f>P464*'Calculation_Assumptions'!$B$14*J464*K464</f>
      </c>
      <c r="R464" s="94" t="str">
        <f>O464*N464*J464*K464</f>
      </c>
      <c r="S464" s="95" t="str">
        <f>R464-Q464</f>
      </c>
      <c r="T464" s="96" t="str">
        <f>1/(1+'Calculation_Assumptions'!$B$8)^(B464-'Calculation_Assumptions'!$B$2)</f>
      </c>
      <c r="U464" s="97" t="str">
        <f>Q464*T464</f>
      </c>
      <c r="V464" s="98" t="str">
        <f>R464*T464</f>
      </c>
      <c r="W464" s="99" t="str">
        <f>S464*T464</f>
      </c>
      <c r="X464" t="n">
        <v>0</v>
      </c>
      <c r="Y464" s="100" t="n">
        <v>2017</v>
      </c>
      <c r="Z464" t="s">
        <v>389</v>
      </c>
      <c r="AA464" s="101" t="str">
        <f>IF(G464="shared-count-once",COUNTIFS($A$2:$A$807,A464,$B$2:$B$807,B464,$D$2:$D$807,D464),1)</f>
      </c>
    </row>
    <row r="465">
      <c r="A465" t="s">
        <v>207</v>
      </c>
      <c r="B465" s="79" t="n">
        <v>2046</v>
      </c>
      <c r="C465" t="s">
        <v>219</v>
      </c>
      <c r="D465" s="80" t="s">
        <v>399</v>
      </c>
      <c r="E465" s="81" t="s">
        <v>400</v>
      </c>
      <c r="F465" s="82" t="s">
        <v>222</v>
      </c>
      <c r="G465" s="83" t="s">
        <v>395</v>
      </c>
      <c r="H465" s="84" t="s">
        <v>386</v>
      </c>
      <c r="I465" s="85" t="n">
        <v>1</v>
      </c>
      <c r="J465" s="86" t="n">
        <v>1</v>
      </c>
      <c r="K465" s="87" t="n">
        <v>0.008775</v>
      </c>
      <c r="L465" s="88" t="n">
        <v>321245351.030761</v>
      </c>
      <c r="M465" s="89" t="n">
        <v>320683879.806276</v>
      </c>
      <c r="N465" s="90" t="str">
        <f>MIN(MAX((B465-'Calculation_Assumptions'!$B$5+1)/'Calculation_Assumptions'!$B$7,0),1)</f>
      </c>
      <c r="O465" s="91" t="str">
        <f>L465*I465</f>
      </c>
      <c r="P465" s="92" t="str">
        <f>M465*I465</f>
      </c>
      <c r="Q465" s="93" t="str">
        <f>P465*'Calculation_Assumptions'!$B$14*J465*K465</f>
      </c>
      <c r="R465" s="94" t="str">
        <f>O465*N465*J465*K465</f>
      </c>
      <c r="S465" s="95" t="str">
        <f>R465-Q465</f>
      </c>
      <c r="T465" s="96" t="str">
        <f>1/(1+'Calculation_Assumptions'!$B$8)^(B465-'Calculation_Assumptions'!$B$2)</f>
      </c>
      <c r="U465" s="97" t="str">
        <f>Q465*T465</f>
      </c>
      <c r="V465" s="98" t="str">
        <f>R465*T465</f>
      </c>
      <c r="W465" s="99" t="str">
        <f>S465*T465</f>
      </c>
      <c r="X465" t="n">
        <v>0</v>
      </c>
      <c r="Y465" s="100" t="n">
        <v>2017</v>
      </c>
      <c r="Z465" t="s">
        <v>389</v>
      </c>
      <c r="AA465" s="101" t="str">
        <f>IF(G465="shared-count-once",COUNTIFS($A$2:$A$807,A465,$B$2:$B$807,B465,$D$2:$D$807,D465),1)</f>
      </c>
    </row>
    <row r="466">
      <c r="A466" t="s">
        <v>207</v>
      </c>
      <c r="B466" s="79" t="n">
        <v>2047</v>
      </c>
      <c r="C466" t="s">
        <v>219</v>
      </c>
      <c r="D466" s="80" t="s">
        <v>399</v>
      </c>
      <c r="E466" s="81" t="s">
        <v>400</v>
      </c>
      <c r="F466" s="82" t="s">
        <v>222</v>
      </c>
      <c r="G466" s="83" t="s">
        <v>395</v>
      </c>
      <c r="H466" s="84" t="s">
        <v>386</v>
      </c>
      <c r="I466" s="85" t="n">
        <v>1</v>
      </c>
      <c r="J466" s="86" t="n">
        <v>1</v>
      </c>
      <c r="K466" s="87" t="n">
        <v>0.008775</v>
      </c>
      <c r="L466" s="88" t="n">
        <v>322196532.836748</v>
      </c>
      <c r="M466" s="89" t="n">
        <v>321595541.389526</v>
      </c>
      <c r="N466" s="90" t="str">
        <f>MIN(MAX((B466-'Calculation_Assumptions'!$B$5+1)/'Calculation_Assumptions'!$B$7,0),1)</f>
      </c>
      <c r="O466" s="91" t="str">
        <f>L466*I466</f>
      </c>
      <c r="P466" s="92" t="str">
        <f>M466*I466</f>
      </c>
      <c r="Q466" s="93" t="str">
        <f>P466*'Calculation_Assumptions'!$B$14*J466*K466</f>
      </c>
      <c r="R466" s="94" t="str">
        <f>O466*N466*J466*K466</f>
      </c>
      <c r="S466" s="95" t="str">
        <f>R466-Q466</f>
      </c>
      <c r="T466" s="96" t="str">
        <f>1/(1+'Calculation_Assumptions'!$B$8)^(B466-'Calculation_Assumptions'!$B$2)</f>
      </c>
      <c r="U466" s="97" t="str">
        <f>Q466*T466</f>
      </c>
      <c r="V466" s="98" t="str">
        <f>R466*T466</f>
      </c>
      <c r="W466" s="99" t="str">
        <f>S466*T466</f>
      </c>
      <c r="X466" t="n">
        <v>0</v>
      </c>
      <c r="Y466" s="100" t="n">
        <v>2017</v>
      </c>
      <c r="Z466" t="s">
        <v>389</v>
      </c>
      <c r="AA466" s="101" t="str">
        <f>IF(G466="shared-count-once",COUNTIFS($A$2:$A$807,A466,$B$2:$B$807,B466,$D$2:$D$807,D466),1)</f>
      </c>
    </row>
    <row r="467">
      <c r="A467" t="s">
        <v>207</v>
      </c>
      <c r="B467" s="79" t="n">
        <v>2048</v>
      </c>
      <c r="C467" t="s">
        <v>219</v>
      </c>
      <c r="D467" s="80" t="s">
        <v>399</v>
      </c>
      <c r="E467" s="81" t="s">
        <v>400</v>
      </c>
      <c r="F467" s="82" t="s">
        <v>222</v>
      </c>
      <c r="G467" s="83" t="s">
        <v>395</v>
      </c>
      <c r="H467" s="84" t="s">
        <v>386</v>
      </c>
      <c r="I467" s="85" t="n">
        <v>1</v>
      </c>
      <c r="J467" s="86" t="n">
        <v>1</v>
      </c>
      <c r="K467" s="87" t="n">
        <v>0.008775</v>
      </c>
      <c r="L467" s="88" t="n">
        <v>322905422.339843</v>
      </c>
      <c r="M467" s="89" t="n">
        <v>322453622.669464</v>
      </c>
      <c r="N467" s="90" t="str">
        <f>MIN(MAX((B467-'Calculation_Assumptions'!$B$5+1)/'Calculation_Assumptions'!$B$7,0),1)</f>
      </c>
      <c r="O467" s="91" t="str">
        <f>L467*I467</f>
      </c>
      <c r="P467" s="92" t="str">
        <f>M467*I467</f>
      </c>
      <c r="Q467" s="93" t="str">
        <f>P467*'Calculation_Assumptions'!$B$14*J467*K467</f>
      </c>
      <c r="R467" s="94" t="str">
        <f>O467*N467*J467*K467</f>
      </c>
      <c r="S467" s="95" t="str">
        <f>R467-Q467</f>
      </c>
      <c r="T467" s="96" t="str">
        <f>1/(1+'Calculation_Assumptions'!$B$8)^(B467-'Calculation_Assumptions'!$B$2)</f>
      </c>
      <c r="U467" s="97" t="str">
        <f>Q467*T467</f>
      </c>
      <c r="V467" s="98" t="str">
        <f>R467*T467</f>
      </c>
      <c r="W467" s="99" t="str">
        <f>S467*T467</f>
      </c>
      <c r="X467" t="n">
        <v>0</v>
      </c>
      <c r="Y467" s="100" t="n">
        <v>2017</v>
      </c>
      <c r="Z467" t="s">
        <v>389</v>
      </c>
      <c r="AA467" s="101" t="str">
        <f>IF(G467="shared-count-once",COUNTIFS($A$2:$A$807,A467,$B$2:$B$807,B467,$D$2:$D$807,D467),1)</f>
      </c>
    </row>
    <row r="468">
      <c r="A468" t="s">
        <v>207</v>
      </c>
      <c r="B468" s="79" t="n">
        <v>2049</v>
      </c>
      <c r="C468" t="s">
        <v>219</v>
      </c>
      <c r="D468" s="80" t="s">
        <v>399</v>
      </c>
      <c r="E468" s="81" t="s">
        <v>400</v>
      </c>
      <c r="F468" s="82" t="s">
        <v>222</v>
      </c>
      <c r="G468" s="83" t="s">
        <v>395</v>
      </c>
      <c r="H468" s="84" t="s">
        <v>386</v>
      </c>
      <c r="I468" s="85" t="n">
        <v>1</v>
      </c>
      <c r="J468" s="86" t="n">
        <v>1</v>
      </c>
      <c r="K468" s="87" t="n">
        <v>0.008775</v>
      </c>
      <c r="L468" s="88" t="n">
        <v>323738781.157843</v>
      </c>
      <c r="M468" s="89" t="n">
        <v>323259246.716719</v>
      </c>
      <c r="N468" s="90" t="str">
        <f>MIN(MAX((B468-'Calculation_Assumptions'!$B$5+1)/'Calculation_Assumptions'!$B$7,0),1)</f>
      </c>
      <c r="O468" s="91" t="str">
        <f>L468*I468</f>
      </c>
      <c r="P468" s="92" t="str">
        <f>M468*I468</f>
      </c>
      <c r="Q468" s="93" t="str">
        <f>P468*'Calculation_Assumptions'!$B$14*J468*K468</f>
      </c>
      <c r="R468" s="94" t="str">
        <f>O468*N468*J468*K468</f>
      </c>
      <c r="S468" s="95" t="str">
        <f>R468-Q468</f>
      </c>
      <c r="T468" s="96" t="str">
        <f>1/(1+'Calculation_Assumptions'!$B$8)^(B468-'Calculation_Assumptions'!$B$2)</f>
      </c>
      <c r="U468" s="97" t="str">
        <f>Q468*T468</f>
      </c>
      <c r="V468" s="98" t="str">
        <f>R468*T468</f>
      </c>
      <c r="W468" s="99" t="str">
        <f>S468*T468</f>
      </c>
      <c r="X468" t="n">
        <v>0</v>
      </c>
      <c r="Y468" s="100" t="n">
        <v>2017</v>
      </c>
      <c r="Z468" t="s">
        <v>389</v>
      </c>
      <c r="AA468" s="101" t="str">
        <f>IF(G468="shared-count-once",COUNTIFS($A$2:$A$807,A468,$B$2:$B$807,B468,$D$2:$D$807,D468),1)</f>
      </c>
    </row>
    <row r="469">
      <c r="A469" t="s">
        <v>207</v>
      </c>
      <c r="B469" s="79" t="n">
        <v>2050</v>
      </c>
      <c r="C469" t="s">
        <v>219</v>
      </c>
      <c r="D469" s="80" t="s">
        <v>399</v>
      </c>
      <c r="E469" s="81" t="s">
        <v>400</v>
      </c>
      <c r="F469" s="82" t="s">
        <v>222</v>
      </c>
      <c r="G469" s="83" t="s">
        <v>395</v>
      </c>
      <c r="H469" s="84" t="s">
        <v>386</v>
      </c>
      <c r="I469" s="85" t="n">
        <v>1</v>
      </c>
      <c r="J469" s="86" t="n">
        <v>1</v>
      </c>
      <c r="K469" s="87" t="n">
        <v>0.008775</v>
      </c>
      <c r="L469" s="88" t="n">
        <v>324519557.566742</v>
      </c>
      <c r="M469" s="89" t="n">
        <v>324013738.182479</v>
      </c>
      <c r="N469" s="90" t="str">
        <f>MIN(MAX((B469-'Calculation_Assumptions'!$B$5+1)/'Calculation_Assumptions'!$B$7,0),1)</f>
      </c>
      <c r="O469" s="91" t="str">
        <f>L469*I469</f>
      </c>
      <c r="P469" s="92" t="str">
        <f>M469*I469</f>
      </c>
      <c r="Q469" s="93" t="str">
        <f>P469*'Calculation_Assumptions'!$B$14*J469*K469</f>
      </c>
      <c r="R469" s="94" t="str">
        <f>O469*N469*J469*K469</f>
      </c>
      <c r="S469" s="95" t="str">
        <f>R469-Q469</f>
      </c>
      <c r="T469" s="96" t="str">
        <f>1/(1+'Calculation_Assumptions'!$B$8)^(B469-'Calculation_Assumptions'!$B$2)</f>
      </c>
      <c r="U469" s="97" t="str">
        <f>Q469*T469</f>
      </c>
      <c r="V469" s="98" t="str">
        <f>R469*T469</f>
      </c>
      <c r="W469" s="99" t="str">
        <f>S469*T469</f>
      </c>
      <c r="X469" t="n">
        <v>0</v>
      </c>
      <c r="Y469" s="100" t="n">
        <v>2017</v>
      </c>
      <c r="Z469" t="s">
        <v>389</v>
      </c>
      <c r="AA469" s="101" t="str">
        <f>IF(G469="shared-count-once",COUNTIFS($A$2:$A$807,A469,$B$2:$B$807,B469,$D$2:$D$807,D469),1)</f>
      </c>
    </row>
    <row r="470">
      <c r="A470" t="s">
        <v>207</v>
      </c>
      <c r="B470" s="79" t="n">
        <v>2025</v>
      </c>
      <c r="C470" t="s">
        <v>226</v>
      </c>
      <c r="D470" s="80" t="s">
        <v>401</v>
      </c>
      <c r="E470" s="81" t="s">
        <v>402</v>
      </c>
      <c r="F470" s="82" t="s">
        <v>229</v>
      </c>
      <c r="G470" s="83" t="s">
        <v>395</v>
      </c>
      <c r="H470" s="84" t="s">
        <v>386</v>
      </c>
      <c r="I470" s="85" t="n">
        <v>1</v>
      </c>
      <c r="J470" s="86" t="n">
        <v>1</v>
      </c>
      <c r="K470" s="87" t="n">
        <v>0.008775</v>
      </c>
      <c r="L470" s="88" t="n">
        <v>288000821.106462</v>
      </c>
      <c r="M470" s="89" t="n">
        <v>288000821.106462</v>
      </c>
      <c r="N470" s="90" t="str">
        <f>MIN(MAX((B470-'Calculation_Assumptions'!$B$5+1)/'Calculation_Assumptions'!$B$7,0),1)</f>
      </c>
      <c r="O470" s="91" t="str">
        <f>L470*I470</f>
      </c>
      <c r="P470" s="92" t="str">
        <f>M470*I470</f>
      </c>
      <c r="Q470" s="93" t="str">
        <f>P470*'Calculation_Assumptions'!$B$14*J470*K470</f>
      </c>
      <c r="R470" s="94" t="str">
        <f>O470*N470*J470*K470</f>
      </c>
      <c r="S470" s="95" t="str">
        <f>R470-Q470</f>
      </c>
      <c r="T470" s="96" t="str">
        <f>1/(1+'Calculation_Assumptions'!$B$8)^(B470-'Calculation_Assumptions'!$B$2)</f>
      </c>
      <c r="U470" s="97" t="str">
        <f>Q470*T470</f>
      </c>
      <c r="V470" s="98" t="str">
        <f>R470*T470</f>
      </c>
      <c r="W470" s="99" t="str">
        <f>S470*T470</f>
      </c>
      <c r="X470" t="n">
        <v>0</v>
      </c>
      <c r="Y470" s="100" t="n">
        <v>2017</v>
      </c>
      <c r="Z470" t="s">
        <v>389</v>
      </c>
      <c r="AA470" s="101" t="str">
        <f>IF(G470="shared-count-once",COUNTIFS($A$2:$A$807,A470,$B$2:$B$807,B470,$D$2:$D$807,D470),1)</f>
      </c>
    </row>
    <row r="471">
      <c r="A471" t="s">
        <v>207</v>
      </c>
      <c r="B471" s="79" t="n">
        <v>2026</v>
      </c>
      <c r="C471" t="s">
        <v>226</v>
      </c>
      <c r="D471" s="80" t="s">
        <v>401</v>
      </c>
      <c r="E471" s="81" t="s">
        <v>402</v>
      </c>
      <c r="F471" s="82" t="s">
        <v>229</v>
      </c>
      <c r="G471" s="83" t="s">
        <v>395</v>
      </c>
      <c r="H471" s="84" t="s">
        <v>386</v>
      </c>
      <c r="I471" s="85" t="n">
        <v>1</v>
      </c>
      <c r="J471" s="86" t="n">
        <v>1</v>
      </c>
      <c r="K471" s="87" t="n">
        <v>0.008775</v>
      </c>
      <c r="L471" s="88" t="n">
        <v>290123496.103219</v>
      </c>
      <c r="M471" s="89" t="n">
        <v>290123496.103219</v>
      </c>
      <c r="N471" s="90" t="str">
        <f>MIN(MAX((B471-'Calculation_Assumptions'!$B$5+1)/'Calculation_Assumptions'!$B$7,0),1)</f>
      </c>
      <c r="O471" s="91" t="str">
        <f>L471*I471</f>
      </c>
      <c r="P471" s="92" t="str">
        <f>M471*I471</f>
      </c>
      <c r="Q471" s="93" t="str">
        <f>P471*'Calculation_Assumptions'!$B$14*J471*K471</f>
      </c>
      <c r="R471" s="94" t="str">
        <f>O471*N471*J471*K471</f>
      </c>
      <c r="S471" s="95" t="str">
        <f>R471-Q471</f>
      </c>
      <c r="T471" s="96" t="str">
        <f>1/(1+'Calculation_Assumptions'!$B$8)^(B471-'Calculation_Assumptions'!$B$2)</f>
      </c>
      <c r="U471" s="97" t="str">
        <f>Q471*T471</f>
      </c>
      <c r="V471" s="98" t="str">
        <f>R471*T471</f>
      </c>
      <c r="W471" s="99" t="str">
        <f>S471*T471</f>
      </c>
      <c r="X471" t="n">
        <v>0</v>
      </c>
      <c r="Y471" s="100" t="n">
        <v>2017</v>
      </c>
      <c r="Z471" t="s">
        <v>389</v>
      </c>
      <c r="AA471" s="101" t="str">
        <f>IF(G471="shared-count-once",COUNTIFS($A$2:$A$807,A471,$B$2:$B$807,B471,$D$2:$D$807,D471),1)</f>
      </c>
    </row>
    <row r="472">
      <c r="A472" t="s">
        <v>207</v>
      </c>
      <c r="B472" s="79" t="n">
        <v>2027</v>
      </c>
      <c r="C472" t="s">
        <v>226</v>
      </c>
      <c r="D472" s="80" t="s">
        <v>401</v>
      </c>
      <c r="E472" s="81" t="s">
        <v>402</v>
      </c>
      <c r="F472" s="82" t="s">
        <v>229</v>
      </c>
      <c r="G472" s="83" t="s">
        <v>395</v>
      </c>
      <c r="H472" s="84" t="s">
        <v>386</v>
      </c>
      <c r="I472" s="85" t="n">
        <v>1</v>
      </c>
      <c r="J472" s="86" t="n">
        <v>1</v>
      </c>
      <c r="K472" s="87" t="n">
        <v>0.008775</v>
      </c>
      <c r="L472" s="88" t="n">
        <v>292252895.096956</v>
      </c>
      <c r="M472" s="89" t="n">
        <v>292252895.096956</v>
      </c>
      <c r="N472" s="90" t="str">
        <f>MIN(MAX((B472-'Calculation_Assumptions'!$B$5+1)/'Calculation_Assumptions'!$B$7,0),1)</f>
      </c>
      <c r="O472" s="91" t="str">
        <f>L472*I472</f>
      </c>
      <c r="P472" s="92" t="str">
        <f>M472*I472</f>
      </c>
      <c r="Q472" s="93" t="str">
        <f>P472*'Calculation_Assumptions'!$B$14*J472*K472</f>
      </c>
      <c r="R472" s="94" t="str">
        <f>O472*N472*J472*K472</f>
      </c>
      <c r="S472" s="95" t="str">
        <f>R472-Q472</f>
      </c>
      <c r="T472" s="96" t="str">
        <f>1/(1+'Calculation_Assumptions'!$B$8)^(B472-'Calculation_Assumptions'!$B$2)</f>
      </c>
      <c r="U472" s="97" t="str">
        <f>Q472*T472</f>
      </c>
      <c r="V472" s="98" t="str">
        <f>R472*T472</f>
      </c>
      <c r="W472" s="99" t="str">
        <f>S472*T472</f>
      </c>
      <c r="X472" t="n">
        <v>0</v>
      </c>
      <c r="Y472" s="100" t="n">
        <v>2017</v>
      </c>
      <c r="Z472" t="s">
        <v>389</v>
      </c>
      <c r="AA472" s="101" t="str">
        <f>IF(G472="shared-count-once",COUNTIFS($A$2:$A$807,A472,$B$2:$B$807,B472,$D$2:$D$807,D472),1)</f>
      </c>
    </row>
    <row r="473">
      <c r="A473" t="s">
        <v>207</v>
      </c>
      <c r="B473" s="79" t="n">
        <v>2028</v>
      </c>
      <c r="C473" t="s">
        <v>226</v>
      </c>
      <c r="D473" s="80" t="s">
        <v>401</v>
      </c>
      <c r="E473" s="81" t="s">
        <v>402</v>
      </c>
      <c r="F473" s="82" t="s">
        <v>229</v>
      </c>
      <c r="G473" s="83" t="s">
        <v>395</v>
      </c>
      <c r="H473" s="84" t="s">
        <v>386</v>
      </c>
      <c r="I473" s="85" t="n">
        <v>1</v>
      </c>
      <c r="J473" s="86" t="n">
        <v>1</v>
      </c>
      <c r="K473" s="87" t="n">
        <v>0.008775</v>
      </c>
      <c r="L473" s="88" t="n">
        <v>294317096.231241</v>
      </c>
      <c r="M473" s="89" t="n">
        <v>294314895.305465</v>
      </c>
      <c r="N473" s="90" t="str">
        <f>MIN(MAX((B473-'Calculation_Assumptions'!$B$5+1)/'Calculation_Assumptions'!$B$7,0),1)</f>
      </c>
      <c r="O473" s="91" t="str">
        <f>L473*I473</f>
      </c>
      <c r="P473" s="92" t="str">
        <f>M473*I473</f>
      </c>
      <c r="Q473" s="93" t="str">
        <f>P473*'Calculation_Assumptions'!$B$14*J473*K473</f>
      </c>
      <c r="R473" s="94" t="str">
        <f>O473*N473*J473*K473</f>
      </c>
      <c r="S473" s="95" t="str">
        <f>R473-Q473</f>
      </c>
      <c r="T473" s="96" t="str">
        <f>1/(1+'Calculation_Assumptions'!$B$8)^(B473-'Calculation_Assumptions'!$B$2)</f>
      </c>
      <c r="U473" s="97" t="str">
        <f>Q473*T473</f>
      </c>
      <c r="V473" s="98" t="str">
        <f>R473*T473</f>
      </c>
      <c r="W473" s="99" t="str">
        <f>S473*T473</f>
      </c>
      <c r="X473" t="n">
        <v>0</v>
      </c>
      <c r="Y473" s="100" t="n">
        <v>2017</v>
      </c>
      <c r="Z473" t="s">
        <v>389</v>
      </c>
      <c r="AA473" s="101" t="str">
        <f>IF(G473="shared-count-once",COUNTIFS($A$2:$A$807,A473,$B$2:$B$807,B473,$D$2:$D$807,D473),1)</f>
      </c>
    </row>
    <row r="474">
      <c r="A474" t="s">
        <v>207</v>
      </c>
      <c r="B474" s="79" t="n">
        <v>2029</v>
      </c>
      <c r="C474" t="s">
        <v>226</v>
      </c>
      <c r="D474" s="80" t="s">
        <v>401</v>
      </c>
      <c r="E474" s="81" t="s">
        <v>402</v>
      </c>
      <c r="F474" s="82" t="s">
        <v>229</v>
      </c>
      <c r="G474" s="83" t="s">
        <v>395</v>
      </c>
      <c r="H474" s="84" t="s">
        <v>386</v>
      </c>
      <c r="I474" s="85" t="n">
        <v>1</v>
      </c>
      <c r="J474" s="86" t="n">
        <v>1</v>
      </c>
      <c r="K474" s="87" t="n">
        <v>0.008775</v>
      </c>
      <c r="L474" s="88" t="n">
        <v>296349028.669572</v>
      </c>
      <c r="M474" s="89" t="n">
        <v>296341062.542853</v>
      </c>
      <c r="N474" s="90" t="str">
        <f>MIN(MAX((B474-'Calculation_Assumptions'!$B$5+1)/'Calculation_Assumptions'!$B$7,0),1)</f>
      </c>
      <c r="O474" s="91" t="str">
        <f>L474*I474</f>
      </c>
      <c r="P474" s="92" t="str">
        <f>M474*I474</f>
      </c>
      <c r="Q474" s="93" t="str">
        <f>P474*'Calculation_Assumptions'!$B$14*J474*K474</f>
      </c>
      <c r="R474" s="94" t="str">
        <f>O474*N474*J474*K474</f>
      </c>
      <c r="S474" s="95" t="str">
        <f>R474-Q474</f>
      </c>
      <c r="T474" s="96" t="str">
        <f>1/(1+'Calculation_Assumptions'!$B$8)^(B474-'Calculation_Assumptions'!$B$2)</f>
      </c>
      <c r="U474" s="97" t="str">
        <f>Q474*T474</f>
      </c>
      <c r="V474" s="98" t="str">
        <f>R474*T474</f>
      </c>
      <c r="W474" s="99" t="str">
        <f>S474*T474</f>
      </c>
      <c r="X474" t="n">
        <v>0</v>
      </c>
      <c r="Y474" s="100" t="n">
        <v>2017</v>
      </c>
      <c r="Z474" t="s">
        <v>389</v>
      </c>
      <c r="AA474" s="101" t="str">
        <f>IF(G474="shared-count-once",COUNTIFS($A$2:$A$807,A474,$B$2:$B$807,B474,$D$2:$D$807,D474),1)</f>
      </c>
    </row>
    <row r="475">
      <c r="A475" t="s">
        <v>207</v>
      </c>
      <c r="B475" s="79" t="n">
        <v>2030</v>
      </c>
      <c r="C475" t="s">
        <v>226</v>
      </c>
      <c r="D475" s="80" t="s">
        <v>401</v>
      </c>
      <c r="E475" s="81" t="s">
        <v>402</v>
      </c>
      <c r="F475" s="82" t="s">
        <v>229</v>
      </c>
      <c r="G475" s="83" t="s">
        <v>395</v>
      </c>
      <c r="H475" s="84" t="s">
        <v>386</v>
      </c>
      <c r="I475" s="85" t="n">
        <v>1</v>
      </c>
      <c r="J475" s="86" t="n">
        <v>1</v>
      </c>
      <c r="K475" s="87" t="n">
        <v>0.008775</v>
      </c>
      <c r="L475" s="88" t="n">
        <v>298298571.282757</v>
      </c>
      <c r="M475" s="89" t="n">
        <v>298280286.057263</v>
      </c>
      <c r="N475" s="90" t="str">
        <f>MIN(MAX((B475-'Calculation_Assumptions'!$B$5+1)/'Calculation_Assumptions'!$B$7,0),1)</f>
      </c>
      <c r="O475" s="91" t="str">
        <f>L475*I475</f>
      </c>
      <c r="P475" s="92" t="str">
        <f>M475*I475</f>
      </c>
      <c r="Q475" s="93" t="str">
        <f>P475*'Calculation_Assumptions'!$B$14*J475*K475</f>
      </c>
      <c r="R475" s="94" t="str">
        <f>O475*N475*J475*K475</f>
      </c>
      <c r="S475" s="95" t="str">
        <f>R475-Q475</f>
      </c>
      <c r="T475" s="96" t="str">
        <f>1/(1+'Calculation_Assumptions'!$B$8)^(B475-'Calculation_Assumptions'!$B$2)</f>
      </c>
      <c r="U475" s="97" t="str">
        <f>Q475*T475</f>
      </c>
      <c r="V475" s="98" t="str">
        <f>R475*T475</f>
      </c>
      <c r="W475" s="99" t="str">
        <f>S475*T475</f>
      </c>
      <c r="X475" t="n">
        <v>0</v>
      </c>
      <c r="Y475" s="100" t="n">
        <v>2017</v>
      </c>
      <c r="Z475" t="s">
        <v>389</v>
      </c>
      <c r="AA475" s="101" t="str">
        <f>IF(G475="shared-count-once",COUNTIFS($A$2:$A$807,A475,$B$2:$B$807,B475,$D$2:$D$807,D475),1)</f>
      </c>
    </row>
    <row r="476">
      <c r="A476" t="s">
        <v>207</v>
      </c>
      <c r="B476" s="79" t="n">
        <v>2031</v>
      </c>
      <c r="C476" t="s">
        <v>226</v>
      </c>
      <c r="D476" s="80" t="s">
        <v>401</v>
      </c>
      <c r="E476" s="81" t="s">
        <v>402</v>
      </c>
      <c r="F476" s="82" t="s">
        <v>229</v>
      </c>
      <c r="G476" s="83" t="s">
        <v>395</v>
      </c>
      <c r="H476" s="84" t="s">
        <v>386</v>
      </c>
      <c r="I476" s="85" t="n">
        <v>1</v>
      </c>
      <c r="J476" s="86" t="n">
        <v>1</v>
      </c>
      <c r="K476" s="87" t="n">
        <v>0.008775</v>
      </c>
      <c r="L476" s="88" t="n">
        <v>300121149.554959</v>
      </c>
      <c r="M476" s="89" t="n">
        <v>300152603.254782</v>
      </c>
      <c r="N476" s="90" t="str">
        <f>MIN(MAX((B476-'Calculation_Assumptions'!$B$5+1)/'Calculation_Assumptions'!$B$7,0),1)</f>
      </c>
      <c r="O476" s="91" t="str">
        <f>L476*I476</f>
      </c>
      <c r="P476" s="92" t="str">
        <f>M476*I476</f>
      </c>
      <c r="Q476" s="93" t="str">
        <f>P476*'Calculation_Assumptions'!$B$14*J476*K476</f>
      </c>
      <c r="R476" s="94" t="str">
        <f>O476*N476*J476*K476</f>
      </c>
      <c r="S476" s="95" t="str">
        <f>R476-Q476</f>
      </c>
      <c r="T476" s="96" t="str">
        <f>1/(1+'Calculation_Assumptions'!$B$8)^(B476-'Calculation_Assumptions'!$B$2)</f>
      </c>
      <c r="U476" s="97" t="str">
        <f>Q476*T476</f>
      </c>
      <c r="V476" s="98" t="str">
        <f>R476*T476</f>
      </c>
      <c r="W476" s="99" t="str">
        <f>S476*T476</f>
      </c>
      <c r="X476" t="n">
        <v>0</v>
      </c>
      <c r="Y476" s="100" t="n">
        <v>2017</v>
      </c>
      <c r="Z476" t="s">
        <v>389</v>
      </c>
      <c r="AA476" s="101" t="str">
        <f>IF(G476="shared-count-once",COUNTIFS($A$2:$A$807,A476,$B$2:$B$807,B476,$D$2:$D$807,D476),1)</f>
      </c>
    </row>
    <row r="477">
      <c r="A477" t="s">
        <v>207</v>
      </c>
      <c r="B477" s="79" t="n">
        <v>2032</v>
      </c>
      <c r="C477" t="s">
        <v>226</v>
      </c>
      <c r="D477" s="80" t="s">
        <v>401</v>
      </c>
      <c r="E477" s="81" t="s">
        <v>402</v>
      </c>
      <c r="F477" s="82" t="s">
        <v>229</v>
      </c>
      <c r="G477" s="83" t="s">
        <v>395</v>
      </c>
      <c r="H477" s="84" t="s">
        <v>386</v>
      </c>
      <c r="I477" s="85" t="n">
        <v>1</v>
      </c>
      <c r="J477" s="86" t="n">
        <v>1</v>
      </c>
      <c r="K477" s="87" t="n">
        <v>0.008775</v>
      </c>
      <c r="L477" s="88" t="n">
        <v>301941450.07667</v>
      </c>
      <c r="M477" s="89" t="n">
        <v>301959399.633888</v>
      </c>
      <c r="N477" s="90" t="str">
        <f>MIN(MAX((B477-'Calculation_Assumptions'!$B$5+1)/'Calculation_Assumptions'!$B$7,0),1)</f>
      </c>
      <c r="O477" s="91" t="str">
        <f>L477*I477</f>
      </c>
      <c r="P477" s="92" t="str">
        <f>M477*I477</f>
      </c>
      <c r="Q477" s="93" t="str">
        <f>P477*'Calculation_Assumptions'!$B$14*J477*K477</f>
      </c>
      <c r="R477" s="94" t="str">
        <f>O477*N477*J477*K477</f>
      </c>
      <c r="S477" s="95" t="str">
        <f>R477-Q477</f>
      </c>
      <c r="T477" s="96" t="str">
        <f>1/(1+'Calculation_Assumptions'!$B$8)^(B477-'Calculation_Assumptions'!$B$2)</f>
      </c>
      <c r="U477" s="97" t="str">
        <f>Q477*T477</f>
      </c>
      <c r="V477" s="98" t="str">
        <f>R477*T477</f>
      </c>
      <c r="W477" s="99" t="str">
        <f>S477*T477</f>
      </c>
      <c r="X477" t="n">
        <v>0</v>
      </c>
      <c r="Y477" s="100" t="n">
        <v>2017</v>
      </c>
      <c r="Z477" t="s">
        <v>389</v>
      </c>
      <c r="AA477" s="101" t="str">
        <f>IF(G477="shared-count-once",COUNTIFS($A$2:$A$807,A477,$B$2:$B$807,B477,$D$2:$D$807,D477),1)</f>
      </c>
    </row>
    <row r="478">
      <c r="A478" t="s">
        <v>207</v>
      </c>
      <c r="B478" s="79" t="n">
        <v>2033</v>
      </c>
      <c r="C478" t="s">
        <v>226</v>
      </c>
      <c r="D478" s="80" t="s">
        <v>401</v>
      </c>
      <c r="E478" s="81" t="s">
        <v>402</v>
      </c>
      <c r="F478" s="82" t="s">
        <v>229</v>
      </c>
      <c r="G478" s="83" t="s">
        <v>395</v>
      </c>
      <c r="H478" s="84" t="s">
        <v>386</v>
      </c>
      <c r="I478" s="85" t="n">
        <v>1</v>
      </c>
      <c r="J478" s="86" t="n">
        <v>1</v>
      </c>
      <c r="K478" s="87" t="n">
        <v>0.008775</v>
      </c>
      <c r="L478" s="88" t="n">
        <v>303700299.219431</v>
      </c>
      <c r="M478" s="89" t="n">
        <v>303701035.202051</v>
      </c>
      <c r="N478" s="90" t="str">
        <f>MIN(MAX((B478-'Calculation_Assumptions'!$B$5+1)/'Calculation_Assumptions'!$B$7,0),1)</f>
      </c>
      <c r="O478" s="91" t="str">
        <f>L478*I478</f>
      </c>
      <c r="P478" s="92" t="str">
        <f>M478*I478</f>
      </c>
      <c r="Q478" s="93" t="str">
        <f>P478*'Calculation_Assumptions'!$B$14*J478*K478</f>
      </c>
      <c r="R478" s="94" t="str">
        <f>O478*N478*J478*K478</f>
      </c>
      <c r="S478" s="95" t="str">
        <f>R478-Q478</f>
      </c>
      <c r="T478" s="96" t="str">
        <f>1/(1+'Calculation_Assumptions'!$B$8)^(B478-'Calculation_Assumptions'!$B$2)</f>
      </c>
      <c r="U478" s="97" t="str">
        <f>Q478*T478</f>
      </c>
      <c r="V478" s="98" t="str">
        <f>R478*T478</f>
      </c>
      <c r="W478" s="99" t="str">
        <f>S478*T478</f>
      </c>
      <c r="X478" t="n">
        <v>0</v>
      </c>
      <c r="Y478" s="100" t="n">
        <v>2017</v>
      </c>
      <c r="Z478" t="s">
        <v>389</v>
      </c>
      <c r="AA478" s="101" t="str">
        <f>IF(G478="shared-count-once",COUNTIFS($A$2:$A$807,A478,$B$2:$B$807,B478,$D$2:$D$807,D478),1)</f>
      </c>
    </row>
    <row r="479">
      <c r="A479" t="s">
        <v>207</v>
      </c>
      <c r="B479" s="79" t="n">
        <v>2034</v>
      </c>
      <c r="C479" t="s">
        <v>226</v>
      </c>
      <c r="D479" s="80" t="s">
        <v>401</v>
      </c>
      <c r="E479" s="81" t="s">
        <v>402</v>
      </c>
      <c r="F479" s="82" t="s">
        <v>229</v>
      </c>
      <c r="G479" s="83" t="s">
        <v>395</v>
      </c>
      <c r="H479" s="84" t="s">
        <v>386</v>
      </c>
      <c r="I479" s="85" t="n">
        <v>1</v>
      </c>
      <c r="J479" s="86" t="n">
        <v>1</v>
      </c>
      <c r="K479" s="87" t="n">
        <v>0.008775</v>
      </c>
      <c r="L479" s="88" t="n">
        <v>305397476.214779</v>
      </c>
      <c r="M479" s="89" t="n">
        <v>305377998.093319</v>
      </c>
      <c r="N479" s="90" t="str">
        <f>MIN(MAX((B479-'Calculation_Assumptions'!$B$5+1)/'Calculation_Assumptions'!$B$7,0),1)</f>
      </c>
      <c r="O479" s="91" t="str">
        <f>L479*I479</f>
      </c>
      <c r="P479" s="92" t="str">
        <f>M479*I479</f>
      </c>
      <c r="Q479" s="93" t="str">
        <f>P479*'Calculation_Assumptions'!$B$14*J479*K479</f>
      </c>
      <c r="R479" s="94" t="str">
        <f>O479*N479*J479*K479</f>
      </c>
      <c r="S479" s="95" t="str">
        <f>R479-Q479</f>
      </c>
      <c r="T479" s="96" t="str">
        <f>1/(1+'Calculation_Assumptions'!$B$8)^(B479-'Calculation_Assumptions'!$B$2)</f>
      </c>
      <c r="U479" s="97" t="str">
        <f>Q479*T479</f>
      </c>
      <c r="V479" s="98" t="str">
        <f>R479*T479</f>
      </c>
      <c r="W479" s="99" t="str">
        <f>S479*T479</f>
      </c>
      <c r="X479" t="n">
        <v>0</v>
      </c>
      <c r="Y479" s="100" t="n">
        <v>2017</v>
      </c>
      <c r="Z479" t="s">
        <v>389</v>
      </c>
      <c r="AA479" s="101" t="str">
        <f>IF(G479="shared-count-once",COUNTIFS($A$2:$A$807,A479,$B$2:$B$807,B479,$D$2:$D$807,D479),1)</f>
      </c>
    </row>
    <row r="480">
      <c r="A480" t="s">
        <v>207</v>
      </c>
      <c r="B480" s="79" t="n">
        <v>2035</v>
      </c>
      <c r="C480" t="s">
        <v>226</v>
      </c>
      <c r="D480" s="80" t="s">
        <v>401</v>
      </c>
      <c r="E480" s="81" t="s">
        <v>402</v>
      </c>
      <c r="F480" s="82" t="s">
        <v>229</v>
      </c>
      <c r="G480" s="83" t="s">
        <v>395</v>
      </c>
      <c r="H480" s="84" t="s">
        <v>386</v>
      </c>
      <c r="I480" s="85" t="n">
        <v>1</v>
      </c>
      <c r="J480" s="86" t="n">
        <v>1</v>
      </c>
      <c r="K480" s="87" t="n">
        <v>0.008775</v>
      </c>
      <c r="L480" s="88" t="n">
        <v>307031511.511074</v>
      </c>
      <c r="M480" s="89" t="n">
        <v>306989258.29407</v>
      </c>
      <c r="N480" s="90" t="str">
        <f>MIN(MAX((B480-'Calculation_Assumptions'!$B$5+1)/'Calculation_Assumptions'!$B$7,0),1)</f>
      </c>
      <c r="O480" s="91" t="str">
        <f>L480*I480</f>
      </c>
      <c r="P480" s="92" t="str">
        <f>M480*I480</f>
      </c>
      <c r="Q480" s="93" t="str">
        <f>P480*'Calculation_Assumptions'!$B$14*J480*K480</f>
      </c>
      <c r="R480" s="94" t="str">
        <f>O480*N480*J480*K480</f>
      </c>
      <c r="S480" s="95" t="str">
        <f>R480-Q480</f>
      </c>
      <c r="T480" s="96" t="str">
        <f>1/(1+'Calculation_Assumptions'!$B$8)^(B480-'Calculation_Assumptions'!$B$2)</f>
      </c>
      <c r="U480" s="97" t="str">
        <f>Q480*T480</f>
      </c>
      <c r="V480" s="98" t="str">
        <f>R480*T480</f>
      </c>
      <c r="W480" s="99" t="str">
        <f>S480*T480</f>
      </c>
      <c r="X480" t="n">
        <v>0</v>
      </c>
      <c r="Y480" s="100" t="n">
        <v>2017</v>
      </c>
      <c r="Z480" t="s">
        <v>389</v>
      </c>
      <c r="AA480" s="101" t="str">
        <f>IF(G480="shared-count-once",COUNTIFS($A$2:$A$807,A480,$B$2:$B$807,B480,$D$2:$D$807,D480),1)</f>
      </c>
    </row>
    <row r="481">
      <c r="A481" t="s">
        <v>207</v>
      </c>
      <c r="B481" s="79" t="n">
        <v>2036</v>
      </c>
      <c r="C481" t="s">
        <v>226</v>
      </c>
      <c r="D481" s="80" t="s">
        <v>401</v>
      </c>
      <c r="E481" s="81" t="s">
        <v>402</v>
      </c>
      <c r="F481" s="82" t="s">
        <v>229</v>
      </c>
      <c r="G481" s="83" t="s">
        <v>395</v>
      </c>
      <c r="H481" s="84" t="s">
        <v>386</v>
      </c>
      <c r="I481" s="85" t="n">
        <v>1</v>
      </c>
      <c r="J481" s="86" t="n">
        <v>1</v>
      </c>
      <c r="K481" s="87" t="n">
        <v>0.008775</v>
      </c>
      <c r="L481" s="88" t="n">
        <v>308604764.350998</v>
      </c>
      <c r="M481" s="89" t="n">
        <v>308537399.672094</v>
      </c>
      <c r="N481" s="90" t="str">
        <f>MIN(MAX((B481-'Calculation_Assumptions'!$B$5+1)/'Calculation_Assumptions'!$B$7,0),1)</f>
      </c>
      <c r="O481" s="91" t="str">
        <f>L481*I481</f>
      </c>
      <c r="P481" s="92" t="str">
        <f>M481*I481</f>
      </c>
      <c r="Q481" s="93" t="str">
        <f>P481*'Calculation_Assumptions'!$B$14*J481*K481</f>
      </c>
      <c r="R481" s="94" t="str">
        <f>O481*N481*J481*K481</f>
      </c>
      <c r="S481" s="95" t="str">
        <f>R481-Q481</f>
      </c>
      <c r="T481" s="96" t="str">
        <f>1/(1+'Calculation_Assumptions'!$B$8)^(B481-'Calculation_Assumptions'!$B$2)</f>
      </c>
      <c r="U481" s="97" t="str">
        <f>Q481*T481</f>
      </c>
      <c r="V481" s="98" t="str">
        <f>R481*T481</f>
      </c>
      <c r="W481" s="99" t="str">
        <f>S481*T481</f>
      </c>
      <c r="X481" t="n">
        <v>0</v>
      </c>
      <c r="Y481" s="100" t="n">
        <v>2017</v>
      </c>
      <c r="Z481" t="s">
        <v>389</v>
      </c>
      <c r="AA481" s="101" t="str">
        <f>IF(G481="shared-count-once",COUNTIFS($A$2:$A$807,A481,$B$2:$B$807,B481,$D$2:$D$807,D481),1)</f>
      </c>
    </row>
    <row r="482">
      <c r="A482" t="s">
        <v>207</v>
      </c>
      <c r="B482" s="79" t="n">
        <v>2037</v>
      </c>
      <c r="C482" t="s">
        <v>226</v>
      </c>
      <c r="D482" s="80" t="s">
        <v>401</v>
      </c>
      <c r="E482" s="81" t="s">
        <v>402</v>
      </c>
      <c r="F482" s="82" t="s">
        <v>229</v>
      </c>
      <c r="G482" s="83" t="s">
        <v>395</v>
      </c>
      <c r="H482" s="84" t="s">
        <v>386</v>
      </c>
      <c r="I482" s="85" t="n">
        <v>1</v>
      </c>
      <c r="J482" s="86" t="n">
        <v>1</v>
      </c>
      <c r="K482" s="87" t="n">
        <v>0.008775</v>
      </c>
      <c r="L482" s="88" t="n">
        <v>310117640.615163</v>
      </c>
      <c r="M482" s="89" t="n">
        <v>310023120.393472</v>
      </c>
      <c r="N482" s="90" t="str">
        <f>MIN(MAX((B482-'Calculation_Assumptions'!$B$5+1)/'Calculation_Assumptions'!$B$7,0),1)</f>
      </c>
      <c r="O482" s="91" t="str">
        <f>L482*I482</f>
      </c>
      <c r="P482" s="92" t="str">
        <f>M482*I482</f>
      </c>
      <c r="Q482" s="93" t="str">
        <f>P482*'Calculation_Assumptions'!$B$14*J482*K482</f>
      </c>
      <c r="R482" s="94" t="str">
        <f>O482*N482*J482*K482</f>
      </c>
      <c r="S482" s="95" t="str">
        <f>R482-Q482</f>
      </c>
      <c r="T482" s="96" t="str">
        <f>1/(1+'Calculation_Assumptions'!$B$8)^(B482-'Calculation_Assumptions'!$B$2)</f>
      </c>
      <c r="U482" s="97" t="str">
        <f>Q482*T482</f>
      </c>
      <c r="V482" s="98" t="str">
        <f>R482*T482</f>
      </c>
      <c r="W482" s="99" t="str">
        <f>S482*T482</f>
      </c>
      <c r="X482" t="n">
        <v>0</v>
      </c>
      <c r="Y482" s="100" t="n">
        <v>2017</v>
      </c>
      <c r="Z482" t="s">
        <v>389</v>
      </c>
      <c r="AA482" s="101" t="str">
        <f>IF(G482="shared-count-once",COUNTIFS($A$2:$A$807,A482,$B$2:$B$807,B482,$D$2:$D$807,D482),1)</f>
      </c>
    </row>
    <row r="483">
      <c r="A483" t="s">
        <v>207</v>
      </c>
      <c r="B483" s="79" t="n">
        <v>2038</v>
      </c>
      <c r="C483" t="s">
        <v>226</v>
      </c>
      <c r="D483" s="80" t="s">
        <v>401</v>
      </c>
      <c r="E483" s="81" t="s">
        <v>402</v>
      </c>
      <c r="F483" s="82" t="s">
        <v>229</v>
      </c>
      <c r="G483" s="83" t="s">
        <v>395</v>
      </c>
      <c r="H483" s="84" t="s">
        <v>386</v>
      </c>
      <c r="I483" s="85" t="n">
        <v>1</v>
      </c>
      <c r="J483" s="86" t="n">
        <v>1</v>
      </c>
      <c r="K483" s="87" t="n">
        <v>0.008775</v>
      </c>
      <c r="L483" s="88" t="n">
        <v>311569909.623523</v>
      </c>
      <c r="M483" s="89" t="n">
        <v>311445837.134625</v>
      </c>
      <c r="N483" s="90" t="str">
        <f>MIN(MAX((B483-'Calculation_Assumptions'!$B$5+1)/'Calculation_Assumptions'!$B$7,0),1)</f>
      </c>
      <c r="O483" s="91" t="str">
        <f>L483*I483</f>
      </c>
      <c r="P483" s="92" t="str">
        <f>M483*I483</f>
      </c>
      <c r="Q483" s="93" t="str">
        <f>P483*'Calculation_Assumptions'!$B$14*J483*K483</f>
      </c>
      <c r="R483" s="94" t="str">
        <f>O483*N483*J483*K483</f>
      </c>
      <c r="S483" s="95" t="str">
        <f>R483-Q483</f>
      </c>
      <c r="T483" s="96" t="str">
        <f>1/(1+'Calculation_Assumptions'!$B$8)^(B483-'Calculation_Assumptions'!$B$2)</f>
      </c>
      <c r="U483" s="97" t="str">
        <f>Q483*T483</f>
      </c>
      <c r="V483" s="98" t="str">
        <f>R483*T483</f>
      </c>
      <c r="W483" s="99" t="str">
        <f>S483*T483</f>
      </c>
      <c r="X483" t="n">
        <v>0</v>
      </c>
      <c r="Y483" s="100" t="n">
        <v>2017</v>
      </c>
      <c r="Z483" t="s">
        <v>389</v>
      </c>
      <c r="AA483" s="101" t="str">
        <f>IF(G483="shared-count-once",COUNTIFS($A$2:$A$807,A483,$B$2:$B$807,B483,$D$2:$D$807,D483),1)</f>
      </c>
    </row>
    <row r="484">
      <c r="A484" t="s">
        <v>207</v>
      </c>
      <c r="B484" s="79" t="n">
        <v>2039</v>
      </c>
      <c r="C484" t="s">
        <v>226</v>
      </c>
      <c r="D484" s="80" t="s">
        <v>401</v>
      </c>
      <c r="E484" s="81" t="s">
        <v>402</v>
      </c>
      <c r="F484" s="82" t="s">
        <v>229</v>
      </c>
      <c r="G484" s="83" t="s">
        <v>395</v>
      </c>
      <c r="H484" s="84" t="s">
        <v>386</v>
      </c>
      <c r="I484" s="85" t="n">
        <v>1</v>
      </c>
      <c r="J484" s="86" t="n">
        <v>1</v>
      </c>
      <c r="K484" s="87" t="n">
        <v>0.008775</v>
      </c>
      <c r="L484" s="88" t="n">
        <v>312962572.337073</v>
      </c>
      <c r="M484" s="89" t="n">
        <v>312806989.715685</v>
      </c>
      <c r="N484" s="90" t="str">
        <f>MIN(MAX((B484-'Calculation_Assumptions'!$B$5+1)/'Calculation_Assumptions'!$B$7,0),1)</f>
      </c>
      <c r="O484" s="91" t="str">
        <f>L484*I484</f>
      </c>
      <c r="P484" s="92" t="str">
        <f>M484*I484</f>
      </c>
      <c r="Q484" s="93" t="str">
        <f>P484*'Calculation_Assumptions'!$B$14*J484*K484</f>
      </c>
      <c r="R484" s="94" t="str">
        <f>O484*N484*J484*K484</f>
      </c>
      <c r="S484" s="95" t="str">
        <f>R484-Q484</f>
      </c>
      <c r="T484" s="96" t="str">
        <f>1/(1+'Calculation_Assumptions'!$B$8)^(B484-'Calculation_Assumptions'!$B$2)</f>
      </c>
      <c r="U484" s="97" t="str">
        <f>Q484*T484</f>
      </c>
      <c r="V484" s="98" t="str">
        <f>R484*T484</f>
      </c>
      <c r="W484" s="99" t="str">
        <f>S484*T484</f>
      </c>
      <c r="X484" t="n">
        <v>0</v>
      </c>
      <c r="Y484" s="100" t="n">
        <v>2017</v>
      </c>
      <c r="Z484" t="s">
        <v>389</v>
      </c>
      <c r="AA484" s="101" t="str">
        <f>IF(G484="shared-count-once",COUNTIFS($A$2:$A$807,A484,$B$2:$B$807,B484,$D$2:$D$807,D484),1)</f>
      </c>
    </row>
    <row r="485">
      <c r="A485" t="s">
        <v>207</v>
      </c>
      <c r="B485" s="79" t="n">
        <v>2040</v>
      </c>
      <c r="C485" t="s">
        <v>226</v>
      </c>
      <c r="D485" s="80" t="s">
        <v>401</v>
      </c>
      <c r="E485" s="81" t="s">
        <v>402</v>
      </c>
      <c r="F485" s="82" t="s">
        <v>229</v>
      </c>
      <c r="G485" s="83" t="s">
        <v>395</v>
      </c>
      <c r="H485" s="84" t="s">
        <v>386</v>
      </c>
      <c r="I485" s="85" t="n">
        <v>1</v>
      </c>
      <c r="J485" s="86" t="n">
        <v>1</v>
      </c>
      <c r="K485" s="87" t="n">
        <v>0.008775</v>
      </c>
      <c r="L485" s="88" t="n">
        <v>314297753.303811</v>
      </c>
      <c r="M485" s="89" t="n">
        <v>314109251.582649</v>
      </c>
      <c r="N485" s="90" t="str">
        <f>MIN(MAX((B485-'Calculation_Assumptions'!$B$5+1)/'Calculation_Assumptions'!$B$7,0),1)</f>
      </c>
      <c r="O485" s="91" t="str">
        <f>L485*I485</f>
      </c>
      <c r="P485" s="92" t="str">
        <f>M485*I485</f>
      </c>
      <c r="Q485" s="93" t="str">
        <f>P485*'Calculation_Assumptions'!$B$14*J485*K485</f>
      </c>
      <c r="R485" s="94" t="str">
        <f>O485*N485*J485*K485</f>
      </c>
      <c r="S485" s="95" t="str">
        <f>R485-Q485</f>
      </c>
      <c r="T485" s="96" t="str">
        <f>1/(1+'Calculation_Assumptions'!$B$8)^(B485-'Calculation_Assumptions'!$B$2)</f>
      </c>
      <c r="U485" s="97" t="str">
        <f>Q485*T485</f>
      </c>
      <c r="V485" s="98" t="str">
        <f>R485*T485</f>
      </c>
      <c r="W485" s="99" t="str">
        <f>S485*T485</f>
      </c>
      <c r="X485" t="n">
        <v>0</v>
      </c>
      <c r="Y485" s="100" t="n">
        <v>2017</v>
      </c>
      <c r="Z485" t="s">
        <v>389</v>
      </c>
      <c r="AA485" s="101" t="str">
        <f>IF(G485="shared-count-once",COUNTIFS($A$2:$A$807,A485,$B$2:$B$807,B485,$D$2:$D$807,D485),1)</f>
      </c>
    </row>
    <row r="486">
      <c r="A486" t="s">
        <v>207</v>
      </c>
      <c r="B486" s="79" t="n">
        <v>2041</v>
      </c>
      <c r="C486" t="s">
        <v>226</v>
      </c>
      <c r="D486" s="80" t="s">
        <v>401</v>
      </c>
      <c r="E486" s="81" t="s">
        <v>402</v>
      </c>
      <c r="F486" s="82" t="s">
        <v>229</v>
      </c>
      <c r="G486" s="83" t="s">
        <v>395</v>
      </c>
      <c r="H486" s="84" t="s">
        <v>386</v>
      </c>
      <c r="I486" s="85" t="n">
        <v>1</v>
      </c>
      <c r="J486" s="86" t="n">
        <v>1</v>
      </c>
      <c r="K486" s="87" t="n">
        <v>0.008775</v>
      </c>
      <c r="L486" s="88" t="n">
        <v>315574254.910176</v>
      </c>
      <c r="M486" s="89" t="n">
        <v>315352079.812423</v>
      </c>
      <c r="N486" s="90" t="str">
        <f>MIN(MAX((B486-'Calculation_Assumptions'!$B$5+1)/'Calculation_Assumptions'!$B$7,0),1)</f>
      </c>
      <c r="O486" s="91" t="str">
        <f>L486*I486</f>
      </c>
      <c r="P486" s="92" t="str">
        <f>M486*I486</f>
      </c>
      <c r="Q486" s="93" t="str">
        <f>P486*'Calculation_Assumptions'!$B$14*J486*K486</f>
      </c>
      <c r="R486" s="94" t="str">
        <f>O486*N486*J486*K486</f>
      </c>
      <c r="S486" s="95" t="str">
        <f>R486-Q486</f>
      </c>
      <c r="T486" s="96" t="str">
        <f>1/(1+'Calculation_Assumptions'!$B$8)^(B486-'Calculation_Assumptions'!$B$2)</f>
      </c>
      <c r="U486" s="97" t="str">
        <f>Q486*T486</f>
      </c>
      <c r="V486" s="98" t="str">
        <f>R486*T486</f>
      </c>
      <c r="W486" s="99" t="str">
        <f>S486*T486</f>
      </c>
      <c r="X486" t="n">
        <v>0</v>
      </c>
      <c r="Y486" s="100" t="n">
        <v>2017</v>
      </c>
      <c r="Z486" t="s">
        <v>389</v>
      </c>
      <c r="AA486" s="101" t="str">
        <f>IF(G486="shared-count-once",COUNTIFS($A$2:$A$807,A486,$B$2:$B$807,B486,$D$2:$D$807,D486),1)</f>
      </c>
    </row>
    <row r="487">
      <c r="A487" t="s">
        <v>207</v>
      </c>
      <c r="B487" s="79" t="n">
        <v>2042</v>
      </c>
      <c r="C487" t="s">
        <v>226</v>
      </c>
      <c r="D487" s="80" t="s">
        <v>401</v>
      </c>
      <c r="E487" s="81" t="s">
        <v>402</v>
      </c>
      <c r="F487" s="82" t="s">
        <v>229</v>
      </c>
      <c r="G487" s="83" t="s">
        <v>395</v>
      </c>
      <c r="H487" s="84" t="s">
        <v>386</v>
      </c>
      <c r="I487" s="85" t="n">
        <v>1</v>
      </c>
      <c r="J487" s="86" t="n">
        <v>1</v>
      </c>
      <c r="K487" s="87" t="n">
        <v>0.008775</v>
      </c>
      <c r="L487" s="88" t="n">
        <v>316792723.043932</v>
      </c>
      <c r="M487" s="89" t="n">
        <v>316395286.312016</v>
      </c>
      <c r="N487" s="90" t="str">
        <f>MIN(MAX((B487-'Calculation_Assumptions'!$B$5+1)/'Calculation_Assumptions'!$B$7,0),1)</f>
      </c>
      <c r="O487" s="91" t="str">
        <f>L487*I487</f>
      </c>
      <c r="P487" s="92" t="str">
        <f>M487*I487</f>
      </c>
      <c r="Q487" s="93" t="str">
        <f>P487*'Calculation_Assumptions'!$B$14*J487*K487</f>
      </c>
      <c r="R487" s="94" t="str">
        <f>O487*N487*J487*K487</f>
      </c>
      <c r="S487" s="95" t="str">
        <f>R487-Q487</f>
      </c>
      <c r="T487" s="96" t="str">
        <f>1/(1+'Calculation_Assumptions'!$B$8)^(B487-'Calculation_Assumptions'!$B$2)</f>
      </c>
      <c r="U487" s="97" t="str">
        <f>Q487*T487</f>
      </c>
      <c r="V487" s="98" t="str">
        <f>R487*T487</f>
      </c>
      <c r="W487" s="99" t="str">
        <f>S487*T487</f>
      </c>
      <c r="X487" t="n">
        <v>0</v>
      </c>
      <c r="Y487" s="100" t="n">
        <v>2017</v>
      </c>
      <c r="Z487" t="s">
        <v>389</v>
      </c>
      <c r="AA487" s="101" t="str">
        <f>IF(G487="shared-count-once",COUNTIFS($A$2:$A$807,A487,$B$2:$B$807,B487,$D$2:$D$807,D487),1)</f>
      </c>
    </row>
    <row r="488">
      <c r="A488" t="s">
        <v>207</v>
      </c>
      <c r="B488" s="79" t="n">
        <v>2043</v>
      </c>
      <c r="C488" t="s">
        <v>226</v>
      </c>
      <c r="D488" s="80" t="s">
        <v>401</v>
      </c>
      <c r="E488" s="81" t="s">
        <v>402</v>
      </c>
      <c r="F488" s="82" t="s">
        <v>229</v>
      </c>
      <c r="G488" s="83" t="s">
        <v>395</v>
      </c>
      <c r="H488" s="84" t="s">
        <v>386</v>
      </c>
      <c r="I488" s="85" t="n">
        <v>1</v>
      </c>
      <c r="J488" s="86" t="n">
        <v>1</v>
      </c>
      <c r="K488" s="87" t="n">
        <v>0.008775</v>
      </c>
      <c r="L488" s="88" t="n">
        <v>318061619.430722</v>
      </c>
      <c r="M488" s="89" t="n">
        <v>317619735.688289</v>
      </c>
      <c r="N488" s="90" t="str">
        <f>MIN(MAX((B488-'Calculation_Assumptions'!$B$5+1)/'Calculation_Assumptions'!$B$7,0),1)</f>
      </c>
      <c r="O488" s="91" t="str">
        <f>L488*I488</f>
      </c>
      <c r="P488" s="92" t="str">
        <f>M488*I488</f>
      </c>
      <c r="Q488" s="93" t="str">
        <f>P488*'Calculation_Assumptions'!$B$14*J488*K488</f>
      </c>
      <c r="R488" s="94" t="str">
        <f>O488*N488*J488*K488</f>
      </c>
      <c r="S488" s="95" t="str">
        <f>R488-Q488</f>
      </c>
      <c r="T488" s="96" t="str">
        <f>1/(1+'Calculation_Assumptions'!$B$8)^(B488-'Calculation_Assumptions'!$B$2)</f>
      </c>
      <c r="U488" s="97" t="str">
        <f>Q488*T488</f>
      </c>
      <c r="V488" s="98" t="str">
        <f>R488*T488</f>
      </c>
      <c r="W488" s="99" t="str">
        <f>S488*T488</f>
      </c>
      <c r="X488" t="n">
        <v>0</v>
      </c>
      <c r="Y488" s="100" t="n">
        <v>2017</v>
      </c>
      <c r="Z488" t="s">
        <v>389</v>
      </c>
      <c r="AA488" s="101" t="str">
        <f>IF(G488="shared-count-once",COUNTIFS($A$2:$A$807,A488,$B$2:$B$807,B488,$D$2:$D$807,D488),1)</f>
      </c>
    </row>
    <row r="489">
      <c r="A489" t="s">
        <v>207</v>
      </c>
      <c r="B489" s="79" t="n">
        <v>2044</v>
      </c>
      <c r="C489" t="s">
        <v>226</v>
      </c>
      <c r="D489" s="80" t="s">
        <v>401</v>
      </c>
      <c r="E489" s="81" t="s">
        <v>402</v>
      </c>
      <c r="F489" s="82" t="s">
        <v>229</v>
      </c>
      <c r="G489" s="83" t="s">
        <v>395</v>
      </c>
      <c r="H489" s="84" t="s">
        <v>386</v>
      </c>
      <c r="I489" s="85" t="n">
        <v>1</v>
      </c>
      <c r="J489" s="86" t="n">
        <v>1</v>
      </c>
      <c r="K489" s="87" t="n">
        <v>0.008775</v>
      </c>
      <c r="L489" s="88" t="n">
        <v>319178928.466973</v>
      </c>
      <c r="M489" s="89" t="n">
        <v>318697135.863652</v>
      </c>
      <c r="N489" s="90" t="str">
        <f>MIN(MAX((B489-'Calculation_Assumptions'!$B$5+1)/'Calculation_Assumptions'!$B$7,0),1)</f>
      </c>
      <c r="O489" s="91" t="str">
        <f>L489*I489</f>
      </c>
      <c r="P489" s="92" t="str">
        <f>M489*I489</f>
      </c>
      <c r="Q489" s="93" t="str">
        <f>P489*'Calculation_Assumptions'!$B$14*J489*K489</f>
      </c>
      <c r="R489" s="94" t="str">
        <f>O489*N489*J489*K489</f>
      </c>
      <c r="S489" s="95" t="str">
        <f>R489-Q489</f>
      </c>
      <c r="T489" s="96" t="str">
        <f>1/(1+'Calculation_Assumptions'!$B$8)^(B489-'Calculation_Assumptions'!$B$2)</f>
      </c>
      <c r="U489" s="97" t="str">
        <f>Q489*T489</f>
      </c>
      <c r="V489" s="98" t="str">
        <f>R489*T489</f>
      </c>
      <c r="W489" s="99" t="str">
        <f>S489*T489</f>
      </c>
      <c r="X489" t="n">
        <v>0</v>
      </c>
      <c r="Y489" s="100" t="n">
        <v>2017</v>
      </c>
      <c r="Z489" t="s">
        <v>389</v>
      </c>
      <c r="AA489" s="101" t="str">
        <f>IF(G489="shared-count-once",COUNTIFS($A$2:$A$807,A489,$B$2:$B$807,B489,$D$2:$D$807,D489),1)</f>
      </c>
    </row>
    <row r="490">
      <c r="A490" t="s">
        <v>207</v>
      </c>
      <c r="B490" s="79" t="n">
        <v>2045</v>
      </c>
      <c r="C490" t="s">
        <v>226</v>
      </c>
      <c r="D490" s="80" t="s">
        <v>401</v>
      </c>
      <c r="E490" s="81" t="s">
        <v>402</v>
      </c>
      <c r="F490" s="82" t="s">
        <v>229</v>
      </c>
      <c r="G490" s="83" t="s">
        <v>395</v>
      </c>
      <c r="H490" s="84" t="s">
        <v>386</v>
      </c>
      <c r="I490" s="85" t="n">
        <v>1</v>
      </c>
      <c r="J490" s="86" t="n">
        <v>1</v>
      </c>
      <c r="K490" s="87" t="n">
        <v>0.008775</v>
      </c>
      <c r="L490" s="88" t="n">
        <v>320239528.676681</v>
      </c>
      <c r="M490" s="89" t="n">
        <v>319717840.85179</v>
      </c>
      <c r="N490" s="90" t="str">
        <f>MIN(MAX((B490-'Calculation_Assumptions'!$B$5+1)/'Calculation_Assumptions'!$B$7,0),1)</f>
      </c>
      <c r="O490" s="91" t="str">
        <f>L490*I490</f>
      </c>
      <c r="P490" s="92" t="str">
        <f>M490*I490</f>
      </c>
      <c r="Q490" s="93" t="str">
        <f>P490*'Calculation_Assumptions'!$B$14*J490*K490</f>
      </c>
      <c r="R490" s="94" t="str">
        <f>O490*N490*J490*K490</f>
      </c>
      <c r="S490" s="95" t="str">
        <f>R490-Q490</f>
      </c>
      <c r="T490" s="96" t="str">
        <f>1/(1+'Calculation_Assumptions'!$B$8)^(B490-'Calculation_Assumptions'!$B$2)</f>
      </c>
      <c r="U490" s="97" t="str">
        <f>Q490*T490</f>
      </c>
      <c r="V490" s="98" t="str">
        <f>R490*T490</f>
      </c>
      <c r="W490" s="99" t="str">
        <f>S490*T490</f>
      </c>
      <c r="X490" t="n">
        <v>0</v>
      </c>
      <c r="Y490" s="100" t="n">
        <v>2017</v>
      </c>
      <c r="Z490" t="s">
        <v>389</v>
      </c>
      <c r="AA490" s="101" t="str">
        <f>IF(G490="shared-count-once",COUNTIFS($A$2:$A$807,A490,$B$2:$B$807,B490,$D$2:$D$807,D490),1)</f>
      </c>
    </row>
    <row r="491">
      <c r="A491" t="s">
        <v>207</v>
      </c>
      <c r="B491" s="79" t="n">
        <v>2046</v>
      </c>
      <c r="C491" t="s">
        <v>226</v>
      </c>
      <c r="D491" s="80" t="s">
        <v>401</v>
      </c>
      <c r="E491" s="81" t="s">
        <v>402</v>
      </c>
      <c r="F491" s="82" t="s">
        <v>229</v>
      </c>
      <c r="G491" s="83" t="s">
        <v>395</v>
      </c>
      <c r="H491" s="84" t="s">
        <v>386</v>
      </c>
      <c r="I491" s="85" t="n">
        <v>1</v>
      </c>
      <c r="J491" s="86" t="n">
        <v>1</v>
      </c>
      <c r="K491" s="87" t="n">
        <v>0.008775</v>
      </c>
      <c r="L491" s="88" t="n">
        <v>321245351.030761</v>
      </c>
      <c r="M491" s="89" t="n">
        <v>320683879.806276</v>
      </c>
      <c r="N491" s="90" t="str">
        <f>MIN(MAX((B491-'Calculation_Assumptions'!$B$5+1)/'Calculation_Assumptions'!$B$7,0),1)</f>
      </c>
      <c r="O491" s="91" t="str">
        <f>L491*I491</f>
      </c>
      <c r="P491" s="92" t="str">
        <f>M491*I491</f>
      </c>
      <c r="Q491" s="93" t="str">
        <f>P491*'Calculation_Assumptions'!$B$14*J491*K491</f>
      </c>
      <c r="R491" s="94" t="str">
        <f>O491*N491*J491*K491</f>
      </c>
      <c r="S491" s="95" t="str">
        <f>R491-Q491</f>
      </c>
      <c r="T491" s="96" t="str">
        <f>1/(1+'Calculation_Assumptions'!$B$8)^(B491-'Calculation_Assumptions'!$B$2)</f>
      </c>
      <c r="U491" s="97" t="str">
        <f>Q491*T491</f>
      </c>
      <c r="V491" s="98" t="str">
        <f>R491*T491</f>
      </c>
      <c r="W491" s="99" t="str">
        <f>S491*T491</f>
      </c>
      <c r="X491" t="n">
        <v>0</v>
      </c>
      <c r="Y491" s="100" t="n">
        <v>2017</v>
      </c>
      <c r="Z491" t="s">
        <v>389</v>
      </c>
      <c r="AA491" s="101" t="str">
        <f>IF(G491="shared-count-once",COUNTIFS($A$2:$A$807,A491,$B$2:$B$807,B491,$D$2:$D$807,D491),1)</f>
      </c>
    </row>
    <row r="492">
      <c r="A492" t="s">
        <v>207</v>
      </c>
      <c r="B492" s="79" t="n">
        <v>2047</v>
      </c>
      <c r="C492" t="s">
        <v>226</v>
      </c>
      <c r="D492" s="80" t="s">
        <v>401</v>
      </c>
      <c r="E492" s="81" t="s">
        <v>402</v>
      </c>
      <c r="F492" s="82" t="s">
        <v>229</v>
      </c>
      <c r="G492" s="83" t="s">
        <v>395</v>
      </c>
      <c r="H492" s="84" t="s">
        <v>386</v>
      </c>
      <c r="I492" s="85" t="n">
        <v>1</v>
      </c>
      <c r="J492" s="86" t="n">
        <v>1</v>
      </c>
      <c r="K492" s="87" t="n">
        <v>0.008775</v>
      </c>
      <c r="L492" s="88" t="n">
        <v>322196532.836748</v>
      </c>
      <c r="M492" s="89" t="n">
        <v>321595541.389526</v>
      </c>
      <c r="N492" s="90" t="str">
        <f>MIN(MAX((B492-'Calculation_Assumptions'!$B$5+1)/'Calculation_Assumptions'!$B$7,0),1)</f>
      </c>
      <c r="O492" s="91" t="str">
        <f>L492*I492</f>
      </c>
      <c r="P492" s="92" t="str">
        <f>M492*I492</f>
      </c>
      <c r="Q492" s="93" t="str">
        <f>P492*'Calculation_Assumptions'!$B$14*J492*K492</f>
      </c>
      <c r="R492" s="94" t="str">
        <f>O492*N492*J492*K492</f>
      </c>
      <c r="S492" s="95" t="str">
        <f>R492-Q492</f>
      </c>
      <c r="T492" s="96" t="str">
        <f>1/(1+'Calculation_Assumptions'!$B$8)^(B492-'Calculation_Assumptions'!$B$2)</f>
      </c>
      <c r="U492" s="97" t="str">
        <f>Q492*T492</f>
      </c>
      <c r="V492" s="98" t="str">
        <f>R492*T492</f>
      </c>
      <c r="W492" s="99" t="str">
        <f>S492*T492</f>
      </c>
      <c r="X492" t="n">
        <v>0</v>
      </c>
      <c r="Y492" s="100" t="n">
        <v>2017</v>
      </c>
      <c r="Z492" t="s">
        <v>389</v>
      </c>
      <c r="AA492" s="101" t="str">
        <f>IF(G492="shared-count-once",COUNTIFS($A$2:$A$807,A492,$B$2:$B$807,B492,$D$2:$D$807,D492),1)</f>
      </c>
    </row>
    <row r="493">
      <c r="A493" t="s">
        <v>207</v>
      </c>
      <c r="B493" s="79" t="n">
        <v>2048</v>
      </c>
      <c r="C493" t="s">
        <v>226</v>
      </c>
      <c r="D493" s="80" t="s">
        <v>401</v>
      </c>
      <c r="E493" s="81" t="s">
        <v>402</v>
      </c>
      <c r="F493" s="82" t="s">
        <v>229</v>
      </c>
      <c r="G493" s="83" t="s">
        <v>395</v>
      </c>
      <c r="H493" s="84" t="s">
        <v>386</v>
      </c>
      <c r="I493" s="85" t="n">
        <v>1</v>
      </c>
      <c r="J493" s="86" t="n">
        <v>1</v>
      </c>
      <c r="K493" s="87" t="n">
        <v>0.008775</v>
      </c>
      <c r="L493" s="88" t="n">
        <v>322905422.339843</v>
      </c>
      <c r="M493" s="89" t="n">
        <v>322453622.669464</v>
      </c>
      <c r="N493" s="90" t="str">
        <f>MIN(MAX((B493-'Calculation_Assumptions'!$B$5+1)/'Calculation_Assumptions'!$B$7,0),1)</f>
      </c>
      <c r="O493" s="91" t="str">
        <f>L493*I493</f>
      </c>
      <c r="P493" s="92" t="str">
        <f>M493*I493</f>
      </c>
      <c r="Q493" s="93" t="str">
        <f>P493*'Calculation_Assumptions'!$B$14*J493*K493</f>
      </c>
      <c r="R493" s="94" t="str">
        <f>O493*N493*J493*K493</f>
      </c>
      <c r="S493" s="95" t="str">
        <f>R493-Q493</f>
      </c>
      <c r="T493" s="96" t="str">
        <f>1/(1+'Calculation_Assumptions'!$B$8)^(B493-'Calculation_Assumptions'!$B$2)</f>
      </c>
      <c r="U493" s="97" t="str">
        <f>Q493*T493</f>
      </c>
      <c r="V493" s="98" t="str">
        <f>R493*T493</f>
      </c>
      <c r="W493" s="99" t="str">
        <f>S493*T493</f>
      </c>
      <c r="X493" t="n">
        <v>0</v>
      </c>
      <c r="Y493" s="100" t="n">
        <v>2017</v>
      </c>
      <c r="Z493" t="s">
        <v>389</v>
      </c>
      <c r="AA493" s="101" t="str">
        <f>IF(G493="shared-count-once",COUNTIFS($A$2:$A$807,A493,$B$2:$B$807,B493,$D$2:$D$807,D493),1)</f>
      </c>
    </row>
    <row r="494">
      <c r="A494" t="s">
        <v>207</v>
      </c>
      <c r="B494" s="79" t="n">
        <v>2049</v>
      </c>
      <c r="C494" t="s">
        <v>226</v>
      </c>
      <c r="D494" s="80" t="s">
        <v>401</v>
      </c>
      <c r="E494" s="81" t="s">
        <v>402</v>
      </c>
      <c r="F494" s="82" t="s">
        <v>229</v>
      </c>
      <c r="G494" s="83" t="s">
        <v>395</v>
      </c>
      <c r="H494" s="84" t="s">
        <v>386</v>
      </c>
      <c r="I494" s="85" t="n">
        <v>1</v>
      </c>
      <c r="J494" s="86" t="n">
        <v>1</v>
      </c>
      <c r="K494" s="87" t="n">
        <v>0.008775</v>
      </c>
      <c r="L494" s="88" t="n">
        <v>323738781.157843</v>
      </c>
      <c r="M494" s="89" t="n">
        <v>323259246.716719</v>
      </c>
      <c r="N494" s="90" t="str">
        <f>MIN(MAX((B494-'Calculation_Assumptions'!$B$5+1)/'Calculation_Assumptions'!$B$7,0),1)</f>
      </c>
      <c r="O494" s="91" t="str">
        <f>L494*I494</f>
      </c>
      <c r="P494" s="92" t="str">
        <f>M494*I494</f>
      </c>
      <c r="Q494" s="93" t="str">
        <f>P494*'Calculation_Assumptions'!$B$14*J494*K494</f>
      </c>
      <c r="R494" s="94" t="str">
        <f>O494*N494*J494*K494</f>
      </c>
      <c r="S494" s="95" t="str">
        <f>R494-Q494</f>
      </c>
      <c r="T494" s="96" t="str">
        <f>1/(1+'Calculation_Assumptions'!$B$8)^(B494-'Calculation_Assumptions'!$B$2)</f>
      </c>
      <c r="U494" s="97" t="str">
        <f>Q494*T494</f>
      </c>
      <c r="V494" s="98" t="str">
        <f>R494*T494</f>
      </c>
      <c r="W494" s="99" t="str">
        <f>S494*T494</f>
      </c>
      <c r="X494" t="n">
        <v>0</v>
      </c>
      <c r="Y494" s="100" t="n">
        <v>2017</v>
      </c>
      <c r="Z494" t="s">
        <v>389</v>
      </c>
      <c r="AA494" s="101" t="str">
        <f>IF(G494="shared-count-once",COUNTIFS($A$2:$A$807,A494,$B$2:$B$807,B494,$D$2:$D$807,D494),1)</f>
      </c>
    </row>
    <row r="495">
      <c r="A495" t="s">
        <v>207</v>
      </c>
      <c r="B495" s="79" t="n">
        <v>2050</v>
      </c>
      <c r="C495" t="s">
        <v>226</v>
      </c>
      <c r="D495" s="80" t="s">
        <v>401</v>
      </c>
      <c r="E495" s="81" t="s">
        <v>402</v>
      </c>
      <c r="F495" s="82" t="s">
        <v>229</v>
      </c>
      <c r="G495" s="83" t="s">
        <v>395</v>
      </c>
      <c r="H495" s="84" t="s">
        <v>386</v>
      </c>
      <c r="I495" s="85" t="n">
        <v>1</v>
      </c>
      <c r="J495" s="86" t="n">
        <v>1</v>
      </c>
      <c r="K495" s="87" t="n">
        <v>0.008775</v>
      </c>
      <c r="L495" s="88" t="n">
        <v>324519557.566742</v>
      </c>
      <c r="M495" s="89" t="n">
        <v>324013738.182479</v>
      </c>
      <c r="N495" s="90" t="str">
        <f>MIN(MAX((B495-'Calculation_Assumptions'!$B$5+1)/'Calculation_Assumptions'!$B$7,0),1)</f>
      </c>
      <c r="O495" s="91" t="str">
        <f>L495*I495</f>
      </c>
      <c r="P495" s="92" t="str">
        <f>M495*I495</f>
      </c>
      <c r="Q495" s="93" t="str">
        <f>P495*'Calculation_Assumptions'!$B$14*J495*K495</f>
      </c>
      <c r="R495" s="94" t="str">
        <f>O495*N495*J495*K495</f>
      </c>
      <c r="S495" s="95" t="str">
        <f>R495-Q495</f>
      </c>
      <c r="T495" s="96" t="str">
        <f>1/(1+'Calculation_Assumptions'!$B$8)^(B495-'Calculation_Assumptions'!$B$2)</f>
      </c>
      <c r="U495" s="97" t="str">
        <f>Q495*T495</f>
      </c>
      <c r="V495" s="98" t="str">
        <f>R495*T495</f>
      </c>
      <c r="W495" s="99" t="str">
        <f>S495*T495</f>
      </c>
      <c r="X495" t="n">
        <v>0</v>
      </c>
      <c r="Y495" s="100" t="n">
        <v>2017</v>
      </c>
      <c r="Z495" t="s">
        <v>389</v>
      </c>
      <c r="AA495" s="101" t="str">
        <f>IF(G495="shared-count-once",COUNTIFS($A$2:$A$807,A495,$B$2:$B$807,B495,$D$2:$D$807,D495),1)</f>
      </c>
    </row>
    <row r="496">
      <c r="A496" t="s">
        <v>76</v>
      </c>
      <c r="B496" s="79" t="n">
        <v>2025</v>
      </c>
      <c r="C496" t="s">
        <v>171</v>
      </c>
      <c r="D496" s="80" t="s">
        <v>382</v>
      </c>
      <c r="E496" s="81" t="s">
        <v>383</v>
      </c>
      <c r="F496" s="82" t="s">
        <v>179</v>
      </c>
      <c r="G496" s="83" t="s">
        <v>384</v>
      </c>
      <c r="H496" s="84" t="s">
        <v>386</v>
      </c>
      <c r="I496" s="85" t="n">
        <v>1</v>
      </c>
      <c r="J496" s="86" t="n">
        <v>1</v>
      </c>
      <c r="K496" s="87" t="n">
        <v>0.0056</v>
      </c>
      <c r="L496" s="88" t="n">
        <v>288000821.106462</v>
      </c>
      <c r="M496" s="89" t="n">
        <v>288000821.106462</v>
      </c>
      <c r="N496" s="90" t="str">
        <f>MIN(MAX((B496-'Calculation_Assumptions'!$B$5+1)/'Calculation_Assumptions'!$B$7,0),1)</f>
      </c>
      <c r="O496" s="91" t="str">
        <f>L496*I496</f>
      </c>
      <c r="P496" s="92" t="str">
        <f>M496*I496</f>
      </c>
      <c r="Q496" s="93" t="str">
        <f>P496*'Calculation_Assumptions'!$B$14*J496*K496</f>
      </c>
      <c r="R496" s="94" t="str">
        <f>O496*N496*J496*K496</f>
      </c>
      <c r="S496" s="95" t="str">
        <f>R496-Q496</f>
      </c>
      <c r="T496" s="96" t="str">
        <f>1/(1+'Calculation_Assumptions'!$B$8)^(B496-'Calculation_Assumptions'!$B$2)</f>
      </c>
      <c r="U496" s="97" t="str">
        <f>Q496*T496</f>
      </c>
      <c r="V496" s="98" t="str">
        <f>R496*T496</f>
      </c>
      <c r="W496" s="99" t="str">
        <f>S496*T496</f>
      </c>
      <c r="X496" t="n">
        <v>0</v>
      </c>
      <c r="Y496" s="100" t="n">
        <v>2017</v>
      </c>
      <c r="Z496" t="s">
        <v>389</v>
      </c>
      <c r="AA496" s="101" t="str">
        <f>IF(G496="shared-count-once",COUNTIFS($A$2:$A$807,A496,$B$2:$B$807,B496,$D$2:$D$807,D496),1)</f>
      </c>
    </row>
    <row r="497">
      <c r="A497" t="s">
        <v>76</v>
      </c>
      <c r="B497" s="79" t="n">
        <v>2026</v>
      </c>
      <c r="C497" t="s">
        <v>171</v>
      </c>
      <c r="D497" s="80" t="s">
        <v>382</v>
      </c>
      <c r="E497" s="81" t="s">
        <v>383</v>
      </c>
      <c r="F497" s="82" t="s">
        <v>179</v>
      </c>
      <c r="G497" s="83" t="s">
        <v>384</v>
      </c>
      <c r="H497" s="84" t="s">
        <v>386</v>
      </c>
      <c r="I497" s="85" t="n">
        <v>1</v>
      </c>
      <c r="J497" s="86" t="n">
        <v>1</v>
      </c>
      <c r="K497" s="87" t="n">
        <v>0.0056</v>
      </c>
      <c r="L497" s="88" t="n">
        <v>290123496.103219</v>
      </c>
      <c r="M497" s="89" t="n">
        <v>290123496.103219</v>
      </c>
      <c r="N497" s="90" t="str">
        <f>MIN(MAX((B497-'Calculation_Assumptions'!$B$5+1)/'Calculation_Assumptions'!$B$7,0),1)</f>
      </c>
      <c r="O497" s="91" t="str">
        <f>L497*I497</f>
      </c>
      <c r="P497" s="92" t="str">
        <f>M497*I497</f>
      </c>
      <c r="Q497" s="93" t="str">
        <f>P497*'Calculation_Assumptions'!$B$14*J497*K497</f>
      </c>
      <c r="R497" s="94" t="str">
        <f>O497*N497*J497*K497</f>
      </c>
      <c r="S497" s="95" t="str">
        <f>R497-Q497</f>
      </c>
      <c r="T497" s="96" t="str">
        <f>1/(1+'Calculation_Assumptions'!$B$8)^(B497-'Calculation_Assumptions'!$B$2)</f>
      </c>
      <c r="U497" s="97" t="str">
        <f>Q497*T497</f>
      </c>
      <c r="V497" s="98" t="str">
        <f>R497*T497</f>
      </c>
      <c r="W497" s="99" t="str">
        <f>S497*T497</f>
      </c>
      <c r="X497" t="n">
        <v>0</v>
      </c>
      <c r="Y497" s="100" t="n">
        <v>2017</v>
      </c>
      <c r="Z497" t="s">
        <v>389</v>
      </c>
      <c r="AA497" s="101" t="str">
        <f>IF(G497="shared-count-once",COUNTIFS($A$2:$A$807,A497,$B$2:$B$807,B497,$D$2:$D$807,D497),1)</f>
      </c>
    </row>
    <row r="498">
      <c r="A498" t="s">
        <v>76</v>
      </c>
      <c r="B498" s="79" t="n">
        <v>2027</v>
      </c>
      <c r="C498" t="s">
        <v>171</v>
      </c>
      <c r="D498" s="80" t="s">
        <v>382</v>
      </c>
      <c r="E498" s="81" t="s">
        <v>383</v>
      </c>
      <c r="F498" s="82" t="s">
        <v>179</v>
      </c>
      <c r="G498" s="83" t="s">
        <v>384</v>
      </c>
      <c r="H498" s="84" t="s">
        <v>386</v>
      </c>
      <c r="I498" s="85" t="n">
        <v>1</v>
      </c>
      <c r="J498" s="86" t="n">
        <v>1</v>
      </c>
      <c r="K498" s="87" t="n">
        <v>0.0056</v>
      </c>
      <c r="L498" s="88" t="n">
        <v>292252895.096956</v>
      </c>
      <c r="M498" s="89" t="n">
        <v>292252895.096956</v>
      </c>
      <c r="N498" s="90" t="str">
        <f>MIN(MAX((B498-'Calculation_Assumptions'!$B$5+1)/'Calculation_Assumptions'!$B$7,0),1)</f>
      </c>
      <c r="O498" s="91" t="str">
        <f>L498*I498</f>
      </c>
      <c r="P498" s="92" t="str">
        <f>M498*I498</f>
      </c>
      <c r="Q498" s="93" t="str">
        <f>P498*'Calculation_Assumptions'!$B$14*J498*K498</f>
      </c>
      <c r="R498" s="94" t="str">
        <f>O498*N498*J498*K498</f>
      </c>
      <c r="S498" s="95" t="str">
        <f>R498-Q498</f>
      </c>
      <c r="T498" s="96" t="str">
        <f>1/(1+'Calculation_Assumptions'!$B$8)^(B498-'Calculation_Assumptions'!$B$2)</f>
      </c>
      <c r="U498" s="97" t="str">
        <f>Q498*T498</f>
      </c>
      <c r="V498" s="98" t="str">
        <f>R498*T498</f>
      </c>
      <c r="W498" s="99" t="str">
        <f>S498*T498</f>
      </c>
      <c r="X498" t="n">
        <v>0</v>
      </c>
      <c r="Y498" s="100" t="n">
        <v>2017</v>
      </c>
      <c r="Z498" t="s">
        <v>389</v>
      </c>
      <c r="AA498" s="101" t="str">
        <f>IF(G498="shared-count-once",COUNTIFS($A$2:$A$807,A498,$B$2:$B$807,B498,$D$2:$D$807,D498),1)</f>
      </c>
    </row>
    <row r="499">
      <c r="A499" t="s">
        <v>76</v>
      </c>
      <c r="B499" s="79" t="n">
        <v>2028</v>
      </c>
      <c r="C499" t="s">
        <v>171</v>
      </c>
      <c r="D499" s="80" t="s">
        <v>382</v>
      </c>
      <c r="E499" s="81" t="s">
        <v>383</v>
      </c>
      <c r="F499" s="82" t="s">
        <v>179</v>
      </c>
      <c r="G499" s="83" t="s">
        <v>384</v>
      </c>
      <c r="H499" s="84" t="s">
        <v>386</v>
      </c>
      <c r="I499" s="85" t="n">
        <v>1</v>
      </c>
      <c r="J499" s="86" t="n">
        <v>1</v>
      </c>
      <c r="K499" s="87" t="n">
        <v>0.0056</v>
      </c>
      <c r="L499" s="88" t="n">
        <v>294317373.248038</v>
      </c>
      <c r="M499" s="89" t="n">
        <v>294314895.305465</v>
      </c>
      <c r="N499" s="90" t="str">
        <f>MIN(MAX((B499-'Calculation_Assumptions'!$B$5+1)/'Calculation_Assumptions'!$B$7,0),1)</f>
      </c>
      <c r="O499" s="91" t="str">
        <f>L499*I499</f>
      </c>
      <c r="P499" s="92" t="str">
        <f>M499*I499</f>
      </c>
      <c r="Q499" s="93" t="str">
        <f>P499*'Calculation_Assumptions'!$B$14*J499*K499</f>
      </c>
      <c r="R499" s="94" t="str">
        <f>O499*N499*J499*K499</f>
      </c>
      <c r="S499" s="95" t="str">
        <f>R499-Q499</f>
      </c>
      <c r="T499" s="96" t="str">
        <f>1/(1+'Calculation_Assumptions'!$B$8)^(B499-'Calculation_Assumptions'!$B$2)</f>
      </c>
      <c r="U499" s="97" t="str">
        <f>Q499*T499</f>
      </c>
      <c r="V499" s="98" t="str">
        <f>R499*T499</f>
      </c>
      <c r="W499" s="99" t="str">
        <f>S499*T499</f>
      </c>
      <c r="X499" t="n">
        <v>0</v>
      </c>
      <c r="Y499" s="100" t="n">
        <v>2017</v>
      </c>
      <c r="Z499" t="s">
        <v>389</v>
      </c>
      <c r="AA499" s="101" t="str">
        <f>IF(G499="shared-count-once",COUNTIFS($A$2:$A$807,A499,$B$2:$B$807,B499,$D$2:$D$807,D499),1)</f>
      </c>
    </row>
    <row r="500">
      <c r="A500" t="s">
        <v>76</v>
      </c>
      <c r="B500" s="79" t="n">
        <v>2029</v>
      </c>
      <c r="C500" t="s">
        <v>171</v>
      </c>
      <c r="D500" s="80" t="s">
        <v>382</v>
      </c>
      <c r="E500" s="81" t="s">
        <v>383</v>
      </c>
      <c r="F500" s="82" t="s">
        <v>179</v>
      </c>
      <c r="G500" s="83" t="s">
        <v>384</v>
      </c>
      <c r="H500" s="84" t="s">
        <v>386</v>
      </c>
      <c r="I500" s="85" t="n">
        <v>1</v>
      </c>
      <c r="J500" s="86" t="n">
        <v>1</v>
      </c>
      <c r="K500" s="87" t="n">
        <v>0.0056</v>
      </c>
      <c r="L500" s="88" t="n">
        <v>296300392.819394</v>
      </c>
      <c r="M500" s="89" t="n">
        <v>296341062.542853</v>
      </c>
      <c r="N500" s="90" t="str">
        <f>MIN(MAX((B500-'Calculation_Assumptions'!$B$5+1)/'Calculation_Assumptions'!$B$7,0),1)</f>
      </c>
      <c r="O500" s="91" t="str">
        <f>L500*I500</f>
      </c>
      <c r="P500" s="92" t="str">
        <f>M500*I500</f>
      </c>
      <c r="Q500" s="93" t="str">
        <f>P500*'Calculation_Assumptions'!$B$14*J500*K500</f>
      </c>
      <c r="R500" s="94" t="str">
        <f>O500*N500*J500*K500</f>
      </c>
      <c r="S500" s="95" t="str">
        <f>R500-Q500</f>
      </c>
      <c r="T500" s="96" t="str">
        <f>1/(1+'Calculation_Assumptions'!$B$8)^(B500-'Calculation_Assumptions'!$B$2)</f>
      </c>
      <c r="U500" s="97" t="str">
        <f>Q500*T500</f>
      </c>
      <c r="V500" s="98" t="str">
        <f>R500*T500</f>
      </c>
      <c r="W500" s="99" t="str">
        <f>S500*T500</f>
      </c>
      <c r="X500" t="n">
        <v>0</v>
      </c>
      <c r="Y500" s="100" t="n">
        <v>2017</v>
      </c>
      <c r="Z500" t="s">
        <v>389</v>
      </c>
      <c r="AA500" s="101" t="str">
        <f>IF(G500="shared-count-once",COUNTIFS($A$2:$A$807,A500,$B$2:$B$807,B500,$D$2:$D$807,D500),1)</f>
      </c>
    </row>
    <row r="501">
      <c r="A501" t="s">
        <v>76</v>
      </c>
      <c r="B501" s="79" t="n">
        <v>2030</v>
      </c>
      <c r="C501" t="s">
        <v>171</v>
      </c>
      <c r="D501" s="80" t="s">
        <v>382</v>
      </c>
      <c r="E501" s="81" t="s">
        <v>383</v>
      </c>
      <c r="F501" s="82" t="s">
        <v>179</v>
      </c>
      <c r="G501" s="83" t="s">
        <v>384</v>
      </c>
      <c r="H501" s="84" t="s">
        <v>386</v>
      </c>
      <c r="I501" s="85" t="n">
        <v>1</v>
      </c>
      <c r="J501" s="86" t="n">
        <v>1</v>
      </c>
      <c r="K501" s="87" t="n">
        <v>0.0056</v>
      </c>
      <c r="L501" s="88" t="n">
        <v>298303185.826537</v>
      </c>
      <c r="M501" s="89" t="n">
        <v>298280286.057263</v>
      </c>
      <c r="N501" s="90" t="str">
        <f>MIN(MAX((B501-'Calculation_Assumptions'!$B$5+1)/'Calculation_Assumptions'!$B$7,0),1)</f>
      </c>
      <c r="O501" s="91" t="str">
        <f>L501*I501</f>
      </c>
      <c r="P501" s="92" t="str">
        <f>M501*I501</f>
      </c>
      <c r="Q501" s="93" t="str">
        <f>P501*'Calculation_Assumptions'!$B$14*J501*K501</f>
      </c>
      <c r="R501" s="94" t="str">
        <f>O501*N501*J501*K501</f>
      </c>
      <c r="S501" s="95" t="str">
        <f>R501-Q501</f>
      </c>
      <c r="T501" s="96" t="str">
        <f>1/(1+'Calculation_Assumptions'!$B$8)^(B501-'Calculation_Assumptions'!$B$2)</f>
      </c>
      <c r="U501" s="97" t="str">
        <f>Q501*T501</f>
      </c>
      <c r="V501" s="98" t="str">
        <f>R501*T501</f>
      </c>
      <c r="W501" s="99" t="str">
        <f>S501*T501</f>
      </c>
      <c r="X501" t="n">
        <v>0</v>
      </c>
      <c r="Y501" s="100" t="n">
        <v>2017</v>
      </c>
      <c r="Z501" t="s">
        <v>389</v>
      </c>
      <c r="AA501" s="101" t="str">
        <f>IF(G501="shared-count-once",COUNTIFS($A$2:$A$807,A501,$B$2:$B$807,B501,$D$2:$D$807,D501),1)</f>
      </c>
    </row>
    <row r="502">
      <c r="A502" t="s">
        <v>76</v>
      </c>
      <c r="B502" s="79" t="n">
        <v>2031</v>
      </c>
      <c r="C502" t="s">
        <v>171</v>
      </c>
      <c r="D502" s="80" t="s">
        <v>382</v>
      </c>
      <c r="E502" s="81" t="s">
        <v>383</v>
      </c>
      <c r="F502" s="82" t="s">
        <v>179</v>
      </c>
      <c r="G502" s="83" t="s">
        <v>384</v>
      </c>
      <c r="H502" s="84" t="s">
        <v>386</v>
      </c>
      <c r="I502" s="85" t="n">
        <v>1</v>
      </c>
      <c r="J502" s="86" t="n">
        <v>1</v>
      </c>
      <c r="K502" s="87" t="n">
        <v>0.0056</v>
      </c>
      <c r="L502" s="88" t="n">
        <v>300196273.385416</v>
      </c>
      <c r="M502" s="89" t="n">
        <v>300152603.254782</v>
      </c>
      <c r="N502" s="90" t="str">
        <f>MIN(MAX((B502-'Calculation_Assumptions'!$B$5+1)/'Calculation_Assumptions'!$B$7,0),1)</f>
      </c>
      <c r="O502" s="91" t="str">
        <f>L502*I502</f>
      </c>
      <c r="P502" s="92" t="str">
        <f>M502*I502</f>
      </c>
      <c r="Q502" s="93" t="str">
        <f>P502*'Calculation_Assumptions'!$B$14*J502*K502</f>
      </c>
      <c r="R502" s="94" t="str">
        <f>O502*N502*J502*K502</f>
      </c>
      <c r="S502" s="95" t="str">
        <f>R502-Q502</f>
      </c>
      <c r="T502" s="96" t="str">
        <f>1/(1+'Calculation_Assumptions'!$B$8)^(B502-'Calculation_Assumptions'!$B$2)</f>
      </c>
      <c r="U502" s="97" t="str">
        <f>Q502*T502</f>
      </c>
      <c r="V502" s="98" t="str">
        <f>R502*T502</f>
      </c>
      <c r="W502" s="99" t="str">
        <f>S502*T502</f>
      </c>
      <c r="X502" t="n">
        <v>0</v>
      </c>
      <c r="Y502" s="100" t="n">
        <v>2017</v>
      </c>
      <c r="Z502" t="s">
        <v>389</v>
      </c>
      <c r="AA502" s="101" t="str">
        <f>IF(G502="shared-count-once",COUNTIFS($A$2:$A$807,A502,$B$2:$B$807,B502,$D$2:$D$807,D502),1)</f>
      </c>
    </row>
    <row r="503">
      <c r="A503" t="s">
        <v>76</v>
      </c>
      <c r="B503" s="79" t="n">
        <v>2032</v>
      </c>
      <c r="C503" t="s">
        <v>171</v>
      </c>
      <c r="D503" s="80" t="s">
        <v>382</v>
      </c>
      <c r="E503" s="81" t="s">
        <v>383</v>
      </c>
      <c r="F503" s="82" t="s">
        <v>179</v>
      </c>
      <c r="G503" s="83" t="s">
        <v>384</v>
      </c>
      <c r="H503" s="84" t="s">
        <v>386</v>
      </c>
      <c r="I503" s="85" t="n">
        <v>1</v>
      </c>
      <c r="J503" s="86" t="n">
        <v>1</v>
      </c>
      <c r="K503" s="87" t="n">
        <v>0.0056</v>
      </c>
      <c r="L503" s="88" t="n">
        <v>301958259.790884</v>
      </c>
      <c r="M503" s="89" t="n">
        <v>301959399.633888</v>
      </c>
      <c r="N503" s="90" t="str">
        <f>MIN(MAX((B503-'Calculation_Assumptions'!$B$5+1)/'Calculation_Assumptions'!$B$7,0),1)</f>
      </c>
      <c r="O503" s="91" t="str">
        <f>L503*I503</f>
      </c>
      <c r="P503" s="92" t="str">
        <f>M503*I503</f>
      </c>
      <c r="Q503" s="93" t="str">
        <f>P503*'Calculation_Assumptions'!$B$14*J503*K503</f>
      </c>
      <c r="R503" s="94" t="str">
        <f>O503*N503*J503*K503</f>
      </c>
      <c r="S503" s="95" t="str">
        <f>R503-Q503</f>
      </c>
      <c r="T503" s="96" t="str">
        <f>1/(1+'Calculation_Assumptions'!$B$8)^(B503-'Calculation_Assumptions'!$B$2)</f>
      </c>
      <c r="U503" s="97" t="str">
        <f>Q503*T503</f>
      </c>
      <c r="V503" s="98" t="str">
        <f>R503*T503</f>
      </c>
      <c r="W503" s="99" t="str">
        <f>S503*T503</f>
      </c>
      <c r="X503" t="n">
        <v>0</v>
      </c>
      <c r="Y503" s="100" t="n">
        <v>2017</v>
      </c>
      <c r="Z503" t="s">
        <v>389</v>
      </c>
      <c r="AA503" s="101" t="str">
        <f>IF(G503="shared-count-once",COUNTIFS($A$2:$A$807,A503,$B$2:$B$807,B503,$D$2:$D$807,D503),1)</f>
      </c>
    </row>
    <row r="504">
      <c r="A504" t="s">
        <v>76</v>
      </c>
      <c r="B504" s="79" t="n">
        <v>2033</v>
      </c>
      <c r="C504" t="s">
        <v>171</v>
      </c>
      <c r="D504" s="80" t="s">
        <v>382</v>
      </c>
      <c r="E504" s="81" t="s">
        <v>383</v>
      </c>
      <c r="F504" s="82" t="s">
        <v>179</v>
      </c>
      <c r="G504" s="83" t="s">
        <v>384</v>
      </c>
      <c r="H504" s="84" t="s">
        <v>386</v>
      </c>
      <c r="I504" s="85" t="n">
        <v>1</v>
      </c>
      <c r="J504" s="86" t="n">
        <v>1</v>
      </c>
      <c r="K504" s="87" t="n">
        <v>0.0056</v>
      </c>
      <c r="L504" s="88" t="n">
        <v>303726787.443174</v>
      </c>
      <c r="M504" s="89" t="n">
        <v>303701035.202051</v>
      </c>
      <c r="N504" s="90" t="str">
        <f>MIN(MAX((B504-'Calculation_Assumptions'!$B$5+1)/'Calculation_Assumptions'!$B$7,0),1)</f>
      </c>
      <c r="O504" s="91" t="str">
        <f>L504*I504</f>
      </c>
      <c r="P504" s="92" t="str">
        <f>M504*I504</f>
      </c>
      <c r="Q504" s="93" t="str">
        <f>P504*'Calculation_Assumptions'!$B$14*J504*K504</f>
      </c>
      <c r="R504" s="94" t="str">
        <f>O504*N504*J504*K504</f>
      </c>
      <c r="S504" s="95" t="str">
        <f>R504-Q504</f>
      </c>
      <c r="T504" s="96" t="str">
        <f>1/(1+'Calculation_Assumptions'!$B$8)^(B504-'Calculation_Assumptions'!$B$2)</f>
      </c>
      <c r="U504" s="97" t="str">
        <f>Q504*T504</f>
      </c>
      <c r="V504" s="98" t="str">
        <f>R504*T504</f>
      </c>
      <c r="W504" s="99" t="str">
        <f>S504*T504</f>
      </c>
      <c r="X504" t="n">
        <v>0</v>
      </c>
      <c r="Y504" s="100" t="n">
        <v>2017</v>
      </c>
      <c r="Z504" t="s">
        <v>389</v>
      </c>
      <c r="AA504" s="101" t="str">
        <f>IF(G504="shared-count-once",COUNTIFS($A$2:$A$807,A504,$B$2:$B$807,B504,$D$2:$D$807,D504),1)</f>
      </c>
    </row>
    <row r="505">
      <c r="A505" t="s">
        <v>76</v>
      </c>
      <c r="B505" s="79" t="n">
        <v>2034</v>
      </c>
      <c r="C505" t="s">
        <v>171</v>
      </c>
      <c r="D505" s="80" t="s">
        <v>382</v>
      </c>
      <c r="E505" s="81" t="s">
        <v>383</v>
      </c>
      <c r="F505" s="82" t="s">
        <v>179</v>
      </c>
      <c r="G505" s="83" t="s">
        <v>384</v>
      </c>
      <c r="H505" s="84" t="s">
        <v>386</v>
      </c>
      <c r="I505" s="85" t="n">
        <v>1</v>
      </c>
      <c r="J505" s="86" t="n">
        <v>1</v>
      </c>
      <c r="K505" s="87" t="n">
        <v>0.0056</v>
      </c>
      <c r="L505" s="88" t="n">
        <v>305436022.714483</v>
      </c>
      <c r="M505" s="89" t="n">
        <v>305377998.093319</v>
      </c>
      <c r="N505" s="90" t="str">
        <f>MIN(MAX((B505-'Calculation_Assumptions'!$B$5+1)/'Calculation_Assumptions'!$B$7,0),1)</f>
      </c>
      <c r="O505" s="91" t="str">
        <f>L505*I505</f>
      </c>
      <c r="P505" s="92" t="str">
        <f>M505*I505</f>
      </c>
      <c r="Q505" s="93" t="str">
        <f>P505*'Calculation_Assumptions'!$B$14*J505*K505</f>
      </c>
      <c r="R505" s="94" t="str">
        <f>O505*N505*J505*K505</f>
      </c>
      <c r="S505" s="95" t="str">
        <f>R505-Q505</f>
      </c>
      <c r="T505" s="96" t="str">
        <f>1/(1+'Calculation_Assumptions'!$B$8)^(B505-'Calculation_Assumptions'!$B$2)</f>
      </c>
      <c r="U505" s="97" t="str">
        <f>Q505*T505</f>
      </c>
      <c r="V505" s="98" t="str">
        <f>R505*T505</f>
      </c>
      <c r="W505" s="99" t="str">
        <f>S505*T505</f>
      </c>
      <c r="X505" t="n">
        <v>0</v>
      </c>
      <c r="Y505" s="100" t="n">
        <v>2017</v>
      </c>
      <c r="Z505" t="s">
        <v>389</v>
      </c>
      <c r="AA505" s="101" t="str">
        <f>IF(G505="shared-count-once",COUNTIFS($A$2:$A$807,A505,$B$2:$B$807,B505,$D$2:$D$807,D505),1)</f>
      </c>
    </row>
    <row r="506">
      <c r="A506" t="s">
        <v>76</v>
      </c>
      <c r="B506" s="79" t="n">
        <v>2035</v>
      </c>
      <c r="C506" t="s">
        <v>171</v>
      </c>
      <c r="D506" s="80" t="s">
        <v>382</v>
      </c>
      <c r="E506" s="81" t="s">
        <v>383</v>
      </c>
      <c r="F506" s="82" t="s">
        <v>179</v>
      </c>
      <c r="G506" s="83" t="s">
        <v>384</v>
      </c>
      <c r="H506" s="84" t="s">
        <v>386</v>
      </c>
      <c r="I506" s="85" t="n">
        <v>1</v>
      </c>
      <c r="J506" s="86" t="n">
        <v>1</v>
      </c>
      <c r="K506" s="87" t="n">
        <v>0.0056</v>
      </c>
      <c r="L506" s="88" t="n">
        <v>307084503.869544</v>
      </c>
      <c r="M506" s="89" t="n">
        <v>306989258.29407</v>
      </c>
      <c r="N506" s="90" t="str">
        <f>MIN(MAX((B506-'Calculation_Assumptions'!$B$5+1)/'Calculation_Assumptions'!$B$7,0),1)</f>
      </c>
      <c r="O506" s="91" t="str">
        <f>L506*I506</f>
      </c>
      <c r="P506" s="92" t="str">
        <f>M506*I506</f>
      </c>
      <c r="Q506" s="93" t="str">
        <f>P506*'Calculation_Assumptions'!$B$14*J506*K506</f>
      </c>
      <c r="R506" s="94" t="str">
        <f>O506*N506*J506*K506</f>
      </c>
      <c r="S506" s="95" t="str">
        <f>R506-Q506</f>
      </c>
      <c r="T506" s="96" t="str">
        <f>1/(1+'Calculation_Assumptions'!$B$8)^(B506-'Calculation_Assumptions'!$B$2)</f>
      </c>
      <c r="U506" s="97" t="str">
        <f>Q506*T506</f>
      </c>
      <c r="V506" s="98" t="str">
        <f>R506*T506</f>
      </c>
      <c r="W506" s="99" t="str">
        <f>S506*T506</f>
      </c>
      <c r="X506" t="n">
        <v>0</v>
      </c>
      <c r="Y506" s="100" t="n">
        <v>2017</v>
      </c>
      <c r="Z506" t="s">
        <v>389</v>
      </c>
      <c r="AA506" s="101" t="str">
        <f>IF(G506="shared-count-once",COUNTIFS($A$2:$A$807,A506,$B$2:$B$807,B506,$D$2:$D$807,D506),1)</f>
      </c>
    </row>
    <row r="507">
      <c r="A507" t="s">
        <v>76</v>
      </c>
      <c r="B507" s="79" t="n">
        <v>2036</v>
      </c>
      <c r="C507" t="s">
        <v>171</v>
      </c>
      <c r="D507" s="80" t="s">
        <v>382</v>
      </c>
      <c r="E507" s="81" t="s">
        <v>383</v>
      </c>
      <c r="F507" s="82" t="s">
        <v>179</v>
      </c>
      <c r="G507" s="83" t="s">
        <v>384</v>
      </c>
      <c r="H507" s="84" t="s">
        <v>386</v>
      </c>
      <c r="I507" s="85" t="n">
        <v>1</v>
      </c>
      <c r="J507" s="86" t="n">
        <v>1</v>
      </c>
      <c r="K507" s="87" t="n">
        <v>0.0056</v>
      </c>
      <c r="L507" s="88" t="n">
        <v>308674578.680747</v>
      </c>
      <c r="M507" s="89" t="n">
        <v>308537399.672094</v>
      </c>
      <c r="N507" s="90" t="str">
        <f>MIN(MAX((B507-'Calculation_Assumptions'!$B$5+1)/'Calculation_Assumptions'!$B$7,0),1)</f>
      </c>
      <c r="O507" s="91" t="str">
        <f>L507*I507</f>
      </c>
      <c r="P507" s="92" t="str">
        <f>M507*I507</f>
      </c>
      <c r="Q507" s="93" t="str">
        <f>P507*'Calculation_Assumptions'!$B$14*J507*K507</f>
      </c>
      <c r="R507" s="94" t="str">
        <f>O507*N507*J507*K507</f>
      </c>
      <c r="S507" s="95" t="str">
        <f>R507-Q507</f>
      </c>
      <c r="T507" s="96" t="str">
        <f>1/(1+'Calculation_Assumptions'!$B$8)^(B507-'Calculation_Assumptions'!$B$2)</f>
      </c>
      <c r="U507" s="97" t="str">
        <f>Q507*T507</f>
      </c>
      <c r="V507" s="98" t="str">
        <f>R507*T507</f>
      </c>
      <c r="W507" s="99" t="str">
        <f>S507*T507</f>
      </c>
      <c r="X507" t="n">
        <v>0</v>
      </c>
      <c r="Y507" s="100" t="n">
        <v>2017</v>
      </c>
      <c r="Z507" t="s">
        <v>389</v>
      </c>
      <c r="AA507" s="101" t="str">
        <f>IF(G507="shared-count-once",COUNTIFS($A$2:$A$807,A507,$B$2:$B$807,B507,$D$2:$D$807,D507),1)</f>
      </c>
    </row>
    <row r="508">
      <c r="A508" t="s">
        <v>76</v>
      </c>
      <c r="B508" s="79" t="n">
        <v>2037</v>
      </c>
      <c r="C508" t="s">
        <v>171</v>
      </c>
      <c r="D508" s="80" t="s">
        <v>382</v>
      </c>
      <c r="E508" s="81" t="s">
        <v>383</v>
      </c>
      <c r="F508" s="82" t="s">
        <v>179</v>
      </c>
      <c r="G508" s="83" t="s">
        <v>384</v>
      </c>
      <c r="H508" s="84" t="s">
        <v>386</v>
      </c>
      <c r="I508" s="85" t="n">
        <v>1</v>
      </c>
      <c r="J508" s="86" t="n">
        <v>1</v>
      </c>
      <c r="K508" s="87" t="n">
        <v>0.0056</v>
      </c>
      <c r="L508" s="88" t="n">
        <v>310206624.908372</v>
      </c>
      <c r="M508" s="89" t="n">
        <v>310023120.393472</v>
      </c>
      <c r="N508" s="90" t="str">
        <f>MIN(MAX((B508-'Calculation_Assumptions'!$B$5+1)/'Calculation_Assumptions'!$B$7,0),1)</f>
      </c>
      <c r="O508" s="91" t="str">
        <f>L508*I508</f>
      </c>
      <c r="P508" s="92" t="str">
        <f>M508*I508</f>
      </c>
      <c r="Q508" s="93" t="str">
        <f>P508*'Calculation_Assumptions'!$B$14*J508*K508</f>
      </c>
      <c r="R508" s="94" t="str">
        <f>O508*N508*J508*K508</f>
      </c>
      <c r="S508" s="95" t="str">
        <f>R508-Q508</f>
      </c>
      <c r="T508" s="96" t="str">
        <f>1/(1+'Calculation_Assumptions'!$B$8)^(B508-'Calculation_Assumptions'!$B$2)</f>
      </c>
      <c r="U508" s="97" t="str">
        <f>Q508*T508</f>
      </c>
      <c r="V508" s="98" t="str">
        <f>R508*T508</f>
      </c>
      <c r="W508" s="99" t="str">
        <f>S508*T508</f>
      </c>
      <c r="X508" t="n">
        <v>0</v>
      </c>
      <c r="Y508" s="100" t="n">
        <v>2017</v>
      </c>
      <c r="Z508" t="s">
        <v>389</v>
      </c>
      <c r="AA508" s="101" t="str">
        <f>IF(G508="shared-count-once",COUNTIFS($A$2:$A$807,A508,$B$2:$B$807,B508,$D$2:$D$807,D508),1)</f>
      </c>
    </row>
    <row r="509">
      <c r="A509" t="s">
        <v>76</v>
      </c>
      <c r="B509" s="79" t="n">
        <v>2038</v>
      </c>
      <c r="C509" t="s">
        <v>171</v>
      </c>
      <c r="D509" s="80" t="s">
        <v>382</v>
      </c>
      <c r="E509" s="81" t="s">
        <v>383</v>
      </c>
      <c r="F509" s="82" t="s">
        <v>179</v>
      </c>
      <c r="G509" s="83" t="s">
        <v>384</v>
      </c>
      <c r="H509" s="84" t="s">
        <v>386</v>
      </c>
      <c r="I509" s="85" t="n">
        <v>1</v>
      </c>
      <c r="J509" s="86" t="n">
        <v>1</v>
      </c>
      <c r="K509" s="87" t="n">
        <v>0.0056</v>
      </c>
      <c r="L509" s="88" t="n">
        <v>311680372.519886</v>
      </c>
      <c r="M509" s="89" t="n">
        <v>311445837.134625</v>
      </c>
      <c r="N509" s="90" t="str">
        <f>MIN(MAX((B509-'Calculation_Assumptions'!$B$5+1)/'Calculation_Assumptions'!$B$7,0),1)</f>
      </c>
      <c r="O509" s="91" t="str">
        <f>L509*I509</f>
      </c>
      <c r="P509" s="92" t="str">
        <f>M509*I509</f>
      </c>
      <c r="Q509" s="93" t="str">
        <f>P509*'Calculation_Assumptions'!$B$14*J509*K509</f>
      </c>
      <c r="R509" s="94" t="str">
        <f>O509*N509*J509*K509</f>
      </c>
      <c r="S509" s="95" t="str">
        <f>R509-Q509</f>
      </c>
      <c r="T509" s="96" t="str">
        <f>1/(1+'Calculation_Assumptions'!$B$8)^(B509-'Calculation_Assumptions'!$B$2)</f>
      </c>
      <c r="U509" s="97" t="str">
        <f>Q509*T509</f>
      </c>
      <c r="V509" s="98" t="str">
        <f>R509*T509</f>
      </c>
      <c r="W509" s="99" t="str">
        <f>S509*T509</f>
      </c>
      <c r="X509" t="n">
        <v>0</v>
      </c>
      <c r="Y509" s="100" t="n">
        <v>2017</v>
      </c>
      <c r="Z509" t="s">
        <v>389</v>
      </c>
      <c r="AA509" s="101" t="str">
        <f>IF(G509="shared-count-once",COUNTIFS($A$2:$A$807,A509,$B$2:$B$807,B509,$D$2:$D$807,D509),1)</f>
      </c>
    </row>
    <row r="510">
      <c r="A510" t="s">
        <v>76</v>
      </c>
      <c r="B510" s="79" t="n">
        <v>2039</v>
      </c>
      <c r="C510" t="s">
        <v>171</v>
      </c>
      <c r="D510" s="80" t="s">
        <v>382</v>
      </c>
      <c r="E510" s="81" t="s">
        <v>383</v>
      </c>
      <c r="F510" s="82" t="s">
        <v>179</v>
      </c>
      <c r="G510" s="83" t="s">
        <v>384</v>
      </c>
      <c r="H510" s="84" t="s">
        <v>386</v>
      </c>
      <c r="I510" s="85" t="n">
        <v>1</v>
      </c>
      <c r="J510" s="86" t="n">
        <v>1</v>
      </c>
      <c r="K510" s="87" t="n">
        <v>0.0056</v>
      </c>
      <c r="L510" s="88" t="n">
        <v>313096760.631209</v>
      </c>
      <c r="M510" s="89" t="n">
        <v>312806989.715685</v>
      </c>
      <c r="N510" s="90" t="str">
        <f>MIN(MAX((B510-'Calculation_Assumptions'!$B$5+1)/'Calculation_Assumptions'!$B$7,0),1)</f>
      </c>
      <c r="O510" s="91" t="str">
        <f>L510*I510</f>
      </c>
      <c r="P510" s="92" t="str">
        <f>M510*I510</f>
      </c>
      <c r="Q510" s="93" t="str">
        <f>P510*'Calculation_Assumptions'!$B$14*J510*K510</f>
      </c>
      <c r="R510" s="94" t="str">
        <f>O510*N510*J510*K510</f>
      </c>
      <c r="S510" s="95" t="str">
        <f>R510-Q510</f>
      </c>
      <c r="T510" s="96" t="str">
        <f>1/(1+'Calculation_Assumptions'!$B$8)^(B510-'Calculation_Assumptions'!$B$2)</f>
      </c>
      <c r="U510" s="97" t="str">
        <f>Q510*T510</f>
      </c>
      <c r="V510" s="98" t="str">
        <f>R510*T510</f>
      </c>
      <c r="W510" s="99" t="str">
        <f>S510*T510</f>
      </c>
      <c r="X510" t="n">
        <v>0</v>
      </c>
      <c r="Y510" s="100" t="n">
        <v>2017</v>
      </c>
      <c r="Z510" t="s">
        <v>389</v>
      </c>
      <c r="AA510" s="101" t="str">
        <f>IF(G510="shared-count-once",COUNTIFS($A$2:$A$807,A510,$B$2:$B$807,B510,$D$2:$D$807,D510),1)</f>
      </c>
    </row>
    <row r="511">
      <c r="A511" t="s">
        <v>76</v>
      </c>
      <c r="B511" s="79" t="n">
        <v>2040</v>
      </c>
      <c r="C511" t="s">
        <v>171</v>
      </c>
      <c r="D511" s="80" t="s">
        <v>382</v>
      </c>
      <c r="E511" s="81" t="s">
        <v>383</v>
      </c>
      <c r="F511" s="82" t="s">
        <v>179</v>
      </c>
      <c r="G511" s="83" t="s">
        <v>384</v>
      </c>
      <c r="H511" s="84" t="s">
        <v>386</v>
      </c>
      <c r="I511" s="85" t="n">
        <v>1</v>
      </c>
      <c r="J511" s="86" t="n">
        <v>1</v>
      </c>
      <c r="K511" s="87" t="n">
        <v>0.0056</v>
      </c>
      <c r="L511" s="88" t="n">
        <v>314457822.69727</v>
      </c>
      <c r="M511" s="89" t="n">
        <v>314109251.582649</v>
      </c>
      <c r="N511" s="90" t="str">
        <f>MIN(MAX((B511-'Calculation_Assumptions'!$B$5+1)/'Calculation_Assumptions'!$B$7,0),1)</f>
      </c>
      <c r="O511" s="91" t="str">
        <f>L511*I511</f>
      </c>
      <c r="P511" s="92" t="str">
        <f>M511*I511</f>
      </c>
      <c r="Q511" s="93" t="str">
        <f>P511*'Calculation_Assumptions'!$B$14*J511*K511</f>
      </c>
      <c r="R511" s="94" t="str">
        <f>O511*N511*J511*K511</f>
      </c>
      <c r="S511" s="95" t="str">
        <f>R511-Q511</f>
      </c>
      <c r="T511" s="96" t="str">
        <f>1/(1+'Calculation_Assumptions'!$B$8)^(B511-'Calculation_Assumptions'!$B$2)</f>
      </c>
      <c r="U511" s="97" t="str">
        <f>Q511*T511</f>
      </c>
      <c r="V511" s="98" t="str">
        <f>R511*T511</f>
      </c>
      <c r="W511" s="99" t="str">
        <f>S511*T511</f>
      </c>
      <c r="X511" t="n">
        <v>0</v>
      </c>
      <c r="Y511" s="100" t="n">
        <v>2017</v>
      </c>
      <c r="Z511" t="s">
        <v>389</v>
      </c>
      <c r="AA511" s="101" t="str">
        <f>IF(G511="shared-count-once",COUNTIFS($A$2:$A$807,A511,$B$2:$B$807,B511,$D$2:$D$807,D511),1)</f>
      </c>
    </row>
    <row r="512">
      <c r="A512" t="s">
        <v>76</v>
      </c>
      <c r="B512" s="79" t="n">
        <v>2041</v>
      </c>
      <c r="C512" t="s">
        <v>171</v>
      </c>
      <c r="D512" s="80" t="s">
        <v>382</v>
      </c>
      <c r="E512" s="81" t="s">
        <v>383</v>
      </c>
      <c r="F512" s="82" t="s">
        <v>179</v>
      </c>
      <c r="G512" s="83" t="s">
        <v>384</v>
      </c>
      <c r="H512" s="84" t="s">
        <v>386</v>
      </c>
      <c r="I512" s="85" t="n">
        <v>1</v>
      </c>
      <c r="J512" s="86" t="n">
        <v>1</v>
      </c>
      <c r="K512" s="87" t="n">
        <v>0.0056</v>
      </c>
      <c r="L512" s="88" t="n">
        <v>315762299.651562</v>
      </c>
      <c r="M512" s="89" t="n">
        <v>315352079.812423</v>
      </c>
      <c r="N512" s="90" t="str">
        <f>MIN(MAX((B512-'Calculation_Assumptions'!$B$5+1)/'Calculation_Assumptions'!$B$7,0),1)</f>
      </c>
      <c r="O512" s="91" t="str">
        <f>L512*I512</f>
      </c>
      <c r="P512" s="92" t="str">
        <f>M512*I512</f>
      </c>
      <c r="Q512" s="93" t="str">
        <f>P512*'Calculation_Assumptions'!$B$14*J512*K512</f>
      </c>
      <c r="R512" s="94" t="str">
        <f>O512*N512*J512*K512</f>
      </c>
      <c r="S512" s="95" t="str">
        <f>R512-Q512</f>
      </c>
      <c r="T512" s="96" t="str">
        <f>1/(1+'Calculation_Assumptions'!$B$8)^(B512-'Calculation_Assumptions'!$B$2)</f>
      </c>
      <c r="U512" s="97" t="str">
        <f>Q512*T512</f>
      </c>
      <c r="V512" s="98" t="str">
        <f>R512*T512</f>
      </c>
      <c r="W512" s="99" t="str">
        <f>S512*T512</f>
      </c>
      <c r="X512" t="n">
        <v>0</v>
      </c>
      <c r="Y512" s="100" t="n">
        <v>2017</v>
      </c>
      <c r="Z512" t="s">
        <v>389</v>
      </c>
      <c r="AA512" s="101" t="str">
        <f>IF(G512="shared-count-once",COUNTIFS($A$2:$A$807,A512,$B$2:$B$807,B512,$D$2:$D$807,D512),1)</f>
      </c>
    </row>
    <row r="513">
      <c r="A513" t="s">
        <v>76</v>
      </c>
      <c r="B513" s="79" t="n">
        <v>2042</v>
      </c>
      <c r="C513" t="s">
        <v>171</v>
      </c>
      <c r="D513" s="80" t="s">
        <v>382</v>
      </c>
      <c r="E513" s="81" t="s">
        <v>383</v>
      </c>
      <c r="F513" s="82" t="s">
        <v>179</v>
      </c>
      <c r="G513" s="83" t="s">
        <v>384</v>
      </c>
      <c r="H513" s="84" t="s">
        <v>386</v>
      </c>
      <c r="I513" s="85" t="n">
        <v>1</v>
      </c>
      <c r="J513" s="86" t="n">
        <v>1</v>
      </c>
      <c r="K513" s="87" t="n">
        <v>0.0056</v>
      </c>
      <c r="L513" s="88" t="n">
        <v>317010735.77488</v>
      </c>
      <c r="M513" s="89" t="n">
        <v>316395286.312016</v>
      </c>
      <c r="N513" s="90" t="str">
        <f>MIN(MAX((B513-'Calculation_Assumptions'!$B$5+1)/'Calculation_Assumptions'!$B$7,0),1)</f>
      </c>
      <c r="O513" s="91" t="str">
        <f>L513*I513</f>
      </c>
      <c r="P513" s="92" t="str">
        <f>M513*I513</f>
      </c>
      <c r="Q513" s="93" t="str">
        <f>P513*'Calculation_Assumptions'!$B$14*J513*K513</f>
      </c>
      <c r="R513" s="94" t="str">
        <f>O513*N513*J513*K513</f>
      </c>
      <c r="S513" s="95" t="str">
        <f>R513-Q513</f>
      </c>
      <c r="T513" s="96" t="str">
        <f>1/(1+'Calculation_Assumptions'!$B$8)^(B513-'Calculation_Assumptions'!$B$2)</f>
      </c>
      <c r="U513" s="97" t="str">
        <f>Q513*T513</f>
      </c>
      <c r="V513" s="98" t="str">
        <f>R513*T513</f>
      </c>
      <c r="W513" s="99" t="str">
        <f>S513*T513</f>
      </c>
      <c r="X513" t="n">
        <v>0</v>
      </c>
      <c r="Y513" s="100" t="n">
        <v>2017</v>
      </c>
      <c r="Z513" t="s">
        <v>389</v>
      </c>
      <c r="AA513" s="101" t="str">
        <f>IF(G513="shared-count-once",COUNTIFS($A$2:$A$807,A513,$B$2:$B$807,B513,$D$2:$D$807,D513),1)</f>
      </c>
    </row>
    <row r="514">
      <c r="A514" t="s">
        <v>76</v>
      </c>
      <c r="B514" s="79" t="n">
        <v>2043</v>
      </c>
      <c r="C514" t="s">
        <v>171</v>
      </c>
      <c r="D514" s="80" t="s">
        <v>382</v>
      </c>
      <c r="E514" s="81" t="s">
        <v>383</v>
      </c>
      <c r="F514" s="82" t="s">
        <v>179</v>
      </c>
      <c r="G514" s="83" t="s">
        <v>384</v>
      </c>
      <c r="H514" s="84" t="s">
        <v>386</v>
      </c>
      <c r="I514" s="85" t="n">
        <v>1</v>
      </c>
      <c r="J514" s="86" t="n">
        <v>1</v>
      </c>
      <c r="K514" s="87" t="n">
        <v>0.0056</v>
      </c>
      <c r="L514" s="88" t="n">
        <v>318158750.005661</v>
      </c>
      <c r="M514" s="89" t="n">
        <v>317619735.688289</v>
      </c>
      <c r="N514" s="90" t="str">
        <f>MIN(MAX((B514-'Calculation_Assumptions'!$B$5+1)/'Calculation_Assumptions'!$B$7,0),1)</f>
      </c>
      <c r="O514" s="91" t="str">
        <f>L514*I514</f>
      </c>
      <c r="P514" s="92" t="str">
        <f>M514*I514</f>
      </c>
      <c r="Q514" s="93" t="str">
        <f>P514*'Calculation_Assumptions'!$B$14*J514*K514</f>
      </c>
      <c r="R514" s="94" t="str">
        <f>O514*N514*J514*K514</f>
      </c>
      <c r="S514" s="95" t="str">
        <f>R514-Q514</f>
      </c>
      <c r="T514" s="96" t="str">
        <f>1/(1+'Calculation_Assumptions'!$B$8)^(B514-'Calculation_Assumptions'!$B$2)</f>
      </c>
      <c r="U514" s="97" t="str">
        <f>Q514*T514</f>
      </c>
      <c r="V514" s="98" t="str">
        <f>R514*T514</f>
      </c>
      <c r="W514" s="99" t="str">
        <f>S514*T514</f>
      </c>
      <c r="X514" t="n">
        <v>0</v>
      </c>
      <c r="Y514" s="100" t="n">
        <v>2017</v>
      </c>
      <c r="Z514" t="s">
        <v>389</v>
      </c>
      <c r="AA514" s="101" t="str">
        <f>IF(G514="shared-count-once",COUNTIFS($A$2:$A$807,A514,$B$2:$B$807,B514,$D$2:$D$807,D514),1)</f>
      </c>
    </row>
    <row r="515">
      <c r="A515" t="s">
        <v>76</v>
      </c>
      <c r="B515" s="79" t="n">
        <v>2044</v>
      </c>
      <c r="C515" t="s">
        <v>171</v>
      </c>
      <c r="D515" s="80" t="s">
        <v>382</v>
      </c>
      <c r="E515" s="81" t="s">
        <v>383</v>
      </c>
      <c r="F515" s="82" t="s">
        <v>179</v>
      </c>
      <c r="G515" s="83" t="s">
        <v>384</v>
      </c>
      <c r="H515" s="84" t="s">
        <v>386</v>
      </c>
      <c r="I515" s="85" t="n">
        <v>1</v>
      </c>
      <c r="J515" s="86" t="n">
        <v>1</v>
      </c>
      <c r="K515" s="87" t="n">
        <v>0.0056</v>
      </c>
      <c r="L515" s="88" t="n">
        <v>319305078.475065</v>
      </c>
      <c r="M515" s="89" t="n">
        <v>318697135.863652</v>
      </c>
      <c r="N515" s="90" t="str">
        <f>MIN(MAX((B515-'Calculation_Assumptions'!$B$5+1)/'Calculation_Assumptions'!$B$7,0),1)</f>
      </c>
      <c r="O515" s="91" t="str">
        <f>L515*I515</f>
      </c>
      <c r="P515" s="92" t="str">
        <f>M515*I515</f>
      </c>
      <c r="Q515" s="93" t="str">
        <f>P515*'Calculation_Assumptions'!$B$14*J515*K515</f>
      </c>
      <c r="R515" s="94" t="str">
        <f>O515*N515*J515*K515</f>
      </c>
      <c r="S515" s="95" t="str">
        <f>R515-Q515</f>
      </c>
      <c r="T515" s="96" t="str">
        <f>1/(1+'Calculation_Assumptions'!$B$8)^(B515-'Calculation_Assumptions'!$B$2)</f>
      </c>
      <c r="U515" s="97" t="str">
        <f>Q515*T515</f>
      </c>
      <c r="V515" s="98" t="str">
        <f>R515*T515</f>
      </c>
      <c r="W515" s="99" t="str">
        <f>S515*T515</f>
      </c>
      <c r="X515" t="n">
        <v>0</v>
      </c>
      <c r="Y515" s="100" t="n">
        <v>2017</v>
      </c>
      <c r="Z515" t="s">
        <v>389</v>
      </c>
      <c r="AA515" s="101" t="str">
        <f>IF(G515="shared-count-once",COUNTIFS($A$2:$A$807,A515,$B$2:$B$807,B515,$D$2:$D$807,D515),1)</f>
      </c>
    </row>
    <row r="516">
      <c r="A516" t="s">
        <v>76</v>
      </c>
      <c r="B516" s="79" t="n">
        <v>2045</v>
      </c>
      <c r="C516" t="s">
        <v>171</v>
      </c>
      <c r="D516" s="80" t="s">
        <v>382</v>
      </c>
      <c r="E516" s="81" t="s">
        <v>383</v>
      </c>
      <c r="F516" s="82" t="s">
        <v>179</v>
      </c>
      <c r="G516" s="83" t="s">
        <v>384</v>
      </c>
      <c r="H516" s="84" t="s">
        <v>386</v>
      </c>
      <c r="I516" s="85" t="n">
        <v>1</v>
      </c>
      <c r="J516" s="86" t="n">
        <v>1</v>
      </c>
      <c r="K516" s="87" t="n">
        <v>0.0056</v>
      </c>
      <c r="L516" s="88" t="n">
        <v>320395460.874147</v>
      </c>
      <c r="M516" s="89" t="n">
        <v>319717840.85179</v>
      </c>
      <c r="N516" s="90" t="str">
        <f>MIN(MAX((B516-'Calculation_Assumptions'!$B$5+1)/'Calculation_Assumptions'!$B$7,0),1)</f>
      </c>
      <c r="O516" s="91" t="str">
        <f>L516*I516</f>
      </c>
      <c r="P516" s="92" t="str">
        <f>M516*I516</f>
      </c>
      <c r="Q516" s="93" t="str">
        <f>P516*'Calculation_Assumptions'!$B$14*J516*K516</f>
      </c>
      <c r="R516" s="94" t="str">
        <f>O516*N516*J516*K516</f>
      </c>
      <c r="S516" s="95" t="str">
        <f>R516-Q516</f>
      </c>
      <c r="T516" s="96" t="str">
        <f>1/(1+'Calculation_Assumptions'!$B$8)^(B516-'Calculation_Assumptions'!$B$2)</f>
      </c>
      <c r="U516" s="97" t="str">
        <f>Q516*T516</f>
      </c>
      <c r="V516" s="98" t="str">
        <f>R516*T516</f>
      </c>
      <c r="W516" s="99" t="str">
        <f>S516*T516</f>
      </c>
      <c r="X516" t="n">
        <v>0</v>
      </c>
      <c r="Y516" s="100" t="n">
        <v>2017</v>
      </c>
      <c r="Z516" t="s">
        <v>389</v>
      </c>
      <c r="AA516" s="101" t="str">
        <f>IF(G516="shared-count-once",COUNTIFS($A$2:$A$807,A516,$B$2:$B$807,B516,$D$2:$D$807,D516),1)</f>
      </c>
    </row>
    <row r="517">
      <c r="A517" t="s">
        <v>76</v>
      </c>
      <c r="B517" s="79" t="n">
        <v>2046</v>
      </c>
      <c r="C517" t="s">
        <v>171</v>
      </c>
      <c r="D517" s="80" t="s">
        <v>382</v>
      </c>
      <c r="E517" s="81" t="s">
        <v>383</v>
      </c>
      <c r="F517" s="82" t="s">
        <v>179</v>
      </c>
      <c r="G517" s="83" t="s">
        <v>384</v>
      </c>
      <c r="H517" s="84" t="s">
        <v>386</v>
      </c>
      <c r="I517" s="85" t="n">
        <v>1</v>
      </c>
      <c r="J517" s="86" t="n">
        <v>1</v>
      </c>
      <c r="K517" s="87" t="n">
        <v>0.0056</v>
      </c>
      <c r="L517" s="88" t="n">
        <v>321430558.971018</v>
      </c>
      <c r="M517" s="89" t="n">
        <v>320683879.806276</v>
      </c>
      <c r="N517" s="90" t="str">
        <f>MIN(MAX((B517-'Calculation_Assumptions'!$B$5+1)/'Calculation_Assumptions'!$B$7,0),1)</f>
      </c>
      <c r="O517" s="91" t="str">
        <f>L517*I517</f>
      </c>
      <c r="P517" s="92" t="str">
        <f>M517*I517</f>
      </c>
      <c r="Q517" s="93" t="str">
        <f>P517*'Calculation_Assumptions'!$B$14*J517*K517</f>
      </c>
      <c r="R517" s="94" t="str">
        <f>O517*N517*J517*K517</f>
      </c>
      <c r="S517" s="95" t="str">
        <f>R517-Q517</f>
      </c>
      <c r="T517" s="96" t="str">
        <f>1/(1+'Calculation_Assumptions'!$B$8)^(B517-'Calculation_Assumptions'!$B$2)</f>
      </c>
      <c r="U517" s="97" t="str">
        <f>Q517*T517</f>
      </c>
      <c r="V517" s="98" t="str">
        <f>R517*T517</f>
      </c>
      <c r="W517" s="99" t="str">
        <f>S517*T517</f>
      </c>
      <c r="X517" t="n">
        <v>0</v>
      </c>
      <c r="Y517" s="100" t="n">
        <v>2017</v>
      </c>
      <c r="Z517" t="s">
        <v>389</v>
      </c>
      <c r="AA517" s="101" t="str">
        <f>IF(G517="shared-count-once",COUNTIFS($A$2:$A$807,A517,$B$2:$B$807,B517,$D$2:$D$807,D517),1)</f>
      </c>
    </row>
    <row r="518">
      <c r="A518" t="s">
        <v>76</v>
      </c>
      <c r="B518" s="79" t="n">
        <v>2047</v>
      </c>
      <c r="C518" t="s">
        <v>171</v>
      </c>
      <c r="D518" s="80" t="s">
        <v>382</v>
      </c>
      <c r="E518" s="81" t="s">
        <v>383</v>
      </c>
      <c r="F518" s="82" t="s">
        <v>179</v>
      </c>
      <c r="G518" s="83" t="s">
        <v>384</v>
      </c>
      <c r="H518" s="84" t="s">
        <v>386</v>
      </c>
      <c r="I518" s="85" t="n">
        <v>1</v>
      </c>
      <c r="J518" s="86" t="n">
        <v>1</v>
      </c>
      <c r="K518" s="87" t="n">
        <v>0.0056</v>
      </c>
      <c r="L518" s="88" t="n">
        <v>322411096.713551</v>
      </c>
      <c r="M518" s="89" t="n">
        <v>321595541.389526</v>
      </c>
      <c r="N518" s="90" t="str">
        <f>MIN(MAX((B518-'Calculation_Assumptions'!$B$5+1)/'Calculation_Assumptions'!$B$7,0),1)</f>
      </c>
      <c r="O518" s="91" t="str">
        <f>L518*I518</f>
      </c>
      <c r="P518" s="92" t="str">
        <f>M518*I518</f>
      </c>
      <c r="Q518" s="93" t="str">
        <f>P518*'Calculation_Assumptions'!$B$14*J518*K518</f>
      </c>
      <c r="R518" s="94" t="str">
        <f>O518*N518*J518*K518</f>
      </c>
      <c r="S518" s="95" t="str">
        <f>R518-Q518</f>
      </c>
      <c r="T518" s="96" t="str">
        <f>1/(1+'Calculation_Assumptions'!$B$8)^(B518-'Calculation_Assumptions'!$B$2)</f>
      </c>
      <c r="U518" s="97" t="str">
        <f>Q518*T518</f>
      </c>
      <c r="V518" s="98" t="str">
        <f>R518*T518</f>
      </c>
      <c r="W518" s="99" t="str">
        <f>S518*T518</f>
      </c>
      <c r="X518" t="n">
        <v>0</v>
      </c>
      <c r="Y518" s="100" t="n">
        <v>2017</v>
      </c>
      <c r="Z518" t="s">
        <v>389</v>
      </c>
      <c r="AA518" s="101" t="str">
        <f>IF(G518="shared-count-once",COUNTIFS($A$2:$A$807,A518,$B$2:$B$807,B518,$D$2:$D$807,D518),1)</f>
      </c>
    </row>
    <row r="519">
      <c r="A519" t="s">
        <v>76</v>
      </c>
      <c r="B519" s="79" t="n">
        <v>2048</v>
      </c>
      <c r="C519" t="s">
        <v>171</v>
      </c>
      <c r="D519" s="80" t="s">
        <v>382</v>
      </c>
      <c r="E519" s="81" t="s">
        <v>383</v>
      </c>
      <c r="F519" s="82" t="s">
        <v>179</v>
      </c>
      <c r="G519" s="83" t="s">
        <v>384</v>
      </c>
      <c r="H519" s="84" t="s">
        <v>386</v>
      </c>
      <c r="I519" s="85" t="n">
        <v>1</v>
      </c>
      <c r="J519" s="86" t="n">
        <v>1</v>
      </c>
      <c r="K519" s="87" t="n">
        <v>0.0056</v>
      </c>
      <c r="L519" s="88" t="n">
        <v>323337875.603966</v>
      </c>
      <c r="M519" s="89" t="n">
        <v>322453622.669464</v>
      </c>
      <c r="N519" s="90" t="str">
        <f>MIN(MAX((B519-'Calculation_Assumptions'!$B$5+1)/'Calculation_Assumptions'!$B$7,0),1)</f>
      </c>
      <c r="O519" s="91" t="str">
        <f>L519*I519</f>
      </c>
      <c r="P519" s="92" t="str">
        <f>M519*I519</f>
      </c>
      <c r="Q519" s="93" t="str">
        <f>P519*'Calculation_Assumptions'!$B$14*J519*K519</f>
      </c>
      <c r="R519" s="94" t="str">
        <f>O519*N519*J519*K519</f>
      </c>
      <c r="S519" s="95" t="str">
        <f>R519-Q519</f>
      </c>
      <c r="T519" s="96" t="str">
        <f>1/(1+'Calculation_Assumptions'!$B$8)^(B519-'Calculation_Assumptions'!$B$2)</f>
      </c>
      <c r="U519" s="97" t="str">
        <f>Q519*T519</f>
      </c>
      <c r="V519" s="98" t="str">
        <f>R519*T519</f>
      </c>
      <c r="W519" s="99" t="str">
        <f>S519*T519</f>
      </c>
      <c r="X519" t="n">
        <v>0</v>
      </c>
      <c r="Y519" s="100" t="n">
        <v>2017</v>
      </c>
      <c r="Z519" t="s">
        <v>389</v>
      </c>
      <c r="AA519" s="101" t="str">
        <f>IF(G519="shared-count-once",COUNTIFS($A$2:$A$807,A519,$B$2:$B$807,B519,$D$2:$D$807,D519),1)</f>
      </c>
    </row>
    <row r="520">
      <c r="A520" t="s">
        <v>76</v>
      </c>
      <c r="B520" s="79" t="n">
        <v>2049</v>
      </c>
      <c r="C520" t="s">
        <v>171</v>
      </c>
      <c r="D520" s="80" t="s">
        <v>382</v>
      </c>
      <c r="E520" s="81" t="s">
        <v>383</v>
      </c>
      <c r="F520" s="82" t="s">
        <v>179</v>
      </c>
      <c r="G520" s="83" t="s">
        <v>384</v>
      </c>
      <c r="H520" s="84" t="s">
        <v>386</v>
      </c>
      <c r="I520" s="85" t="n">
        <v>1</v>
      </c>
      <c r="J520" s="86" t="n">
        <v>1</v>
      </c>
      <c r="K520" s="87" t="n">
        <v>0.0056</v>
      </c>
      <c r="L520" s="88" t="n">
        <v>324211859.675226</v>
      </c>
      <c r="M520" s="89" t="n">
        <v>323259246.716719</v>
      </c>
      <c r="N520" s="90" t="str">
        <f>MIN(MAX((B520-'Calculation_Assumptions'!$B$5+1)/'Calculation_Assumptions'!$B$7,0),1)</f>
      </c>
      <c r="O520" s="91" t="str">
        <f>L520*I520</f>
      </c>
      <c r="P520" s="92" t="str">
        <f>M520*I520</f>
      </c>
      <c r="Q520" s="93" t="str">
        <f>P520*'Calculation_Assumptions'!$B$14*J520*K520</f>
      </c>
      <c r="R520" s="94" t="str">
        <f>O520*N520*J520*K520</f>
      </c>
      <c r="S520" s="95" t="str">
        <f>R520-Q520</f>
      </c>
      <c r="T520" s="96" t="str">
        <f>1/(1+'Calculation_Assumptions'!$B$8)^(B520-'Calculation_Assumptions'!$B$2)</f>
      </c>
      <c r="U520" s="97" t="str">
        <f>Q520*T520</f>
      </c>
      <c r="V520" s="98" t="str">
        <f>R520*T520</f>
      </c>
      <c r="W520" s="99" t="str">
        <f>S520*T520</f>
      </c>
      <c r="X520" t="n">
        <v>0</v>
      </c>
      <c r="Y520" s="100" t="n">
        <v>2017</v>
      </c>
      <c r="Z520" t="s">
        <v>389</v>
      </c>
      <c r="AA520" s="101" t="str">
        <f>IF(G520="shared-count-once",COUNTIFS($A$2:$A$807,A520,$B$2:$B$807,B520,$D$2:$D$807,D520),1)</f>
      </c>
    </row>
    <row r="521">
      <c r="A521" t="s">
        <v>76</v>
      </c>
      <c r="B521" s="79" t="n">
        <v>2050</v>
      </c>
      <c r="C521" t="s">
        <v>171</v>
      </c>
      <c r="D521" s="80" t="s">
        <v>382</v>
      </c>
      <c r="E521" s="81" t="s">
        <v>383</v>
      </c>
      <c r="F521" s="82" t="s">
        <v>179</v>
      </c>
      <c r="G521" s="83" t="s">
        <v>384</v>
      </c>
      <c r="H521" s="84" t="s">
        <v>386</v>
      </c>
      <c r="I521" s="85" t="n">
        <v>1</v>
      </c>
      <c r="J521" s="86" t="n">
        <v>1</v>
      </c>
      <c r="K521" s="87" t="n">
        <v>0.0056</v>
      </c>
      <c r="L521" s="88" t="n">
        <v>325034214.935484</v>
      </c>
      <c r="M521" s="89" t="n">
        <v>324013738.182479</v>
      </c>
      <c r="N521" s="90" t="str">
        <f>MIN(MAX((B521-'Calculation_Assumptions'!$B$5+1)/'Calculation_Assumptions'!$B$7,0),1)</f>
      </c>
      <c r="O521" s="91" t="str">
        <f>L521*I521</f>
      </c>
      <c r="P521" s="92" t="str">
        <f>M521*I521</f>
      </c>
      <c r="Q521" s="93" t="str">
        <f>P521*'Calculation_Assumptions'!$B$14*J521*K521</f>
      </c>
      <c r="R521" s="94" t="str">
        <f>O521*N521*J521*K521</f>
      </c>
      <c r="S521" s="95" t="str">
        <f>R521-Q521</f>
      </c>
      <c r="T521" s="96" t="str">
        <f>1/(1+'Calculation_Assumptions'!$B$8)^(B521-'Calculation_Assumptions'!$B$2)</f>
      </c>
      <c r="U521" s="97" t="str">
        <f>Q521*T521</f>
      </c>
      <c r="V521" s="98" t="str">
        <f>R521*T521</f>
      </c>
      <c r="W521" s="99" t="str">
        <f>S521*T521</f>
      </c>
      <c r="X521" t="n">
        <v>0</v>
      </c>
      <c r="Y521" s="100" t="n">
        <v>2017</v>
      </c>
      <c r="Z521" t="s">
        <v>389</v>
      </c>
      <c r="AA521" s="101" t="str">
        <f>IF(G521="shared-count-once",COUNTIFS($A$2:$A$807,A521,$B$2:$B$807,B521,$D$2:$D$807,D521),1)</f>
      </c>
    </row>
    <row r="522">
      <c r="A522" t="s">
        <v>76</v>
      </c>
      <c r="B522" s="79" t="n">
        <v>2025</v>
      </c>
      <c r="C522" t="s">
        <v>194</v>
      </c>
      <c r="D522" s="80" t="s">
        <v>391</v>
      </c>
      <c r="E522" s="81" t="s">
        <v>392</v>
      </c>
      <c r="F522" s="82" t="s">
        <v>197</v>
      </c>
      <c r="G522" s="83" t="s">
        <v>384</v>
      </c>
      <c r="H522" s="84" t="s">
        <v>386</v>
      </c>
      <c r="I522" s="85" t="n">
        <v>1</v>
      </c>
      <c r="J522" s="86" t="n">
        <v>1</v>
      </c>
      <c r="K522" s="87" t="n">
        <v>0.004</v>
      </c>
      <c r="L522" s="88" t="n">
        <v>288000821.106462</v>
      </c>
      <c r="M522" s="89" t="n">
        <v>288000821.106462</v>
      </c>
      <c r="N522" s="90" t="str">
        <f>MIN(MAX((B522-'Calculation_Assumptions'!$B$5+1)/'Calculation_Assumptions'!$B$7,0),1)</f>
      </c>
      <c r="O522" s="91" t="str">
        <f>L522*I522</f>
      </c>
      <c r="P522" s="92" t="str">
        <f>M522*I522</f>
      </c>
      <c r="Q522" s="93" t="str">
        <f>P522*'Calculation_Assumptions'!$B$14*J522*K522</f>
      </c>
      <c r="R522" s="94" t="str">
        <f>O522*N522*J522*K522</f>
      </c>
      <c r="S522" s="95" t="str">
        <f>R522-Q522</f>
      </c>
      <c r="T522" s="96" t="str">
        <f>1/(1+'Calculation_Assumptions'!$B$8)^(B522-'Calculation_Assumptions'!$B$2)</f>
      </c>
      <c r="U522" s="97" t="str">
        <f>Q522*T522</f>
      </c>
      <c r="V522" s="98" t="str">
        <f>R522*T522</f>
      </c>
      <c r="W522" s="99" t="str">
        <f>S522*T522</f>
      </c>
      <c r="X522" t="n">
        <v>0</v>
      </c>
      <c r="Y522" s="100" t="n">
        <v>2017</v>
      </c>
      <c r="Z522" t="s">
        <v>389</v>
      </c>
      <c r="AA522" s="101" t="str">
        <f>IF(G522="shared-count-once",COUNTIFS($A$2:$A$807,A522,$B$2:$B$807,B522,$D$2:$D$807,D522),1)</f>
      </c>
    </row>
    <row r="523">
      <c r="A523" t="s">
        <v>76</v>
      </c>
      <c r="B523" s="79" t="n">
        <v>2026</v>
      </c>
      <c r="C523" t="s">
        <v>194</v>
      </c>
      <c r="D523" s="80" t="s">
        <v>391</v>
      </c>
      <c r="E523" s="81" t="s">
        <v>392</v>
      </c>
      <c r="F523" s="82" t="s">
        <v>197</v>
      </c>
      <c r="G523" s="83" t="s">
        <v>384</v>
      </c>
      <c r="H523" s="84" t="s">
        <v>386</v>
      </c>
      <c r="I523" s="85" t="n">
        <v>1</v>
      </c>
      <c r="J523" s="86" t="n">
        <v>1</v>
      </c>
      <c r="K523" s="87" t="n">
        <v>0.004</v>
      </c>
      <c r="L523" s="88" t="n">
        <v>290123496.103219</v>
      </c>
      <c r="M523" s="89" t="n">
        <v>290123496.103219</v>
      </c>
      <c r="N523" s="90" t="str">
        <f>MIN(MAX((B523-'Calculation_Assumptions'!$B$5+1)/'Calculation_Assumptions'!$B$7,0),1)</f>
      </c>
      <c r="O523" s="91" t="str">
        <f>L523*I523</f>
      </c>
      <c r="P523" s="92" t="str">
        <f>M523*I523</f>
      </c>
      <c r="Q523" s="93" t="str">
        <f>P523*'Calculation_Assumptions'!$B$14*J523*K523</f>
      </c>
      <c r="R523" s="94" t="str">
        <f>O523*N523*J523*K523</f>
      </c>
      <c r="S523" s="95" t="str">
        <f>R523-Q523</f>
      </c>
      <c r="T523" s="96" t="str">
        <f>1/(1+'Calculation_Assumptions'!$B$8)^(B523-'Calculation_Assumptions'!$B$2)</f>
      </c>
      <c r="U523" s="97" t="str">
        <f>Q523*T523</f>
      </c>
      <c r="V523" s="98" t="str">
        <f>R523*T523</f>
      </c>
      <c r="W523" s="99" t="str">
        <f>S523*T523</f>
      </c>
      <c r="X523" t="n">
        <v>0</v>
      </c>
      <c r="Y523" s="100" t="n">
        <v>2017</v>
      </c>
      <c r="Z523" t="s">
        <v>389</v>
      </c>
      <c r="AA523" s="101" t="str">
        <f>IF(G523="shared-count-once",COUNTIFS($A$2:$A$807,A523,$B$2:$B$807,B523,$D$2:$D$807,D523),1)</f>
      </c>
    </row>
    <row r="524">
      <c r="A524" t="s">
        <v>76</v>
      </c>
      <c r="B524" s="79" t="n">
        <v>2027</v>
      </c>
      <c r="C524" t="s">
        <v>194</v>
      </c>
      <c r="D524" s="80" t="s">
        <v>391</v>
      </c>
      <c r="E524" s="81" t="s">
        <v>392</v>
      </c>
      <c r="F524" s="82" t="s">
        <v>197</v>
      </c>
      <c r="G524" s="83" t="s">
        <v>384</v>
      </c>
      <c r="H524" s="84" t="s">
        <v>386</v>
      </c>
      <c r="I524" s="85" t="n">
        <v>1</v>
      </c>
      <c r="J524" s="86" t="n">
        <v>1</v>
      </c>
      <c r="K524" s="87" t="n">
        <v>0.004</v>
      </c>
      <c r="L524" s="88" t="n">
        <v>292252895.096956</v>
      </c>
      <c r="M524" s="89" t="n">
        <v>292252895.096956</v>
      </c>
      <c r="N524" s="90" t="str">
        <f>MIN(MAX((B524-'Calculation_Assumptions'!$B$5+1)/'Calculation_Assumptions'!$B$7,0),1)</f>
      </c>
      <c r="O524" s="91" t="str">
        <f>L524*I524</f>
      </c>
      <c r="P524" s="92" t="str">
        <f>M524*I524</f>
      </c>
      <c r="Q524" s="93" t="str">
        <f>P524*'Calculation_Assumptions'!$B$14*J524*K524</f>
      </c>
      <c r="R524" s="94" t="str">
        <f>O524*N524*J524*K524</f>
      </c>
      <c r="S524" s="95" t="str">
        <f>R524-Q524</f>
      </c>
      <c r="T524" s="96" t="str">
        <f>1/(1+'Calculation_Assumptions'!$B$8)^(B524-'Calculation_Assumptions'!$B$2)</f>
      </c>
      <c r="U524" s="97" t="str">
        <f>Q524*T524</f>
      </c>
      <c r="V524" s="98" t="str">
        <f>R524*T524</f>
      </c>
      <c r="W524" s="99" t="str">
        <f>S524*T524</f>
      </c>
      <c r="X524" t="n">
        <v>0</v>
      </c>
      <c r="Y524" s="100" t="n">
        <v>2017</v>
      </c>
      <c r="Z524" t="s">
        <v>389</v>
      </c>
      <c r="AA524" s="101" t="str">
        <f>IF(G524="shared-count-once",COUNTIFS($A$2:$A$807,A524,$B$2:$B$807,B524,$D$2:$D$807,D524),1)</f>
      </c>
    </row>
    <row r="525">
      <c r="A525" t="s">
        <v>76</v>
      </c>
      <c r="B525" s="79" t="n">
        <v>2028</v>
      </c>
      <c r="C525" t="s">
        <v>194</v>
      </c>
      <c r="D525" s="80" t="s">
        <v>391</v>
      </c>
      <c r="E525" s="81" t="s">
        <v>392</v>
      </c>
      <c r="F525" s="82" t="s">
        <v>197</v>
      </c>
      <c r="G525" s="83" t="s">
        <v>384</v>
      </c>
      <c r="H525" s="84" t="s">
        <v>386</v>
      </c>
      <c r="I525" s="85" t="n">
        <v>1</v>
      </c>
      <c r="J525" s="86" t="n">
        <v>1</v>
      </c>
      <c r="K525" s="87" t="n">
        <v>0.004</v>
      </c>
      <c r="L525" s="88" t="n">
        <v>294317373.248038</v>
      </c>
      <c r="M525" s="89" t="n">
        <v>294314895.305465</v>
      </c>
      <c r="N525" s="90" t="str">
        <f>MIN(MAX((B525-'Calculation_Assumptions'!$B$5+1)/'Calculation_Assumptions'!$B$7,0),1)</f>
      </c>
      <c r="O525" s="91" t="str">
        <f>L525*I525</f>
      </c>
      <c r="P525" s="92" t="str">
        <f>M525*I525</f>
      </c>
      <c r="Q525" s="93" t="str">
        <f>P525*'Calculation_Assumptions'!$B$14*J525*K525</f>
      </c>
      <c r="R525" s="94" t="str">
        <f>O525*N525*J525*K525</f>
      </c>
      <c r="S525" s="95" t="str">
        <f>R525-Q525</f>
      </c>
      <c r="T525" s="96" t="str">
        <f>1/(1+'Calculation_Assumptions'!$B$8)^(B525-'Calculation_Assumptions'!$B$2)</f>
      </c>
      <c r="U525" s="97" t="str">
        <f>Q525*T525</f>
      </c>
      <c r="V525" s="98" t="str">
        <f>R525*T525</f>
      </c>
      <c r="W525" s="99" t="str">
        <f>S525*T525</f>
      </c>
      <c r="X525" t="n">
        <v>0</v>
      </c>
      <c r="Y525" s="100" t="n">
        <v>2017</v>
      </c>
      <c r="Z525" t="s">
        <v>389</v>
      </c>
      <c r="AA525" s="101" t="str">
        <f>IF(G525="shared-count-once",COUNTIFS($A$2:$A$807,A525,$B$2:$B$807,B525,$D$2:$D$807,D525),1)</f>
      </c>
    </row>
    <row r="526">
      <c r="A526" t="s">
        <v>76</v>
      </c>
      <c r="B526" s="79" t="n">
        <v>2029</v>
      </c>
      <c r="C526" t="s">
        <v>194</v>
      </c>
      <c r="D526" s="80" t="s">
        <v>391</v>
      </c>
      <c r="E526" s="81" t="s">
        <v>392</v>
      </c>
      <c r="F526" s="82" t="s">
        <v>197</v>
      </c>
      <c r="G526" s="83" t="s">
        <v>384</v>
      </c>
      <c r="H526" s="84" t="s">
        <v>386</v>
      </c>
      <c r="I526" s="85" t="n">
        <v>1</v>
      </c>
      <c r="J526" s="86" t="n">
        <v>1</v>
      </c>
      <c r="K526" s="87" t="n">
        <v>0.004</v>
      </c>
      <c r="L526" s="88" t="n">
        <v>296300392.819394</v>
      </c>
      <c r="M526" s="89" t="n">
        <v>296341062.542853</v>
      </c>
      <c r="N526" s="90" t="str">
        <f>MIN(MAX((B526-'Calculation_Assumptions'!$B$5+1)/'Calculation_Assumptions'!$B$7,0),1)</f>
      </c>
      <c r="O526" s="91" t="str">
        <f>L526*I526</f>
      </c>
      <c r="P526" s="92" t="str">
        <f>M526*I526</f>
      </c>
      <c r="Q526" s="93" t="str">
        <f>P526*'Calculation_Assumptions'!$B$14*J526*K526</f>
      </c>
      <c r="R526" s="94" t="str">
        <f>O526*N526*J526*K526</f>
      </c>
      <c r="S526" s="95" t="str">
        <f>R526-Q526</f>
      </c>
      <c r="T526" s="96" t="str">
        <f>1/(1+'Calculation_Assumptions'!$B$8)^(B526-'Calculation_Assumptions'!$B$2)</f>
      </c>
      <c r="U526" s="97" t="str">
        <f>Q526*T526</f>
      </c>
      <c r="V526" s="98" t="str">
        <f>R526*T526</f>
      </c>
      <c r="W526" s="99" t="str">
        <f>S526*T526</f>
      </c>
      <c r="X526" t="n">
        <v>0</v>
      </c>
      <c r="Y526" s="100" t="n">
        <v>2017</v>
      </c>
      <c r="Z526" t="s">
        <v>389</v>
      </c>
      <c r="AA526" s="101" t="str">
        <f>IF(G526="shared-count-once",COUNTIFS($A$2:$A$807,A526,$B$2:$B$807,B526,$D$2:$D$807,D526),1)</f>
      </c>
    </row>
    <row r="527">
      <c r="A527" t="s">
        <v>76</v>
      </c>
      <c r="B527" s="79" t="n">
        <v>2030</v>
      </c>
      <c r="C527" t="s">
        <v>194</v>
      </c>
      <c r="D527" s="80" t="s">
        <v>391</v>
      </c>
      <c r="E527" s="81" t="s">
        <v>392</v>
      </c>
      <c r="F527" s="82" t="s">
        <v>197</v>
      </c>
      <c r="G527" s="83" t="s">
        <v>384</v>
      </c>
      <c r="H527" s="84" t="s">
        <v>386</v>
      </c>
      <c r="I527" s="85" t="n">
        <v>1</v>
      </c>
      <c r="J527" s="86" t="n">
        <v>1</v>
      </c>
      <c r="K527" s="87" t="n">
        <v>0.004</v>
      </c>
      <c r="L527" s="88" t="n">
        <v>298303185.826537</v>
      </c>
      <c r="M527" s="89" t="n">
        <v>298280286.057263</v>
      </c>
      <c r="N527" s="90" t="str">
        <f>MIN(MAX((B527-'Calculation_Assumptions'!$B$5+1)/'Calculation_Assumptions'!$B$7,0),1)</f>
      </c>
      <c r="O527" s="91" t="str">
        <f>L527*I527</f>
      </c>
      <c r="P527" s="92" t="str">
        <f>M527*I527</f>
      </c>
      <c r="Q527" s="93" t="str">
        <f>P527*'Calculation_Assumptions'!$B$14*J527*K527</f>
      </c>
      <c r="R527" s="94" t="str">
        <f>O527*N527*J527*K527</f>
      </c>
      <c r="S527" s="95" t="str">
        <f>R527-Q527</f>
      </c>
      <c r="T527" s="96" t="str">
        <f>1/(1+'Calculation_Assumptions'!$B$8)^(B527-'Calculation_Assumptions'!$B$2)</f>
      </c>
      <c r="U527" s="97" t="str">
        <f>Q527*T527</f>
      </c>
      <c r="V527" s="98" t="str">
        <f>R527*T527</f>
      </c>
      <c r="W527" s="99" t="str">
        <f>S527*T527</f>
      </c>
      <c r="X527" t="n">
        <v>0</v>
      </c>
      <c r="Y527" s="100" t="n">
        <v>2017</v>
      </c>
      <c r="Z527" t="s">
        <v>389</v>
      </c>
      <c r="AA527" s="101" t="str">
        <f>IF(G527="shared-count-once",COUNTIFS($A$2:$A$807,A527,$B$2:$B$807,B527,$D$2:$D$807,D527),1)</f>
      </c>
    </row>
    <row r="528">
      <c r="A528" t="s">
        <v>76</v>
      </c>
      <c r="B528" s="79" t="n">
        <v>2031</v>
      </c>
      <c r="C528" t="s">
        <v>194</v>
      </c>
      <c r="D528" s="80" t="s">
        <v>391</v>
      </c>
      <c r="E528" s="81" t="s">
        <v>392</v>
      </c>
      <c r="F528" s="82" t="s">
        <v>197</v>
      </c>
      <c r="G528" s="83" t="s">
        <v>384</v>
      </c>
      <c r="H528" s="84" t="s">
        <v>386</v>
      </c>
      <c r="I528" s="85" t="n">
        <v>1</v>
      </c>
      <c r="J528" s="86" t="n">
        <v>1</v>
      </c>
      <c r="K528" s="87" t="n">
        <v>0.004</v>
      </c>
      <c r="L528" s="88" t="n">
        <v>300196273.385416</v>
      </c>
      <c r="M528" s="89" t="n">
        <v>300152603.254782</v>
      </c>
      <c r="N528" s="90" t="str">
        <f>MIN(MAX((B528-'Calculation_Assumptions'!$B$5+1)/'Calculation_Assumptions'!$B$7,0),1)</f>
      </c>
      <c r="O528" s="91" t="str">
        <f>L528*I528</f>
      </c>
      <c r="P528" s="92" t="str">
        <f>M528*I528</f>
      </c>
      <c r="Q528" s="93" t="str">
        <f>P528*'Calculation_Assumptions'!$B$14*J528*K528</f>
      </c>
      <c r="R528" s="94" t="str">
        <f>O528*N528*J528*K528</f>
      </c>
      <c r="S528" s="95" t="str">
        <f>R528-Q528</f>
      </c>
      <c r="T528" s="96" t="str">
        <f>1/(1+'Calculation_Assumptions'!$B$8)^(B528-'Calculation_Assumptions'!$B$2)</f>
      </c>
      <c r="U528" s="97" t="str">
        <f>Q528*T528</f>
      </c>
      <c r="V528" s="98" t="str">
        <f>R528*T528</f>
      </c>
      <c r="W528" s="99" t="str">
        <f>S528*T528</f>
      </c>
      <c r="X528" t="n">
        <v>0</v>
      </c>
      <c r="Y528" s="100" t="n">
        <v>2017</v>
      </c>
      <c r="Z528" t="s">
        <v>389</v>
      </c>
      <c r="AA528" s="101" t="str">
        <f>IF(G528="shared-count-once",COUNTIFS($A$2:$A$807,A528,$B$2:$B$807,B528,$D$2:$D$807,D528),1)</f>
      </c>
    </row>
    <row r="529">
      <c r="A529" t="s">
        <v>76</v>
      </c>
      <c r="B529" s="79" t="n">
        <v>2032</v>
      </c>
      <c r="C529" t="s">
        <v>194</v>
      </c>
      <c r="D529" s="80" t="s">
        <v>391</v>
      </c>
      <c r="E529" s="81" t="s">
        <v>392</v>
      </c>
      <c r="F529" s="82" t="s">
        <v>197</v>
      </c>
      <c r="G529" s="83" t="s">
        <v>384</v>
      </c>
      <c r="H529" s="84" t="s">
        <v>386</v>
      </c>
      <c r="I529" s="85" t="n">
        <v>1</v>
      </c>
      <c r="J529" s="86" t="n">
        <v>1</v>
      </c>
      <c r="K529" s="87" t="n">
        <v>0.004</v>
      </c>
      <c r="L529" s="88" t="n">
        <v>301958259.790884</v>
      </c>
      <c r="M529" s="89" t="n">
        <v>301959399.633888</v>
      </c>
      <c r="N529" s="90" t="str">
        <f>MIN(MAX((B529-'Calculation_Assumptions'!$B$5+1)/'Calculation_Assumptions'!$B$7,0),1)</f>
      </c>
      <c r="O529" s="91" t="str">
        <f>L529*I529</f>
      </c>
      <c r="P529" s="92" t="str">
        <f>M529*I529</f>
      </c>
      <c r="Q529" s="93" t="str">
        <f>P529*'Calculation_Assumptions'!$B$14*J529*K529</f>
      </c>
      <c r="R529" s="94" t="str">
        <f>O529*N529*J529*K529</f>
      </c>
      <c r="S529" s="95" t="str">
        <f>R529-Q529</f>
      </c>
      <c r="T529" s="96" t="str">
        <f>1/(1+'Calculation_Assumptions'!$B$8)^(B529-'Calculation_Assumptions'!$B$2)</f>
      </c>
      <c r="U529" s="97" t="str">
        <f>Q529*T529</f>
      </c>
      <c r="V529" s="98" t="str">
        <f>R529*T529</f>
      </c>
      <c r="W529" s="99" t="str">
        <f>S529*T529</f>
      </c>
      <c r="X529" t="n">
        <v>0</v>
      </c>
      <c r="Y529" s="100" t="n">
        <v>2017</v>
      </c>
      <c r="Z529" t="s">
        <v>389</v>
      </c>
      <c r="AA529" s="101" t="str">
        <f>IF(G529="shared-count-once",COUNTIFS($A$2:$A$807,A529,$B$2:$B$807,B529,$D$2:$D$807,D529),1)</f>
      </c>
    </row>
    <row r="530">
      <c r="A530" t="s">
        <v>76</v>
      </c>
      <c r="B530" s="79" t="n">
        <v>2033</v>
      </c>
      <c r="C530" t="s">
        <v>194</v>
      </c>
      <c r="D530" s="80" t="s">
        <v>391</v>
      </c>
      <c r="E530" s="81" t="s">
        <v>392</v>
      </c>
      <c r="F530" s="82" t="s">
        <v>197</v>
      </c>
      <c r="G530" s="83" t="s">
        <v>384</v>
      </c>
      <c r="H530" s="84" t="s">
        <v>386</v>
      </c>
      <c r="I530" s="85" t="n">
        <v>1</v>
      </c>
      <c r="J530" s="86" t="n">
        <v>1</v>
      </c>
      <c r="K530" s="87" t="n">
        <v>0.004</v>
      </c>
      <c r="L530" s="88" t="n">
        <v>303726787.443174</v>
      </c>
      <c r="M530" s="89" t="n">
        <v>303701035.202051</v>
      </c>
      <c r="N530" s="90" t="str">
        <f>MIN(MAX((B530-'Calculation_Assumptions'!$B$5+1)/'Calculation_Assumptions'!$B$7,0),1)</f>
      </c>
      <c r="O530" s="91" t="str">
        <f>L530*I530</f>
      </c>
      <c r="P530" s="92" t="str">
        <f>M530*I530</f>
      </c>
      <c r="Q530" s="93" t="str">
        <f>P530*'Calculation_Assumptions'!$B$14*J530*K530</f>
      </c>
      <c r="R530" s="94" t="str">
        <f>O530*N530*J530*K530</f>
      </c>
      <c r="S530" s="95" t="str">
        <f>R530-Q530</f>
      </c>
      <c r="T530" s="96" t="str">
        <f>1/(1+'Calculation_Assumptions'!$B$8)^(B530-'Calculation_Assumptions'!$B$2)</f>
      </c>
      <c r="U530" s="97" t="str">
        <f>Q530*T530</f>
      </c>
      <c r="V530" s="98" t="str">
        <f>R530*T530</f>
      </c>
      <c r="W530" s="99" t="str">
        <f>S530*T530</f>
      </c>
      <c r="X530" t="n">
        <v>0</v>
      </c>
      <c r="Y530" s="100" t="n">
        <v>2017</v>
      </c>
      <c r="Z530" t="s">
        <v>389</v>
      </c>
      <c r="AA530" s="101" t="str">
        <f>IF(G530="shared-count-once",COUNTIFS($A$2:$A$807,A530,$B$2:$B$807,B530,$D$2:$D$807,D530),1)</f>
      </c>
    </row>
    <row r="531">
      <c r="A531" t="s">
        <v>76</v>
      </c>
      <c r="B531" s="79" t="n">
        <v>2034</v>
      </c>
      <c r="C531" t="s">
        <v>194</v>
      </c>
      <c r="D531" s="80" t="s">
        <v>391</v>
      </c>
      <c r="E531" s="81" t="s">
        <v>392</v>
      </c>
      <c r="F531" s="82" t="s">
        <v>197</v>
      </c>
      <c r="G531" s="83" t="s">
        <v>384</v>
      </c>
      <c r="H531" s="84" t="s">
        <v>386</v>
      </c>
      <c r="I531" s="85" t="n">
        <v>1</v>
      </c>
      <c r="J531" s="86" t="n">
        <v>1</v>
      </c>
      <c r="K531" s="87" t="n">
        <v>0.004</v>
      </c>
      <c r="L531" s="88" t="n">
        <v>305436022.714483</v>
      </c>
      <c r="M531" s="89" t="n">
        <v>305377998.093319</v>
      </c>
      <c r="N531" s="90" t="str">
        <f>MIN(MAX((B531-'Calculation_Assumptions'!$B$5+1)/'Calculation_Assumptions'!$B$7,0),1)</f>
      </c>
      <c r="O531" s="91" t="str">
        <f>L531*I531</f>
      </c>
      <c r="P531" s="92" t="str">
        <f>M531*I531</f>
      </c>
      <c r="Q531" s="93" t="str">
        <f>P531*'Calculation_Assumptions'!$B$14*J531*K531</f>
      </c>
      <c r="R531" s="94" t="str">
        <f>O531*N531*J531*K531</f>
      </c>
      <c r="S531" s="95" t="str">
        <f>R531-Q531</f>
      </c>
      <c r="T531" s="96" t="str">
        <f>1/(1+'Calculation_Assumptions'!$B$8)^(B531-'Calculation_Assumptions'!$B$2)</f>
      </c>
      <c r="U531" s="97" t="str">
        <f>Q531*T531</f>
      </c>
      <c r="V531" s="98" t="str">
        <f>R531*T531</f>
      </c>
      <c r="W531" s="99" t="str">
        <f>S531*T531</f>
      </c>
      <c r="X531" t="n">
        <v>0</v>
      </c>
      <c r="Y531" s="100" t="n">
        <v>2017</v>
      </c>
      <c r="Z531" t="s">
        <v>389</v>
      </c>
      <c r="AA531" s="101" t="str">
        <f>IF(G531="shared-count-once",COUNTIFS($A$2:$A$807,A531,$B$2:$B$807,B531,$D$2:$D$807,D531),1)</f>
      </c>
    </row>
    <row r="532">
      <c r="A532" t="s">
        <v>76</v>
      </c>
      <c r="B532" s="79" t="n">
        <v>2035</v>
      </c>
      <c r="C532" t="s">
        <v>194</v>
      </c>
      <c r="D532" s="80" t="s">
        <v>391</v>
      </c>
      <c r="E532" s="81" t="s">
        <v>392</v>
      </c>
      <c r="F532" s="82" t="s">
        <v>197</v>
      </c>
      <c r="G532" s="83" t="s">
        <v>384</v>
      </c>
      <c r="H532" s="84" t="s">
        <v>386</v>
      </c>
      <c r="I532" s="85" t="n">
        <v>1</v>
      </c>
      <c r="J532" s="86" t="n">
        <v>1</v>
      </c>
      <c r="K532" s="87" t="n">
        <v>0.004</v>
      </c>
      <c r="L532" s="88" t="n">
        <v>307084503.869544</v>
      </c>
      <c r="M532" s="89" t="n">
        <v>306989258.29407</v>
      </c>
      <c r="N532" s="90" t="str">
        <f>MIN(MAX((B532-'Calculation_Assumptions'!$B$5+1)/'Calculation_Assumptions'!$B$7,0),1)</f>
      </c>
      <c r="O532" s="91" t="str">
        <f>L532*I532</f>
      </c>
      <c r="P532" s="92" t="str">
        <f>M532*I532</f>
      </c>
      <c r="Q532" s="93" t="str">
        <f>P532*'Calculation_Assumptions'!$B$14*J532*K532</f>
      </c>
      <c r="R532" s="94" t="str">
        <f>O532*N532*J532*K532</f>
      </c>
      <c r="S532" s="95" t="str">
        <f>R532-Q532</f>
      </c>
      <c r="T532" s="96" t="str">
        <f>1/(1+'Calculation_Assumptions'!$B$8)^(B532-'Calculation_Assumptions'!$B$2)</f>
      </c>
      <c r="U532" s="97" t="str">
        <f>Q532*T532</f>
      </c>
      <c r="V532" s="98" t="str">
        <f>R532*T532</f>
      </c>
      <c r="W532" s="99" t="str">
        <f>S532*T532</f>
      </c>
      <c r="X532" t="n">
        <v>0</v>
      </c>
      <c r="Y532" s="100" t="n">
        <v>2017</v>
      </c>
      <c r="Z532" t="s">
        <v>389</v>
      </c>
      <c r="AA532" s="101" t="str">
        <f>IF(G532="shared-count-once",COUNTIFS($A$2:$A$807,A532,$B$2:$B$807,B532,$D$2:$D$807,D532),1)</f>
      </c>
    </row>
    <row r="533">
      <c r="A533" t="s">
        <v>76</v>
      </c>
      <c r="B533" s="79" t="n">
        <v>2036</v>
      </c>
      <c r="C533" t="s">
        <v>194</v>
      </c>
      <c r="D533" s="80" t="s">
        <v>391</v>
      </c>
      <c r="E533" s="81" t="s">
        <v>392</v>
      </c>
      <c r="F533" s="82" t="s">
        <v>197</v>
      </c>
      <c r="G533" s="83" t="s">
        <v>384</v>
      </c>
      <c r="H533" s="84" t="s">
        <v>386</v>
      </c>
      <c r="I533" s="85" t="n">
        <v>1</v>
      </c>
      <c r="J533" s="86" t="n">
        <v>1</v>
      </c>
      <c r="K533" s="87" t="n">
        <v>0.004</v>
      </c>
      <c r="L533" s="88" t="n">
        <v>308674578.680747</v>
      </c>
      <c r="M533" s="89" t="n">
        <v>308537399.672094</v>
      </c>
      <c r="N533" s="90" t="str">
        <f>MIN(MAX((B533-'Calculation_Assumptions'!$B$5+1)/'Calculation_Assumptions'!$B$7,0),1)</f>
      </c>
      <c r="O533" s="91" t="str">
        <f>L533*I533</f>
      </c>
      <c r="P533" s="92" t="str">
        <f>M533*I533</f>
      </c>
      <c r="Q533" s="93" t="str">
        <f>P533*'Calculation_Assumptions'!$B$14*J533*K533</f>
      </c>
      <c r="R533" s="94" t="str">
        <f>O533*N533*J533*K533</f>
      </c>
      <c r="S533" s="95" t="str">
        <f>R533-Q533</f>
      </c>
      <c r="T533" s="96" t="str">
        <f>1/(1+'Calculation_Assumptions'!$B$8)^(B533-'Calculation_Assumptions'!$B$2)</f>
      </c>
      <c r="U533" s="97" t="str">
        <f>Q533*T533</f>
      </c>
      <c r="V533" s="98" t="str">
        <f>R533*T533</f>
      </c>
      <c r="W533" s="99" t="str">
        <f>S533*T533</f>
      </c>
      <c r="X533" t="n">
        <v>0</v>
      </c>
      <c r="Y533" s="100" t="n">
        <v>2017</v>
      </c>
      <c r="Z533" t="s">
        <v>389</v>
      </c>
      <c r="AA533" s="101" t="str">
        <f>IF(G533="shared-count-once",COUNTIFS($A$2:$A$807,A533,$B$2:$B$807,B533,$D$2:$D$807,D533),1)</f>
      </c>
    </row>
    <row r="534">
      <c r="A534" t="s">
        <v>76</v>
      </c>
      <c r="B534" s="79" t="n">
        <v>2037</v>
      </c>
      <c r="C534" t="s">
        <v>194</v>
      </c>
      <c r="D534" s="80" t="s">
        <v>391</v>
      </c>
      <c r="E534" s="81" t="s">
        <v>392</v>
      </c>
      <c r="F534" s="82" t="s">
        <v>197</v>
      </c>
      <c r="G534" s="83" t="s">
        <v>384</v>
      </c>
      <c r="H534" s="84" t="s">
        <v>386</v>
      </c>
      <c r="I534" s="85" t="n">
        <v>1</v>
      </c>
      <c r="J534" s="86" t="n">
        <v>1</v>
      </c>
      <c r="K534" s="87" t="n">
        <v>0.004</v>
      </c>
      <c r="L534" s="88" t="n">
        <v>310206624.908372</v>
      </c>
      <c r="M534" s="89" t="n">
        <v>310023120.393472</v>
      </c>
      <c r="N534" s="90" t="str">
        <f>MIN(MAX((B534-'Calculation_Assumptions'!$B$5+1)/'Calculation_Assumptions'!$B$7,0),1)</f>
      </c>
      <c r="O534" s="91" t="str">
        <f>L534*I534</f>
      </c>
      <c r="P534" s="92" t="str">
        <f>M534*I534</f>
      </c>
      <c r="Q534" s="93" t="str">
        <f>P534*'Calculation_Assumptions'!$B$14*J534*K534</f>
      </c>
      <c r="R534" s="94" t="str">
        <f>O534*N534*J534*K534</f>
      </c>
      <c r="S534" s="95" t="str">
        <f>R534-Q534</f>
      </c>
      <c r="T534" s="96" t="str">
        <f>1/(1+'Calculation_Assumptions'!$B$8)^(B534-'Calculation_Assumptions'!$B$2)</f>
      </c>
      <c r="U534" s="97" t="str">
        <f>Q534*T534</f>
      </c>
      <c r="V534" s="98" t="str">
        <f>R534*T534</f>
      </c>
      <c r="W534" s="99" t="str">
        <f>S534*T534</f>
      </c>
      <c r="X534" t="n">
        <v>0</v>
      </c>
      <c r="Y534" s="100" t="n">
        <v>2017</v>
      </c>
      <c r="Z534" t="s">
        <v>389</v>
      </c>
      <c r="AA534" s="101" t="str">
        <f>IF(G534="shared-count-once",COUNTIFS($A$2:$A$807,A534,$B$2:$B$807,B534,$D$2:$D$807,D534),1)</f>
      </c>
    </row>
    <row r="535">
      <c r="A535" t="s">
        <v>76</v>
      </c>
      <c r="B535" s="79" t="n">
        <v>2038</v>
      </c>
      <c r="C535" t="s">
        <v>194</v>
      </c>
      <c r="D535" s="80" t="s">
        <v>391</v>
      </c>
      <c r="E535" s="81" t="s">
        <v>392</v>
      </c>
      <c r="F535" s="82" t="s">
        <v>197</v>
      </c>
      <c r="G535" s="83" t="s">
        <v>384</v>
      </c>
      <c r="H535" s="84" t="s">
        <v>386</v>
      </c>
      <c r="I535" s="85" t="n">
        <v>1</v>
      </c>
      <c r="J535" s="86" t="n">
        <v>1</v>
      </c>
      <c r="K535" s="87" t="n">
        <v>0.004</v>
      </c>
      <c r="L535" s="88" t="n">
        <v>311680372.519886</v>
      </c>
      <c r="M535" s="89" t="n">
        <v>311445837.134625</v>
      </c>
      <c r="N535" s="90" t="str">
        <f>MIN(MAX((B535-'Calculation_Assumptions'!$B$5+1)/'Calculation_Assumptions'!$B$7,0),1)</f>
      </c>
      <c r="O535" s="91" t="str">
        <f>L535*I535</f>
      </c>
      <c r="P535" s="92" t="str">
        <f>M535*I535</f>
      </c>
      <c r="Q535" s="93" t="str">
        <f>P535*'Calculation_Assumptions'!$B$14*J535*K535</f>
      </c>
      <c r="R535" s="94" t="str">
        <f>O535*N535*J535*K535</f>
      </c>
      <c r="S535" s="95" t="str">
        <f>R535-Q535</f>
      </c>
      <c r="T535" s="96" t="str">
        <f>1/(1+'Calculation_Assumptions'!$B$8)^(B535-'Calculation_Assumptions'!$B$2)</f>
      </c>
      <c r="U535" s="97" t="str">
        <f>Q535*T535</f>
      </c>
      <c r="V535" s="98" t="str">
        <f>R535*T535</f>
      </c>
      <c r="W535" s="99" t="str">
        <f>S535*T535</f>
      </c>
      <c r="X535" t="n">
        <v>0</v>
      </c>
      <c r="Y535" s="100" t="n">
        <v>2017</v>
      </c>
      <c r="Z535" t="s">
        <v>389</v>
      </c>
      <c r="AA535" s="101" t="str">
        <f>IF(G535="shared-count-once",COUNTIFS($A$2:$A$807,A535,$B$2:$B$807,B535,$D$2:$D$807,D535),1)</f>
      </c>
    </row>
    <row r="536">
      <c r="A536" t="s">
        <v>76</v>
      </c>
      <c r="B536" s="79" t="n">
        <v>2039</v>
      </c>
      <c r="C536" t="s">
        <v>194</v>
      </c>
      <c r="D536" s="80" t="s">
        <v>391</v>
      </c>
      <c r="E536" s="81" t="s">
        <v>392</v>
      </c>
      <c r="F536" s="82" t="s">
        <v>197</v>
      </c>
      <c r="G536" s="83" t="s">
        <v>384</v>
      </c>
      <c r="H536" s="84" t="s">
        <v>386</v>
      </c>
      <c r="I536" s="85" t="n">
        <v>1</v>
      </c>
      <c r="J536" s="86" t="n">
        <v>1</v>
      </c>
      <c r="K536" s="87" t="n">
        <v>0.004</v>
      </c>
      <c r="L536" s="88" t="n">
        <v>313096760.631209</v>
      </c>
      <c r="M536" s="89" t="n">
        <v>312806989.715685</v>
      </c>
      <c r="N536" s="90" t="str">
        <f>MIN(MAX((B536-'Calculation_Assumptions'!$B$5+1)/'Calculation_Assumptions'!$B$7,0),1)</f>
      </c>
      <c r="O536" s="91" t="str">
        <f>L536*I536</f>
      </c>
      <c r="P536" s="92" t="str">
        <f>M536*I536</f>
      </c>
      <c r="Q536" s="93" t="str">
        <f>P536*'Calculation_Assumptions'!$B$14*J536*K536</f>
      </c>
      <c r="R536" s="94" t="str">
        <f>O536*N536*J536*K536</f>
      </c>
      <c r="S536" s="95" t="str">
        <f>R536-Q536</f>
      </c>
      <c r="T536" s="96" t="str">
        <f>1/(1+'Calculation_Assumptions'!$B$8)^(B536-'Calculation_Assumptions'!$B$2)</f>
      </c>
      <c r="U536" s="97" t="str">
        <f>Q536*T536</f>
      </c>
      <c r="V536" s="98" t="str">
        <f>R536*T536</f>
      </c>
      <c r="W536" s="99" t="str">
        <f>S536*T536</f>
      </c>
      <c r="X536" t="n">
        <v>0</v>
      </c>
      <c r="Y536" s="100" t="n">
        <v>2017</v>
      </c>
      <c r="Z536" t="s">
        <v>389</v>
      </c>
      <c r="AA536" s="101" t="str">
        <f>IF(G536="shared-count-once",COUNTIFS($A$2:$A$807,A536,$B$2:$B$807,B536,$D$2:$D$807,D536),1)</f>
      </c>
    </row>
    <row r="537">
      <c r="A537" t="s">
        <v>76</v>
      </c>
      <c r="B537" s="79" t="n">
        <v>2040</v>
      </c>
      <c r="C537" t="s">
        <v>194</v>
      </c>
      <c r="D537" s="80" t="s">
        <v>391</v>
      </c>
      <c r="E537" s="81" t="s">
        <v>392</v>
      </c>
      <c r="F537" s="82" t="s">
        <v>197</v>
      </c>
      <c r="G537" s="83" t="s">
        <v>384</v>
      </c>
      <c r="H537" s="84" t="s">
        <v>386</v>
      </c>
      <c r="I537" s="85" t="n">
        <v>1</v>
      </c>
      <c r="J537" s="86" t="n">
        <v>1</v>
      </c>
      <c r="K537" s="87" t="n">
        <v>0.004</v>
      </c>
      <c r="L537" s="88" t="n">
        <v>314457822.69727</v>
      </c>
      <c r="M537" s="89" t="n">
        <v>314109251.582649</v>
      </c>
      <c r="N537" s="90" t="str">
        <f>MIN(MAX((B537-'Calculation_Assumptions'!$B$5+1)/'Calculation_Assumptions'!$B$7,0),1)</f>
      </c>
      <c r="O537" s="91" t="str">
        <f>L537*I537</f>
      </c>
      <c r="P537" s="92" t="str">
        <f>M537*I537</f>
      </c>
      <c r="Q537" s="93" t="str">
        <f>P537*'Calculation_Assumptions'!$B$14*J537*K537</f>
      </c>
      <c r="R537" s="94" t="str">
        <f>O537*N537*J537*K537</f>
      </c>
      <c r="S537" s="95" t="str">
        <f>R537-Q537</f>
      </c>
      <c r="T537" s="96" t="str">
        <f>1/(1+'Calculation_Assumptions'!$B$8)^(B537-'Calculation_Assumptions'!$B$2)</f>
      </c>
      <c r="U537" s="97" t="str">
        <f>Q537*T537</f>
      </c>
      <c r="V537" s="98" t="str">
        <f>R537*T537</f>
      </c>
      <c r="W537" s="99" t="str">
        <f>S537*T537</f>
      </c>
      <c r="X537" t="n">
        <v>0</v>
      </c>
      <c r="Y537" s="100" t="n">
        <v>2017</v>
      </c>
      <c r="Z537" t="s">
        <v>389</v>
      </c>
      <c r="AA537" s="101" t="str">
        <f>IF(G537="shared-count-once",COUNTIFS($A$2:$A$807,A537,$B$2:$B$807,B537,$D$2:$D$807,D537),1)</f>
      </c>
    </row>
    <row r="538">
      <c r="A538" t="s">
        <v>76</v>
      </c>
      <c r="B538" s="79" t="n">
        <v>2041</v>
      </c>
      <c r="C538" t="s">
        <v>194</v>
      </c>
      <c r="D538" s="80" t="s">
        <v>391</v>
      </c>
      <c r="E538" s="81" t="s">
        <v>392</v>
      </c>
      <c r="F538" s="82" t="s">
        <v>197</v>
      </c>
      <c r="G538" s="83" t="s">
        <v>384</v>
      </c>
      <c r="H538" s="84" t="s">
        <v>386</v>
      </c>
      <c r="I538" s="85" t="n">
        <v>1</v>
      </c>
      <c r="J538" s="86" t="n">
        <v>1</v>
      </c>
      <c r="K538" s="87" t="n">
        <v>0.004</v>
      </c>
      <c r="L538" s="88" t="n">
        <v>315762299.651562</v>
      </c>
      <c r="M538" s="89" t="n">
        <v>315352079.812423</v>
      </c>
      <c r="N538" s="90" t="str">
        <f>MIN(MAX((B538-'Calculation_Assumptions'!$B$5+1)/'Calculation_Assumptions'!$B$7,0),1)</f>
      </c>
      <c r="O538" s="91" t="str">
        <f>L538*I538</f>
      </c>
      <c r="P538" s="92" t="str">
        <f>M538*I538</f>
      </c>
      <c r="Q538" s="93" t="str">
        <f>P538*'Calculation_Assumptions'!$B$14*J538*K538</f>
      </c>
      <c r="R538" s="94" t="str">
        <f>O538*N538*J538*K538</f>
      </c>
      <c r="S538" s="95" t="str">
        <f>R538-Q538</f>
      </c>
      <c r="T538" s="96" t="str">
        <f>1/(1+'Calculation_Assumptions'!$B$8)^(B538-'Calculation_Assumptions'!$B$2)</f>
      </c>
      <c r="U538" s="97" t="str">
        <f>Q538*T538</f>
      </c>
      <c r="V538" s="98" t="str">
        <f>R538*T538</f>
      </c>
      <c r="W538" s="99" t="str">
        <f>S538*T538</f>
      </c>
      <c r="X538" t="n">
        <v>0</v>
      </c>
      <c r="Y538" s="100" t="n">
        <v>2017</v>
      </c>
      <c r="Z538" t="s">
        <v>389</v>
      </c>
      <c r="AA538" s="101" t="str">
        <f>IF(G538="shared-count-once",COUNTIFS($A$2:$A$807,A538,$B$2:$B$807,B538,$D$2:$D$807,D538),1)</f>
      </c>
    </row>
    <row r="539">
      <c r="A539" t="s">
        <v>76</v>
      </c>
      <c r="B539" s="79" t="n">
        <v>2042</v>
      </c>
      <c r="C539" t="s">
        <v>194</v>
      </c>
      <c r="D539" s="80" t="s">
        <v>391</v>
      </c>
      <c r="E539" s="81" t="s">
        <v>392</v>
      </c>
      <c r="F539" s="82" t="s">
        <v>197</v>
      </c>
      <c r="G539" s="83" t="s">
        <v>384</v>
      </c>
      <c r="H539" s="84" t="s">
        <v>386</v>
      </c>
      <c r="I539" s="85" t="n">
        <v>1</v>
      </c>
      <c r="J539" s="86" t="n">
        <v>1</v>
      </c>
      <c r="K539" s="87" t="n">
        <v>0.004</v>
      </c>
      <c r="L539" s="88" t="n">
        <v>317010735.77488</v>
      </c>
      <c r="M539" s="89" t="n">
        <v>316395286.312016</v>
      </c>
      <c r="N539" s="90" t="str">
        <f>MIN(MAX((B539-'Calculation_Assumptions'!$B$5+1)/'Calculation_Assumptions'!$B$7,0),1)</f>
      </c>
      <c r="O539" s="91" t="str">
        <f>L539*I539</f>
      </c>
      <c r="P539" s="92" t="str">
        <f>M539*I539</f>
      </c>
      <c r="Q539" s="93" t="str">
        <f>P539*'Calculation_Assumptions'!$B$14*J539*K539</f>
      </c>
      <c r="R539" s="94" t="str">
        <f>O539*N539*J539*K539</f>
      </c>
      <c r="S539" s="95" t="str">
        <f>R539-Q539</f>
      </c>
      <c r="T539" s="96" t="str">
        <f>1/(1+'Calculation_Assumptions'!$B$8)^(B539-'Calculation_Assumptions'!$B$2)</f>
      </c>
      <c r="U539" s="97" t="str">
        <f>Q539*T539</f>
      </c>
      <c r="V539" s="98" t="str">
        <f>R539*T539</f>
      </c>
      <c r="W539" s="99" t="str">
        <f>S539*T539</f>
      </c>
      <c r="X539" t="n">
        <v>0</v>
      </c>
      <c r="Y539" s="100" t="n">
        <v>2017</v>
      </c>
      <c r="Z539" t="s">
        <v>389</v>
      </c>
      <c r="AA539" s="101" t="str">
        <f>IF(G539="shared-count-once",COUNTIFS($A$2:$A$807,A539,$B$2:$B$807,B539,$D$2:$D$807,D539),1)</f>
      </c>
    </row>
    <row r="540">
      <c r="A540" t="s">
        <v>76</v>
      </c>
      <c r="B540" s="79" t="n">
        <v>2043</v>
      </c>
      <c r="C540" t="s">
        <v>194</v>
      </c>
      <c r="D540" s="80" t="s">
        <v>391</v>
      </c>
      <c r="E540" s="81" t="s">
        <v>392</v>
      </c>
      <c r="F540" s="82" t="s">
        <v>197</v>
      </c>
      <c r="G540" s="83" t="s">
        <v>384</v>
      </c>
      <c r="H540" s="84" t="s">
        <v>386</v>
      </c>
      <c r="I540" s="85" t="n">
        <v>1</v>
      </c>
      <c r="J540" s="86" t="n">
        <v>1</v>
      </c>
      <c r="K540" s="87" t="n">
        <v>0.004</v>
      </c>
      <c r="L540" s="88" t="n">
        <v>318158750.005661</v>
      </c>
      <c r="M540" s="89" t="n">
        <v>317619735.688289</v>
      </c>
      <c r="N540" s="90" t="str">
        <f>MIN(MAX((B540-'Calculation_Assumptions'!$B$5+1)/'Calculation_Assumptions'!$B$7,0),1)</f>
      </c>
      <c r="O540" s="91" t="str">
        <f>L540*I540</f>
      </c>
      <c r="P540" s="92" t="str">
        <f>M540*I540</f>
      </c>
      <c r="Q540" s="93" t="str">
        <f>P540*'Calculation_Assumptions'!$B$14*J540*K540</f>
      </c>
      <c r="R540" s="94" t="str">
        <f>O540*N540*J540*K540</f>
      </c>
      <c r="S540" s="95" t="str">
        <f>R540-Q540</f>
      </c>
      <c r="T540" s="96" t="str">
        <f>1/(1+'Calculation_Assumptions'!$B$8)^(B540-'Calculation_Assumptions'!$B$2)</f>
      </c>
      <c r="U540" s="97" t="str">
        <f>Q540*T540</f>
      </c>
      <c r="V540" s="98" t="str">
        <f>R540*T540</f>
      </c>
      <c r="W540" s="99" t="str">
        <f>S540*T540</f>
      </c>
      <c r="X540" t="n">
        <v>0</v>
      </c>
      <c r="Y540" s="100" t="n">
        <v>2017</v>
      </c>
      <c r="Z540" t="s">
        <v>389</v>
      </c>
      <c r="AA540" s="101" t="str">
        <f>IF(G540="shared-count-once",COUNTIFS($A$2:$A$807,A540,$B$2:$B$807,B540,$D$2:$D$807,D540),1)</f>
      </c>
    </row>
    <row r="541">
      <c r="A541" t="s">
        <v>76</v>
      </c>
      <c r="B541" s="79" t="n">
        <v>2044</v>
      </c>
      <c r="C541" t="s">
        <v>194</v>
      </c>
      <c r="D541" s="80" t="s">
        <v>391</v>
      </c>
      <c r="E541" s="81" t="s">
        <v>392</v>
      </c>
      <c r="F541" s="82" t="s">
        <v>197</v>
      </c>
      <c r="G541" s="83" t="s">
        <v>384</v>
      </c>
      <c r="H541" s="84" t="s">
        <v>386</v>
      </c>
      <c r="I541" s="85" t="n">
        <v>1</v>
      </c>
      <c r="J541" s="86" t="n">
        <v>1</v>
      </c>
      <c r="K541" s="87" t="n">
        <v>0.004</v>
      </c>
      <c r="L541" s="88" t="n">
        <v>319305078.475065</v>
      </c>
      <c r="M541" s="89" t="n">
        <v>318697135.863652</v>
      </c>
      <c r="N541" s="90" t="str">
        <f>MIN(MAX((B541-'Calculation_Assumptions'!$B$5+1)/'Calculation_Assumptions'!$B$7,0),1)</f>
      </c>
      <c r="O541" s="91" t="str">
        <f>L541*I541</f>
      </c>
      <c r="P541" s="92" t="str">
        <f>M541*I541</f>
      </c>
      <c r="Q541" s="93" t="str">
        <f>P541*'Calculation_Assumptions'!$B$14*J541*K541</f>
      </c>
      <c r="R541" s="94" t="str">
        <f>O541*N541*J541*K541</f>
      </c>
      <c r="S541" s="95" t="str">
        <f>R541-Q541</f>
      </c>
      <c r="T541" s="96" t="str">
        <f>1/(1+'Calculation_Assumptions'!$B$8)^(B541-'Calculation_Assumptions'!$B$2)</f>
      </c>
      <c r="U541" s="97" t="str">
        <f>Q541*T541</f>
      </c>
      <c r="V541" s="98" t="str">
        <f>R541*T541</f>
      </c>
      <c r="W541" s="99" t="str">
        <f>S541*T541</f>
      </c>
      <c r="X541" t="n">
        <v>0</v>
      </c>
      <c r="Y541" s="100" t="n">
        <v>2017</v>
      </c>
      <c r="Z541" t="s">
        <v>389</v>
      </c>
      <c r="AA541" s="101" t="str">
        <f>IF(G541="shared-count-once",COUNTIFS($A$2:$A$807,A541,$B$2:$B$807,B541,$D$2:$D$807,D541),1)</f>
      </c>
    </row>
    <row r="542">
      <c r="A542" t="s">
        <v>76</v>
      </c>
      <c r="B542" s="79" t="n">
        <v>2045</v>
      </c>
      <c r="C542" t="s">
        <v>194</v>
      </c>
      <c r="D542" s="80" t="s">
        <v>391</v>
      </c>
      <c r="E542" s="81" t="s">
        <v>392</v>
      </c>
      <c r="F542" s="82" t="s">
        <v>197</v>
      </c>
      <c r="G542" s="83" t="s">
        <v>384</v>
      </c>
      <c r="H542" s="84" t="s">
        <v>386</v>
      </c>
      <c r="I542" s="85" t="n">
        <v>1</v>
      </c>
      <c r="J542" s="86" t="n">
        <v>1</v>
      </c>
      <c r="K542" s="87" t="n">
        <v>0.004</v>
      </c>
      <c r="L542" s="88" t="n">
        <v>320395460.874147</v>
      </c>
      <c r="M542" s="89" t="n">
        <v>319717840.85179</v>
      </c>
      <c r="N542" s="90" t="str">
        <f>MIN(MAX((B542-'Calculation_Assumptions'!$B$5+1)/'Calculation_Assumptions'!$B$7,0),1)</f>
      </c>
      <c r="O542" s="91" t="str">
        <f>L542*I542</f>
      </c>
      <c r="P542" s="92" t="str">
        <f>M542*I542</f>
      </c>
      <c r="Q542" s="93" t="str">
        <f>P542*'Calculation_Assumptions'!$B$14*J542*K542</f>
      </c>
      <c r="R542" s="94" t="str">
        <f>O542*N542*J542*K542</f>
      </c>
      <c r="S542" s="95" t="str">
        <f>R542-Q542</f>
      </c>
      <c r="T542" s="96" t="str">
        <f>1/(1+'Calculation_Assumptions'!$B$8)^(B542-'Calculation_Assumptions'!$B$2)</f>
      </c>
      <c r="U542" s="97" t="str">
        <f>Q542*T542</f>
      </c>
      <c r="V542" s="98" t="str">
        <f>R542*T542</f>
      </c>
      <c r="W542" s="99" t="str">
        <f>S542*T542</f>
      </c>
      <c r="X542" t="n">
        <v>0</v>
      </c>
      <c r="Y542" s="100" t="n">
        <v>2017</v>
      </c>
      <c r="Z542" t="s">
        <v>389</v>
      </c>
      <c r="AA542" s="101" t="str">
        <f>IF(G542="shared-count-once",COUNTIFS($A$2:$A$807,A542,$B$2:$B$807,B542,$D$2:$D$807,D542),1)</f>
      </c>
    </row>
    <row r="543">
      <c r="A543" t="s">
        <v>76</v>
      </c>
      <c r="B543" s="79" t="n">
        <v>2046</v>
      </c>
      <c r="C543" t="s">
        <v>194</v>
      </c>
      <c r="D543" s="80" t="s">
        <v>391</v>
      </c>
      <c r="E543" s="81" t="s">
        <v>392</v>
      </c>
      <c r="F543" s="82" t="s">
        <v>197</v>
      </c>
      <c r="G543" s="83" t="s">
        <v>384</v>
      </c>
      <c r="H543" s="84" t="s">
        <v>386</v>
      </c>
      <c r="I543" s="85" t="n">
        <v>1</v>
      </c>
      <c r="J543" s="86" t="n">
        <v>1</v>
      </c>
      <c r="K543" s="87" t="n">
        <v>0.004</v>
      </c>
      <c r="L543" s="88" t="n">
        <v>321430558.971018</v>
      </c>
      <c r="M543" s="89" t="n">
        <v>320683879.806276</v>
      </c>
      <c r="N543" s="90" t="str">
        <f>MIN(MAX((B543-'Calculation_Assumptions'!$B$5+1)/'Calculation_Assumptions'!$B$7,0),1)</f>
      </c>
      <c r="O543" s="91" t="str">
        <f>L543*I543</f>
      </c>
      <c r="P543" s="92" t="str">
        <f>M543*I543</f>
      </c>
      <c r="Q543" s="93" t="str">
        <f>P543*'Calculation_Assumptions'!$B$14*J543*K543</f>
      </c>
      <c r="R543" s="94" t="str">
        <f>O543*N543*J543*K543</f>
      </c>
      <c r="S543" s="95" t="str">
        <f>R543-Q543</f>
      </c>
      <c r="T543" s="96" t="str">
        <f>1/(1+'Calculation_Assumptions'!$B$8)^(B543-'Calculation_Assumptions'!$B$2)</f>
      </c>
      <c r="U543" s="97" t="str">
        <f>Q543*T543</f>
      </c>
      <c r="V543" s="98" t="str">
        <f>R543*T543</f>
      </c>
      <c r="W543" s="99" t="str">
        <f>S543*T543</f>
      </c>
      <c r="X543" t="n">
        <v>0</v>
      </c>
      <c r="Y543" s="100" t="n">
        <v>2017</v>
      </c>
      <c r="Z543" t="s">
        <v>389</v>
      </c>
      <c r="AA543" s="101" t="str">
        <f>IF(G543="shared-count-once",COUNTIFS($A$2:$A$807,A543,$B$2:$B$807,B543,$D$2:$D$807,D543),1)</f>
      </c>
    </row>
    <row r="544">
      <c r="A544" t="s">
        <v>76</v>
      </c>
      <c r="B544" s="79" t="n">
        <v>2047</v>
      </c>
      <c r="C544" t="s">
        <v>194</v>
      </c>
      <c r="D544" s="80" t="s">
        <v>391</v>
      </c>
      <c r="E544" s="81" t="s">
        <v>392</v>
      </c>
      <c r="F544" s="82" t="s">
        <v>197</v>
      </c>
      <c r="G544" s="83" t="s">
        <v>384</v>
      </c>
      <c r="H544" s="84" t="s">
        <v>386</v>
      </c>
      <c r="I544" s="85" t="n">
        <v>1</v>
      </c>
      <c r="J544" s="86" t="n">
        <v>1</v>
      </c>
      <c r="K544" s="87" t="n">
        <v>0.004</v>
      </c>
      <c r="L544" s="88" t="n">
        <v>322411096.713551</v>
      </c>
      <c r="M544" s="89" t="n">
        <v>321595541.389526</v>
      </c>
      <c r="N544" s="90" t="str">
        <f>MIN(MAX((B544-'Calculation_Assumptions'!$B$5+1)/'Calculation_Assumptions'!$B$7,0),1)</f>
      </c>
      <c r="O544" s="91" t="str">
        <f>L544*I544</f>
      </c>
      <c r="P544" s="92" t="str">
        <f>M544*I544</f>
      </c>
      <c r="Q544" s="93" t="str">
        <f>P544*'Calculation_Assumptions'!$B$14*J544*K544</f>
      </c>
      <c r="R544" s="94" t="str">
        <f>O544*N544*J544*K544</f>
      </c>
      <c r="S544" s="95" t="str">
        <f>R544-Q544</f>
      </c>
      <c r="T544" s="96" t="str">
        <f>1/(1+'Calculation_Assumptions'!$B$8)^(B544-'Calculation_Assumptions'!$B$2)</f>
      </c>
      <c r="U544" s="97" t="str">
        <f>Q544*T544</f>
      </c>
      <c r="V544" s="98" t="str">
        <f>R544*T544</f>
      </c>
      <c r="W544" s="99" t="str">
        <f>S544*T544</f>
      </c>
      <c r="X544" t="n">
        <v>0</v>
      </c>
      <c r="Y544" s="100" t="n">
        <v>2017</v>
      </c>
      <c r="Z544" t="s">
        <v>389</v>
      </c>
      <c r="AA544" s="101" t="str">
        <f>IF(G544="shared-count-once",COUNTIFS($A$2:$A$807,A544,$B$2:$B$807,B544,$D$2:$D$807,D544),1)</f>
      </c>
    </row>
    <row r="545">
      <c r="A545" t="s">
        <v>76</v>
      </c>
      <c r="B545" s="79" t="n">
        <v>2048</v>
      </c>
      <c r="C545" t="s">
        <v>194</v>
      </c>
      <c r="D545" s="80" t="s">
        <v>391</v>
      </c>
      <c r="E545" s="81" t="s">
        <v>392</v>
      </c>
      <c r="F545" s="82" t="s">
        <v>197</v>
      </c>
      <c r="G545" s="83" t="s">
        <v>384</v>
      </c>
      <c r="H545" s="84" t="s">
        <v>386</v>
      </c>
      <c r="I545" s="85" t="n">
        <v>1</v>
      </c>
      <c r="J545" s="86" t="n">
        <v>1</v>
      </c>
      <c r="K545" s="87" t="n">
        <v>0.004</v>
      </c>
      <c r="L545" s="88" t="n">
        <v>323337875.603966</v>
      </c>
      <c r="M545" s="89" t="n">
        <v>322453622.669464</v>
      </c>
      <c r="N545" s="90" t="str">
        <f>MIN(MAX((B545-'Calculation_Assumptions'!$B$5+1)/'Calculation_Assumptions'!$B$7,0),1)</f>
      </c>
      <c r="O545" s="91" t="str">
        <f>L545*I545</f>
      </c>
      <c r="P545" s="92" t="str">
        <f>M545*I545</f>
      </c>
      <c r="Q545" s="93" t="str">
        <f>P545*'Calculation_Assumptions'!$B$14*J545*K545</f>
      </c>
      <c r="R545" s="94" t="str">
        <f>O545*N545*J545*K545</f>
      </c>
      <c r="S545" s="95" t="str">
        <f>R545-Q545</f>
      </c>
      <c r="T545" s="96" t="str">
        <f>1/(1+'Calculation_Assumptions'!$B$8)^(B545-'Calculation_Assumptions'!$B$2)</f>
      </c>
      <c r="U545" s="97" t="str">
        <f>Q545*T545</f>
      </c>
      <c r="V545" s="98" t="str">
        <f>R545*T545</f>
      </c>
      <c r="W545" s="99" t="str">
        <f>S545*T545</f>
      </c>
      <c r="X545" t="n">
        <v>0</v>
      </c>
      <c r="Y545" s="100" t="n">
        <v>2017</v>
      </c>
      <c r="Z545" t="s">
        <v>389</v>
      </c>
      <c r="AA545" s="101" t="str">
        <f>IF(G545="shared-count-once",COUNTIFS($A$2:$A$807,A545,$B$2:$B$807,B545,$D$2:$D$807,D545),1)</f>
      </c>
    </row>
    <row r="546">
      <c r="A546" t="s">
        <v>76</v>
      </c>
      <c r="B546" s="79" t="n">
        <v>2049</v>
      </c>
      <c r="C546" t="s">
        <v>194</v>
      </c>
      <c r="D546" s="80" t="s">
        <v>391</v>
      </c>
      <c r="E546" s="81" t="s">
        <v>392</v>
      </c>
      <c r="F546" s="82" t="s">
        <v>197</v>
      </c>
      <c r="G546" s="83" t="s">
        <v>384</v>
      </c>
      <c r="H546" s="84" t="s">
        <v>386</v>
      </c>
      <c r="I546" s="85" t="n">
        <v>1</v>
      </c>
      <c r="J546" s="86" t="n">
        <v>1</v>
      </c>
      <c r="K546" s="87" t="n">
        <v>0.004</v>
      </c>
      <c r="L546" s="88" t="n">
        <v>324211859.675226</v>
      </c>
      <c r="M546" s="89" t="n">
        <v>323259246.716719</v>
      </c>
      <c r="N546" s="90" t="str">
        <f>MIN(MAX((B546-'Calculation_Assumptions'!$B$5+1)/'Calculation_Assumptions'!$B$7,0),1)</f>
      </c>
      <c r="O546" s="91" t="str">
        <f>L546*I546</f>
      </c>
      <c r="P546" s="92" t="str">
        <f>M546*I546</f>
      </c>
      <c r="Q546" s="93" t="str">
        <f>P546*'Calculation_Assumptions'!$B$14*J546*K546</f>
      </c>
      <c r="R546" s="94" t="str">
        <f>O546*N546*J546*K546</f>
      </c>
      <c r="S546" s="95" t="str">
        <f>R546-Q546</f>
      </c>
      <c r="T546" s="96" t="str">
        <f>1/(1+'Calculation_Assumptions'!$B$8)^(B546-'Calculation_Assumptions'!$B$2)</f>
      </c>
      <c r="U546" s="97" t="str">
        <f>Q546*T546</f>
      </c>
      <c r="V546" s="98" t="str">
        <f>R546*T546</f>
      </c>
      <c r="W546" s="99" t="str">
        <f>S546*T546</f>
      </c>
      <c r="X546" t="n">
        <v>0</v>
      </c>
      <c r="Y546" s="100" t="n">
        <v>2017</v>
      </c>
      <c r="Z546" t="s">
        <v>389</v>
      </c>
      <c r="AA546" s="101" t="str">
        <f>IF(G546="shared-count-once",COUNTIFS($A$2:$A$807,A546,$B$2:$B$807,B546,$D$2:$D$807,D546),1)</f>
      </c>
    </row>
    <row r="547">
      <c r="A547" t="s">
        <v>76</v>
      </c>
      <c r="B547" s="79" t="n">
        <v>2050</v>
      </c>
      <c r="C547" t="s">
        <v>194</v>
      </c>
      <c r="D547" s="80" t="s">
        <v>391</v>
      </c>
      <c r="E547" s="81" t="s">
        <v>392</v>
      </c>
      <c r="F547" s="82" t="s">
        <v>197</v>
      </c>
      <c r="G547" s="83" t="s">
        <v>384</v>
      </c>
      <c r="H547" s="84" t="s">
        <v>386</v>
      </c>
      <c r="I547" s="85" t="n">
        <v>1</v>
      </c>
      <c r="J547" s="86" t="n">
        <v>1</v>
      </c>
      <c r="K547" s="87" t="n">
        <v>0.004</v>
      </c>
      <c r="L547" s="88" t="n">
        <v>325034214.935484</v>
      </c>
      <c r="M547" s="89" t="n">
        <v>324013738.182479</v>
      </c>
      <c r="N547" s="90" t="str">
        <f>MIN(MAX((B547-'Calculation_Assumptions'!$B$5+1)/'Calculation_Assumptions'!$B$7,0),1)</f>
      </c>
      <c r="O547" s="91" t="str">
        <f>L547*I547</f>
      </c>
      <c r="P547" s="92" t="str">
        <f>M547*I547</f>
      </c>
      <c r="Q547" s="93" t="str">
        <f>P547*'Calculation_Assumptions'!$B$14*J547*K547</f>
      </c>
      <c r="R547" s="94" t="str">
        <f>O547*N547*J547*K547</f>
      </c>
      <c r="S547" s="95" t="str">
        <f>R547-Q547</f>
      </c>
      <c r="T547" s="96" t="str">
        <f>1/(1+'Calculation_Assumptions'!$B$8)^(B547-'Calculation_Assumptions'!$B$2)</f>
      </c>
      <c r="U547" s="97" t="str">
        <f>Q547*T547</f>
      </c>
      <c r="V547" s="98" t="str">
        <f>R547*T547</f>
      </c>
      <c r="W547" s="99" t="str">
        <f>S547*T547</f>
      </c>
      <c r="X547" t="n">
        <v>0</v>
      </c>
      <c r="Y547" s="100" t="n">
        <v>2017</v>
      </c>
      <c r="Z547" t="s">
        <v>389</v>
      </c>
      <c r="AA547" s="101" t="str">
        <f>IF(G547="shared-count-once",COUNTIFS($A$2:$A$807,A547,$B$2:$B$807,B547,$D$2:$D$807,D547),1)</f>
      </c>
    </row>
    <row r="548">
      <c r="A548" t="s">
        <v>76</v>
      </c>
      <c r="B548" s="79" t="n">
        <v>2025</v>
      </c>
      <c r="C548" t="s">
        <v>202</v>
      </c>
      <c r="D548" s="80" t="s">
        <v>393</v>
      </c>
      <c r="E548" s="81" t="s">
        <v>394</v>
      </c>
      <c r="F548" s="82" t="s">
        <v>206</v>
      </c>
      <c r="G548" s="83" t="s">
        <v>395</v>
      </c>
      <c r="H548" s="84" t="s">
        <v>386</v>
      </c>
      <c r="I548" s="85" t="n">
        <v>1</v>
      </c>
      <c r="J548" s="86" t="n">
        <v>1</v>
      </c>
      <c r="K548" s="87" t="n">
        <v>0.008775</v>
      </c>
      <c r="L548" s="88" t="n">
        <v>288000821.106462</v>
      </c>
      <c r="M548" s="89" t="n">
        <v>288000821.106462</v>
      </c>
      <c r="N548" s="90" t="str">
        <f>MIN(MAX((B548-'Calculation_Assumptions'!$B$5+1)/'Calculation_Assumptions'!$B$7,0),1)</f>
      </c>
      <c r="O548" s="91" t="str">
        <f>L548*I548</f>
      </c>
      <c r="P548" s="92" t="str">
        <f>M548*I548</f>
      </c>
      <c r="Q548" s="93" t="str">
        <f>P548*'Calculation_Assumptions'!$B$14*J548*K548</f>
      </c>
      <c r="R548" s="94" t="str">
        <f>O548*N548*J548*K548</f>
      </c>
      <c r="S548" s="95" t="str">
        <f>R548-Q548</f>
      </c>
      <c r="T548" s="96" t="str">
        <f>1/(1+'Calculation_Assumptions'!$B$8)^(B548-'Calculation_Assumptions'!$B$2)</f>
      </c>
      <c r="U548" s="97" t="str">
        <f>Q548*T548</f>
      </c>
      <c r="V548" s="98" t="str">
        <f>R548*T548</f>
      </c>
      <c r="W548" s="99" t="str">
        <f>S548*T548</f>
      </c>
      <c r="X548" t="n">
        <v>0</v>
      </c>
      <c r="Y548" s="100" t="n">
        <v>2017</v>
      </c>
      <c r="Z548" t="s">
        <v>389</v>
      </c>
      <c r="AA548" s="101" t="str">
        <f>IF(G548="shared-count-once",COUNTIFS($A$2:$A$807,A548,$B$2:$B$807,B548,$D$2:$D$807,D548),1)</f>
      </c>
    </row>
    <row r="549">
      <c r="A549" t="s">
        <v>76</v>
      </c>
      <c r="B549" s="79" t="n">
        <v>2026</v>
      </c>
      <c r="C549" t="s">
        <v>202</v>
      </c>
      <c r="D549" s="80" t="s">
        <v>393</v>
      </c>
      <c r="E549" s="81" t="s">
        <v>394</v>
      </c>
      <c r="F549" s="82" t="s">
        <v>206</v>
      </c>
      <c r="G549" s="83" t="s">
        <v>395</v>
      </c>
      <c r="H549" s="84" t="s">
        <v>386</v>
      </c>
      <c r="I549" s="85" t="n">
        <v>1</v>
      </c>
      <c r="J549" s="86" t="n">
        <v>1</v>
      </c>
      <c r="K549" s="87" t="n">
        <v>0.008775</v>
      </c>
      <c r="L549" s="88" t="n">
        <v>290123496.103219</v>
      </c>
      <c r="M549" s="89" t="n">
        <v>290123496.103219</v>
      </c>
      <c r="N549" s="90" t="str">
        <f>MIN(MAX((B549-'Calculation_Assumptions'!$B$5+1)/'Calculation_Assumptions'!$B$7,0),1)</f>
      </c>
      <c r="O549" s="91" t="str">
        <f>L549*I549</f>
      </c>
      <c r="P549" s="92" t="str">
        <f>M549*I549</f>
      </c>
      <c r="Q549" s="93" t="str">
        <f>P549*'Calculation_Assumptions'!$B$14*J549*K549</f>
      </c>
      <c r="R549" s="94" t="str">
        <f>O549*N549*J549*K549</f>
      </c>
      <c r="S549" s="95" t="str">
        <f>R549-Q549</f>
      </c>
      <c r="T549" s="96" t="str">
        <f>1/(1+'Calculation_Assumptions'!$B$8)^(B549-'Calculation_Assumptions'!$B$2)</f>
      </c>
      <c r="U549" s="97" t="str">
        <f>Q549*T549</f>
      </c>
      <c r="V549" s="98" t="str">
        <f>R549*T549</f>
      </c>
      <c r="W549" s="99" t="str">
        <f>S549*T549</f>
      </c>
      <c r="X549" t="n">
        <v>0</v>
      </c>
      <c r="Y549" s="100" t="n">
        <v>2017</v>
      </c>
      <c r="Z549" t="s">
        <v>389</v>
      </c>
      <c r="AA549" s="101" t="str">
        <f>IF(G549="shared-count-once",COUNTIFS($A$2:$A$807,A549,$B$2:$B$807,B549,$D$2:$D$807,D549),1)</f>
      </c>
    </row>
    <row r="550">
      <c r="A550" t="s">
        <v>76</v>
      </c>
      <c r="B550" s="79" t="n">
        <v>2027</v>
      </c>
      <c r="C550" t="s">
        <v>202</v>
      </c>
      <c r="D550" s="80" t="s">
        <v>393</v>
      </c>
      <c r="E550" s="81" t="s">
        <v>394</v>
      </c>
      <c r="F550" s="82" t="s">
        <v>206</v>
      </c>
      <c r="G550" s="83" t="s">
        <v>395</v>
      </c>
      <c r="H550" s="84" t="s">
        <v>386</v>
      </c>
      <c r="I550" s="85" t="n">
        <v>1</v>
      </c>
      <c r="J550" s="86" t="n">
        <v>1</v>
      </c>
      <c r="K550" s="87" t="n">
        <v>0.008775</v>
      </c>
      <c r="L550" s="88" t="n">
        <v>292252895.096956</v>
      </c>
      <c r="M550" s="89" t="n">
        <v>292252895.096956</v>
      </c>
      <c r="N550" s="90" t="str">
        <f>MIN(MAX((B550-'Calculation_Assumptions'!$B$5+1)/'Calculation_Assumptions'!$B$7,0),1)</f>
      </c>
      <c r="O550" s="91" t="str">
        <f>L550*I550</f>
      </c>
      <c r="P550" s="92" t="str">
        <f>M550*I550</f>
      </c>
      <c r="Q550" s="93" t="str">
        <f>P550*'Calculation_Assumptions'!$B$14*J550*K550</f>
      </c>
      <c r="R550" s="94" t="str">
        <f>O550*N550*J550*K550</f>
      </c>
      <c r="S550" s="95" t="str">
        <f>R550-Q550</f>
      </c>
      <c r="T550" s="96" t="str">
        <f>1/(1+'Calculation_Assumptions'!$B$8)^(B550-'Calculation_Assumptions'!$B$2)</f>
      </c>
      <c r="U550" s="97" t="str">
        <f>Q550*T550</f>
      </c>
      <c r="V550" s="98" t="str">
        <f>R550*T550</f>
      </c>
      <c r="W550" s="99" t="str">
        <f>S550*T550</f>
      </c>
      <c r="X550" t="n">
        <v>0</v>
      </c>
      <c r="Y550" s="100" t="n">
        <v>2017</v>
      </c>
      <c r="Z550" t="s">
        <v>389</v>
      </c>
      <c r="AA550" s="101" t="str">
        <f>IF(G550="shared-count-once",COUNTIFS($A$2:$A$807,A550,$B$2:$B$807,B550,$D$2:$D$807,D550),1)</f>
      </c>
    </row>
    <row r="551">
      <c r="A551" t="s">
        <v>76</v>
      </c>
      <c r="B551" s="79" t="n">
        <v>2028</v>
      </c>
      <c r="C551" t="s">
        <v>202</v>
      </c>
      <c r="D551" s="80" t="s">
        <v>393</v>
      </c>
      <c r="E551" s="81" t="s">
        <v>394</v>
      </c>
      <c r="F551" s="82" t="s">
        <v>206</v>
      </c>
      <c r="G551" s="83" t="s">
        <v>395</v>
      </c>
      <c r="H551" s="84" t="s">
        <v>386</v>
      </c>
      <c r="I551" s="85" t="n">
        <v>1</v>
      </c>
      <c r="J551" s="86" t="n">
        <v>1</v>
      </c>
      <c r="K551" s="87" t="n">
        <v>0.008775</v>
      </c>
      <c r="L551" s="88" t="n">
        <v>294317373.248038</v>
      </c>
      <c r="M551" s="89" t="n">
        <v>294314895.305465</v>
      </c>
      <c r="N551" s="90" t="str">
        <f>MIN(MAX((B551-'Calculation_Assumptions'!$B$5+1)/'Calculation_Assumptions'!$B$7,0),1)</f>
      </c>
      <c r="O551" s="91" t="str">
        <f>L551*I551</f>
      </c>
      <c r="P551" s="92" t="str">
        <f>M551*I551</f>
      </c>
      <c r="Q551" s="93" t="str">
        <f>P551*'Calculation_Assumptions'!$B$14*J551*K551</f>
      </c>
      <c r="R551" s="94" t="str">
        <f>O551*N551*J551*K551</f>
      </c>
      <c r="S551" s="95" t="str">
        <f>R551-Q551</f>
      </c>
      <c r="T551" s="96" t="str">
        <f>1/(1+'Calculation_Assumptions'!$B$8)^(B551-'Calculation_Assumptions'!$B$2)</f>
      </c>
      <c r="U551" s="97" t="str">
        <f>Q551*T551</f>
      </c>
      <c r="V551" s="98" t="str">
        <f>R551*T551</f>
      </c>
      <c r="W551" s="99" t="str">
        <f>S551*T551</f>
      </c>
      <c r="X551" t="n">
        <v>0</v>
      </c>
      <c r="Y551" s="100" t="n">
        <v>2017</v>
      </c>
      <c r="Z551" t="s">
        <v>389</v>
      </c>
      <c r="AA551" s="101" t="str">
        <f>IF(G551="shared-count-once",COUNTIFS($A$2:$A$807,A551,$B$2:$B$807,B551,$D$2:$D$807,D551),1)</f>
      </c>
    </row>
    <row r="552">
      <c r="A552" t="s">
        <v>76</v>
      </c>
      <c r="B552" s="79" t="n">
        <v>2029</v>
      </c>
      <c r="C552" t="s">
        <v>202</v>
      </c>
      <c r="D552" s="80" t="s">
        <v>393</v>
      </c>
      <c r="E552" s="81" t="s">
        <v>394</v>
      </c>
      <c r="F552" s="82" t="s">
        <v>206</v>
      </c>
      <c r="G552" s="83" t="s">
        <v>395</v>
      </c>
      <c r="H552" s="84" t="s">
        <v>386</v>
      </c>
      <c r="I552" s="85" t="n">
        <v>1</v>
      </c>
      <c r="J552" s="86" t="n">
        <v>1</v>
      </c>
      <c r="K552" s="87" t="n">
        <v>0.008775</v>
      </c>
      <c r="L552" s="88" t="n">
        <v>296300392.819394</v>
      </c>
      <c r="M552" s="89" t="n">
        <v>296341062.542853</v>
      </c>
      <c r="N552" s="90" t="str">
        <f>MIN(MAX((B552-'Calculation_Assumptions'!$B$5+1)/'Calculation_Assumptions'!$B$7,0),1)</f>
      </c>
      <c r="O552" s="91" t="str">
        <f>L552*I552</f>
      </c>
      <c r="P552" s="92" t="str">
        <f>M552*I552</f>
      </c>
      <c r="Q552" s="93" t="str">
        <f>P552*'Calculation_Assumptions'!$B$14*J552*K552</f>
      </c>
      <c r="R552" s="94" t="str">
        <f>O552*N552*J552*K552</f>
      </c>
      <c r="S552" s="95" t="str">
        <f>R552-Q552</f>
      </c>
      <c r="T552" s="96" t="str">
        <f>1/(1+'Calculation_Assumptions'!$B$8)^(B552-'Calculation_Assumptions'!$B$2)</f>
      </c>
      <c r="U552" s="97" t="str">
        <f>Q552*T552</f>
      </c>
      <c r="V552" s="98" t="str">
        <f>R552*T552</f>
      </c>
      <c r="W552" s="99" t="str">
        <f>S552*T552</f>
      </c>
      <c r="X552" t="n">
        <v>0</v>
      </c>
      <c r="Y552" s="100" t="n">
        <v>2017</v>
      </c>
      <c r="Z552" t="s">
        <v>389</v>
      </c>
      <c r="AA552" s="101" t="str">
        <f>IF(G552="shared-count-once",COUNTIFS($A$2:$A$807,A552,$B$2:$B$807,B552,$D$2:$D$807,D552),1)</f>
      </c>
    </row>
    <row r="553">
      <c r="A553" t="s">
        <v>76</v>
      </c>
      <c r="B553" s="79" t="n">
        <v>2030</v>
      </c>
      <c r="C553" t="s">
        <v>202</v>
      </c>
      <c r="D553" s="80" t="s">
        <v>393</v>
      </c>
      <c r="E553" s="81" t="s">
        <v>394</v>
      </c>
      <c r="F553" s="82" t="s">
        <v>206</v>
      </c>
      <c r="G553" s="83" t="s">
        <v>395</v>
      </c>
      <c r="H553" s="84" t="s">
        <v>386</v>
      </c>
      <c r="I553" s="85" t="n">
        <v>1</v>
      </c>
      <c r="J553" s="86" t="n">
        <v>1</v>
      </c>
      <c r="K553" s="87" t="n">
        <v>0.008775</v>
      </c>
      <c r="L553" s="88" t="n">
        <v>298303185.826537</v>
      </c>
      <c r="M553" s="89" t="n">
        <v>298280286.057263</v>
      </c>
      <c r="N553" s="90" t="str">
        <f>MIN(MAX((B553-'Calculation_Assumptions'!$B$5+1)/'Calculation_Assumptions'!$B$7,0),1)</f>
      </c>
      <c r="O553" s="91" t="str">
        <f>L553*I553</f>
      </c>
      <c r="P553" s="92" t="str">
        <f>M553*I553</f>
      </c>
      <c r="Q553" s="93" t="str">
        <f>P553*'Calculation_Assumptions'!$B$14*J553*K553</f>
      </c>
      <c r="R553" s="94" t="str">
        <f>O553*N553*J553*K553</f>
      </c>
      <c r="S553" s="95" t="str">
        <f>R553-Q553</f>
      </c>
      <c r="T553" s="96" t="str">
        <f>1/(1+'Calculation_Assumptions'!$B$8)^(B553-'Calculation_Assumptions'!$B$2)</f>
      </c>
      <c r="U553" s="97" t="str">
        <f>Q553*T553</f>
      </c>
      <c r="V553" s="98" t="str">
        <f>R553*T553</f>
      </c>
      <c r="W553" s="99" t="str">
        <f>S553*T553</f>
      </c>
      <c r="X553" t="n">
        <v>0</v>
      </c>
      <c r="Y553" s="100" t="n">
        <v>2017</v>
      </c>
      <c r="Z553" t="s">
        <v>389</v>
      </c>
      <c r="AA553" s="101" t="str">
        <f>IF(G553="shared-count-once",COUNTIFS($A$2:$A$807,A553,$B$2:$B$807,B553,$D$2:$D$807,D553),1)</f>
      </c>
    </row>
    <row r="554">
      <c r="A554" t="s">
        <v>76</v>
      </c>
      <c r="B554" s="79" t="n">
        <v>2031</v>
      </c>
      <c r="C554" t="s">
        <v>202</v>
      </c>
      <c r="D554" s="80" t="s">
        <v>393</v>
      </c>
      <c r="E554" s="81" t="s">
        <v>394</v>
      </c>
      <c r="F554" s="82" t="s">
        <v>206</v>
      </c>
      <c r="G554" s="83" t="s">
        <v>395</v>
      </c>
      <c r="H554" s="84" t="s">
        <v>386</v>
      </c>
      <c r="I554" s="85" t="n">
        <v>1</v>
      </c>
      <c r="J554" s="86" t="n">
        <v>1</v>
      </c>
      <c r="K554" s="87" t="n">
        <v>0.008775</v>
      </c>
      <c r="L554" s="88" t="n">
        <v>300196273.385416</v>
      </c>
      <c r="M554" s="89" t="n">
        <v>300152603.254782</v>
      </c>
      <c r="N554" s="90" t="str">
        <f>MIN(MAX((B554-'Calculation_Assumptions'!$B$5+1)/'Calculation_Assumptions'!$B$7,0),1)</f>
      </c>
      <c r="O554" s="91" t="str">
        <f>L554*I554</f>
      </c>
      <c r="P554" s="92" t="str">
        <f>M554*I554</f>
      </c>
      <c r="Q554" s="93" t="str">
        <f>P554*'Calculation_Assumptions'!$B$14*J554*K554</f>
      </c>
      <c r="R554" s="94" t="str">
        <f>O554*N554*J554*K554</f>
      </c>
      <c r="S554" s="95" t="str">
        <f>R554-Q554</f>
      </c>
      <c r="T554" s="96" t="str">
        <f>1/(1+'Calculation_Assumptions'!$B$8)^(B554-'Calculation_Assumptions'!$B$2)</f>
      </c>
      <c r="U554" s="97" t="str">
        <f>Q554*T554</f>
      </c>
      <c r="V554" s="98" t="str">
        <f>R554*T554</f>
      </c>
      <c r="W554" s="99" t="str">
        <f>S554*T554</f>
      </c>
      <c r="X554" t="n">
        <v>0</v>
      </c>
      <c r="Y554" s="100" t="n">
        <v>2017</v>
      </c>
      <c r="Z554" t="s">
        <v>389</v>
      </c>
      <c r="AA554" s="101" t="str">
        <f>IF(G554="shared-count-once",COUNTIFS($A$2:$A$807,A554,$B$2:$B$807,B554,$D$2:$D$807,D554),1)</f>
      </c>
    </row>
    <row r="555">
      <c r="A555" t="s">
        <v>76</v>
      </c>
      <c r="B555" s="79" t="n">
        <v>2032</v>
      </c>
      <c r="C555" t="s">
        <v>202</v>
      </c>
      <c r="D555" s="80" t="s">
        <v>393</v>
      </c>
      <c r="E555" s="81" t="s">
        <v>394</v>
      </c>
      <c r="F555" s="82" t="s">
        <v>206</v>
      </c>
      <c r="G555" s="83" t="s">
        <v>395</v>
      </c>
      <c r="H555" s="84" t="s">
        <v>386</v>
      </c>
      <c r="I555" s="85" t="n">
        <v>1</v>
      </c>
      <c r="J555" s="86" t="n">
        <v>1</v>
      </c>
      <c r="K555" s="87" t="n">
        <v>0.008775</v>
      </c>
      <c r="L555" s="88" t="n">
        <v>301958259.790884</v>
      </c>
      <c r="M555" s="89" t="n">
        <v>301959399.633888</v>
      </c>
      <c r="N555" s="90" t="str">
        <f>MIN(MAX((B555-'Calculation_Assumptions'!$B$5+1)/'Calculation_Assumptions'!$B$7,0),1)</f>
      </c>
      <c r="O555" s="91" t="str">
        <f>L555*I555</f>
      </c>
      <c r="P555" s="92" t="str">
        <f>M555*I555</f>
      </c>
      <c r="Q555" s="93" t="str">
        <f>P555*'Calculation_Assumptions'!$B$14*J555*K555</f>
      </c>
      <c r="R555" s="94" t="str">
        <f>O555*N555*J555*K555</f>
      </c>
      <c r="S555" s="95" t="str">
        <f>R555-Q555</f>
      </c>
      <c r="T555" s="96" t="str">
        <f>1/(1+'Calculation_Assumptions'!$B$8)^(B555-'Calculation_Assumptions'!$B$2)</f>
      </c>
      <c r="U555" s="97" t="str">
        <f>Q555*T555</f>
      </c>
      <c r="V555" s="98" t="str">
        <f>R555*T555</f>
      </c>
      <c r="W555" s="99" t="str">
        <f>S555*T555</f>
      </c>
      <c r="X555" t="n">
        <v>0</v>
      </c>
      <c r="Y555" s="100" t="n">
        <v>2017</v>
      </c>
      <c r="Z555" t="s">
        <v>389</v>
      </c>
      <c r="AA555" s="101" t="str">
        <f>IF(G555="shared-count-once",COUNTIFS($A$2:$A$807,A555,$B$2:$B$807,B555,$D$2:$D$807,D555),1)</f>
      </c>
    </row>
    <row r="556">
      <c r="A556" t="s">
        <v>76</v>
      </c>
      <c r="B556" s="79" t="n">
        <v>2033</v>
      </c>
      <c r="C556" t="s">
        <v>202</v>
      </c>
      <c r="D556" s="80" t="s">
        <v>393</v>
      </c>
      <c r="E556" s="81" t="s">
        <v>394</v>
      </c>
      <c r="F556" s="82" t="s">
        <v>206</v>
      </c>
      <c r="G556" s="83" t="s">
        <v>395</v>
      </c>
      <c r="H556" s="84" t="s">
        <v>386</v>
      </c>
      <c r="I556" s="85" t="n">
        <v>1</v>
      </c>
      <c r="J556" s="86" t="n">
        <v>1</v>
      </c>
      <c r="K556" s="87" t="n">
        <v>0.008775</v>
      </c>
      <c r="L556" s="88" t="n">
        <v>303726787.443174</v>
      </c>
      <c r="M556" s="89" t="n">
        <v>303701035.202051</v>
      </c>
      <c r="N556" s="90" t="str">
        <f>MIN(MAX((B556-'Calculation_Assumptions'!$B$5+1)/'Calculation_Assumptions'!$B$7,0),1)</f>
      </c>
      <c r="O556" s="91" t="str">
        <f>L556*I556</f>
      </c>
      <c r="P556" s="92" t="str">
        <f>M556*I556</f>
      </c>
      <c r="Q556" s="93" t="str">
        <f>P556*'Calculation_Assumptions'!$B$14*J556*K556</f>
      </c>
      <c r="R556" s="94" t="str">
        <f>O556*N556*J556*K556</f>
      </c>
      <c r="S556" s="95" t="str">
        <f>R556-Q556</f>
      </c>
      <c r="T556" s="96" t="str">
        <f>1/(1+'Calculation_Assumptions'!$B$8)^(B556-'Calculation_Assumptions'!$B$2)</f>
      </c>
      <c r="U556" s="97" t="str">
        <f>Q556*T556</f>
      </c>
      <c r="V556" s="98" t="str">
        <f>R556*T556</f>
      </c>
      <c r="W556" s="99" t="str">
        <f>S556*T556</f>
      </c>
      <c r="X556" t="n">
        <v>0</v>
      </c>
      <c r="Y556" s="100" t="n">
        <v>2017</v>
      </c>
      <c r="Z556" t="s">
        <v>389</v>
      </c>
      <c r="AA556" s="101" t="str">
        <f>IF(G556="shared-count-once",COUNTIFS($A$2:$A$807,A556,$B$2:$B$807,B556,$D$2:$D$807,D556),1)</f>
      </c>
    </row>
    <row r="557">
      <c r="A557" t="s">
        <v>76</v>
      </c>
      <c r="B557" s="79" t="n">
        <v>2034</v>
      </c>
      <c r="C557" t="s">
        <v>202</v>
      </c>
      <c r="D557" s="80" t="s">
        <v>393</v>
      </c>
      <c r="E557" s="81" t="s">
        <v>394</v>
      </c>
      <c r="F557" s="82" t="s">
        <v>206</v>
      </c>
      <c r="G557" s="83" t="s">
        <v>395</v>
      </c>
      <c r="H557" s="84" t="s">
        <v>386</v>
      </c>
      <c r="I557" s="85" t="n">
        <v>1</v>
      </c>
      <c r="J557" s="86" t="n">
        <v>1</v>
      </c>
      <c r="K557" s="87" t="n">
        <v>0.008775</v>
      </c>
      <c r="L557" s="88" t="n">
        <v>305436022.714483</v>
      </c>
      <c r="M557" s="89" t="n">
        <v>305377998.093319</v>
      </c>
      <c r="N557" s="90" t="str">
        <f>MIN(MAX((B557-'Calculation_Assumptions'!$B$5+1)/'Calculation_Assumptions'!$B$7,0),1)</f>
      </c>
      <c r="O557" s="91" t="str">
        <f>L557*I557</f>
      </c>
      <c r="P557" s="92" t="str">
        <f>M557*I557</f>
      </c>
      <c r="Q557" s="93" t="str">
        <f>P557*'Calculation_Assumptions'!$B$14*J557*K557</f>
      </c>
      <c r="R557" s="94" t="str">
        <f>O557*N557*J557*K557</f>
      </c>
      <c r="S557" s="95" t="str">
        <f>R557-Q557</f>
      </c>
      <c r="T557" s="96" t="str">
        <f>1/(1+'Calculation_Assumptions'!$B$8)^(B557-'Calculation_Assumptions'!$B$2)</f>
      </c>
      <c r="U557" s="97" t="str">
        <f>Q557*T557</f>
      </c>
      <c r="V557" s="98" t="str">
        <f>R557*T557</f>
      </c>
      <c r="W557" s="99" t="str">
        <f>S557*T557</f>
      </c>
      <c r="X557" t="n">
        <v>0</v>
      </c>
      <c r="Y557" s="100" t="n">
        <v>2017</v>
      </c>
      <c r="Z557" t="s">
        <v>389</v>
      </c>
      <c r="AA557" s="101" t="str">
        <f>IF(G557="shared-count-once",COUNTIFS($A$2:$A$807,A557,$B$2:$B$807,B557,$D$2:$D$807,D557),1)</f>
      </c>
    </row>
    <row r="558">
      <c r="A558" t="s">
        <v>76</v>
      </c>
      <c r="B558" s="79" t="n">
        <v>2035</v>
      </c>
      <c r="C558" t="s">
        <v>202</v>
      </c>
      <c r="D558" s="80" t="s">
        <v>393</v>
      </c>
      <c r="E558" s="81" t="s">
        <v>394</v>
      </c>
      <c r="F558" s="82" t="s">
        <v>206</v>
      </c>
      <c r="G558" s="83" t="s">
        <v>395</v>
      </c>
      <c r="H558" s="84" t="s">
        <v>386</v>
      </c>
      <c r="I558" s="85" t="n">
        <v>1</v>
      </c>
      <c r="J558" s="86" t="n">
        <v>1</v>
      </c>
      <c r="K558" s="87" t="n">
        <v>0.008775</v>
      </c>
      <c r="L558" s="88" t="n">
        <v>307084503.869544</v>
      </c>
      <c r="M558" s="89" t="n">
        <v>306989258.29407</v>
      </c>
      <c r="N558" s="90" t="str">
        <f>MIN(MAX((B558-'Calculation_Assumptions'!$B$5+1)/'Calculation_Assumptions'!$B$7,0),1)</f>
      </c>
      <c r="O558" s="91" t="str">
        <f>L558*I558</f>
      </c>
      <c r="P558" s="92" t="str">
        <f>M558*I558</f>
      </c>
      <c r="Q558" s="93" t="str">
        <f>P558*'Calculation_Assumptions'!$B$14*J558*K558</f>
      </c>
      <c r="R558" s="94" t="str">
        <f>O558*N558*J558*K558</f>
      </c>
      <c r="S558" s="95" t="str">
        <f>R558-Q558</f>
      </c>
      <c r="T558" s="96" t="str">
        <f>1/(1+'Calculation_Assumptions'!$B$8)^(B558-'Calculation_Assumptions'!$B$2)</f>
      </c>
      <c r="U558" s="97" t="str">
        <f>Q558*T558</f>
      </c>
      <c r="V558" s="98" t="str">
        <f>R558*T558</f>
      </c>
      <c r="W558" s="99" t="str">
        <f>S558*T558</f>
      </c>
      <c r="X558" t="n">
        <v>0</v>
      </c>
      <c r="Y558" s="100" t="n">
        <v>2017</v>
      </c>
      <c r="Z558" t="s">
        <v>389</v>
      </c>
      <c r="AA558" s="101" t="str">
        <f>IF(G558="shared-count-once",COUNTIFS($A$2:$A$807,A558,$B$2:$B$807,B558,$D$2:$D$807,D558),1)</f>
      </c>
    </row>
    <row r="559">
      <c r="A559" t="s">
        <v>76</v>
      </c>
      <c r="B559" s="79" t="n">
        <v>2036</v>
      </c>
      <c r="C559" t="s">
        <v>202</v>
      </c>
      <c r="D559" s="80" t="s">
        <v>393</v>
      </c>
      <c r="E559" s="81" t="s">
        <v>394</v>
      </c>
      <c r="F559" s="82" t="s">
        <v>206</v>
      </c>
      <c r="G559" s="83" t="s">
        <v>395</v>
      </c>
      <c r="H559" s="84" t="s">
        <v>386</v>
      </c>
      <c r="I559" s="85" t="n">
        <v>1</v>
      </c>
      <c r="J559" s="86" t="n">
        <v>1</v>
      </c>
      <c r="K559" s="87" t="n">
        <v>0.008775</v>
      </c>
      <c r="L559" s="88" t="n">
        <v>308674578.680747</v>
      </c>
      <c r="M559" s="89" t="n">
        <v>308537399.672094</v>
      </c>
      <c r="N559" s="90" t="str">
        <f>MIN(MAX((B559-'Calculation_Assumptions'!$B$5+1)/'Calculation_Assumptions'!$B$7,0),1)</f>
      </c>
      <c r="O559" s="91" t="str">
        <f>L559*I559</f>
      </c>
      <c r="P559" s="92" t="str">
        <f>M559*I559</f>
      </c>
      <c r="Q559" s="93" t="str">
        <f>P559*'Calculation_Assumptions'!$B$14*J559*K559</f>
      </c>
      <c r="R559" s="94" t="str">
        <f>O559*N559*J559*K559</f>
      </c>
      <c r="S559" s="95" t="str">
        <f>R559-Q559</f>
      </c>
      <c r="T559" s="96" t="str">
        <f>1/(1+'Calculation_Assumptions'!$B$8)^(B559-'Calculation_Assumptions'!$B$2)</f>
      </c>
      <c r="U559" s="97" t="str">
        <f>Q559*T559</f>
      </c>
      <c r="V559" s="98" t="str">
        <f>R559*T559</f>
      </c>
      <c r="W559" s="99" t="str">
        <f>S559*T559</f>
      </c>
      <c r="X559" t="n">
        <v>0</v>
      </c>
      <c r="Y559" s="100" t="n">
        <v>2017</v>
      </c>
      <c r="Z559" t="s">
        <v>389</v>
      </c>
      <c r="AA559" s="101" t="str">
        <f>IF(G559="shared-count-once",COUNTIFS($A$2:$A$807,A559,$B$2:$B$807,B559,$D$2:$D$807,D559),1)</f>
      </c>
    </row>
    <row r="560">
      <c r="A560" t="s">
        <v>76</v>
      </c>
      <c r="B560" s="79" t="n">
        <v>2037</v>
      </c>
      <c r="C560" t="s">
        <v>202</v>
      </c>
      <c r="D560" s="80" t="s">
        <v>393</v>
      </c>
      <c r="E560" s="81" t="s">
        <v>394</v>
      </c>
      <c r="F560" s="82" t="s">
        <v>206</v>
      </c>
      <c r="G560" s="83" t="s">
        <v>395</v>
      </c>
      <c r="H560" s="84" t="s">
        <v>386</v>
      </c>
      <c r="I560" s="85" t="n">
        <v>1</v>
      </c>
      <c r="J560" s="86" t="n">
        <v>1</v>
      </c>
      <c r="K560" s="87" t="n">
        <v>0.008775</v>
      </c>
      <c r="L560" s="88" t="n">
        <v>310206624.908372</v>
      </c>
      <c r="M560" s="89" t="n">
        <v>310023120.393472</v>
      </c>
      <c r="N560" s="90" t="str">
        <f>MIN(MAX((B560-'Calculation_Assumptions'!$B$5+1)/'Calculation_Assumptions'!$B$7,0),1)</f>
      </c>
      <c r="O560" s="91" t="str">
        <f>L560*I560</f>
      </c>
      <c r="P560" s="92" t="str">
        <f>M560*I560</f>
      </c>
      <c r="Q560" s="93" t="str">
        <f>P560*'Calculation_Assumptions'!$B$14*J560*K560</f>
      </c>
      <c r="R560" s="94" t="str">
        <f>O560*N560*J560*K560</f>
      </c>
      <c r="S560" s="95" t="str">
        <f>R560-Q560</f>
      </c>
      <c r="T560" s="96" t="str">
        <f>1/(1+'Calculation_Assumptions'!$B$8)^(B560-'Calculation_Assumptions'!$B$2)</f>
      </c>
      <c r="U560" s="97" t="str">
        <f>Q560*T560</f>
      </c>
      <c r="V560" s="98" t="str">
        <f>R560*T560</f>
      </c>
      <c r="W560" s="99" t="str">
        <f>S560*T560</f>
      </c>
      <c r="X560" t="n">
        <v>0</v>
      </c>
      <c r="Y560" s="100" t="n">
        <v>2017</v>
      </c>
      <c r="Z560" t="s">
        <v>389</v>
      </c>
      <c r="AA560" s="101" t="str">
        <f>IF(G560="shared-count-once",COUNTIFS($A$2:$A$807,A560,$B$2:$B$807,B560,$D$2:$D$807,D560),1)</f>
      </c>
    </row>
    <row r="561">
      <c r="A561" t="s">
        <v>76</v>
      </c>
      <c r="B561" s="79" t="n">
        <v>2038</v>
      </c>
      <c r="C561" t="s">
        <v>202</v>
      </c>
      <c r="D561" s="80" t="s">
        <v>393</v>
      </c>
      <c r="E561" s="81" t="s">
        <v>394</v>
      </c>
      <c r="F561" s="82" t="s">
        <v>206</v>
      </c>
      <c r="G561" s="83" t="s">
        <v>395</v>
      </c>
      <c r="H561" s="84" t="s">
        <v>386</v>
      </c>
      <c r="I561" s="85" t="n">
        <v>1</v>
      </c>
      <c r="J561" s="86" t="n">
        <v>1</v>
      </c>
      <c r="K561" s="87" t="n">
        <v>0.008775</v>
      </c>
      <c r="L561" s="88" t="n">
        <v>311680372.519886</v>
      </c>
      <c r="M561" s="89" t="n">
        <v>311445837.134625</v>
      </c>
      <c r="N561" s="90" t="str">
        <f>MIN(MAX((B561-'Calculation_Assumptions'!$B$5+1)/'Calculation_Assumptions'!$B$7,0),1)</f>
      </c>
      <c r="O561" s="91" t="str">
        <f>L561*I561</f>
      </c>
      <c r="P561" s="92" t="str">
        <f>M561*I561</f>
      </c>
      <c r="Q561" s="93" t="str">
        <f>P561*'Calculation_Assumptions'!$B$14*J561*K561</f>
      </c>
      <c r="R561" s="94" t="str">
        <f>O561*N561*J561*K561</f>
      </c>
      <c r="S561" s="95" t="str">
        <f>R561-Q561</f>
      </c>
      <c r="T561" s="96" t="str">
        <f>1/(1+'Calculation_Assumptions'!$B$8)^(B561-'Calculation_Assumptions'!$B$2)</f>
      </c>
      <c r="U561" s="97" t="str">
        <f>Q561*T561</f>
      </c>
      <c r="V561" s="98" t="str">
        <f>R561*T561</f>
      </c>
      <c r="W561" s="99" t="str">
        <f>S561*T561</f>
      </c>
      <c r="X561" t="n">
        <v>0</v>
      </c>
      <c r="Y561" s="100" t="n">
        <v>2017</v>
      </c>
      <c r="Z561" t="s">
        <v>389</v>
      </c>
      <c r="AA561" s="101" t="str">
        <f>IF(G561="shared-count-once",COUNTIFS($A$2:$A$807,A561,$B$2:$B$807,B561,$D$2:$D$807,D561),1)</f>
      </c>
    </row>
    <row r="562">
      <c r="A562" t="s">
        <v>76</v>
      </c>
      <c r="B562" s="79" t="n">
        <v>2039</v>
      </c>
      <c r="C562" t="s">
        <v>202</v>
      </c>
      <c r="D562" s="80" t="s">
        <v>393</v>
      </c>
      <c r="E562" s="81" t="s">
        <v>394</v>
      </c>
      <c r="F562" s="82" t="s">
        <v>206</v>
      </c>
      <c r="G562" s="83" t="s">
        <v>395</v>
      </c>
      <c r="H562" s="84" t="s">
        <v>386</v>
      </c>
      <c r="I562" s="85" t="n">
        <v>1</v>
      </c>
      <c r="J562" s="86" t="n">
        <v>1</v>
      </c>
      <c r="K562" s="87" t="n">
        <v>0.008775</v>
      </c>
      <c r="L562" s="88" t="n">
        <v>313096760.631209</v>
      </c>
      <c r="M562" s="89" t="n">
        <v>312806989.715685</v>
      </c>
      <c r="N562" s="90" t="str">
        <f>MIN(MAX((B562-'Calculation_Assumptions'!$B$5+1)/'Calculation_Assumptions'!$B$7,0),1)</f>
      </c>
      <c r="O562" s="91" t="str">
        <f>L562*I562</f>
      </c>
      <c r="P562" s="92" t="str">
        <f>M562*I562</f>
      </c>
      <c r="Q562" s="93" t="str">
        <f>P562*'Calculation_Assumptions'!$B$14*J562*K562</f>
      </c>
      <c r="R562" s="94" t="str">
        <f>O562*N562*J562*K562</f>
      </c>
      <c r="S562" s="95" t="str">
        <f>R562-Q562</f>
      </c>
      <c r="T562" s="96" t="str">
        <f>1/(1+'Calculation_Assumptions'!$B$8)^(B562-'Calculation_Assumptions'!$B$2)</f>
      </c>
      <c r="U562" s="97" t="str">
        <f>Q562*T562</f>
      </c>
      <c r="V562" s="98" t="str">
        <f>R562*T562</f>
      </c>
      <c r="W562" s="99" t="str">
        <f>S562*T562</f>
      </c>
      <c r="X562" t="n">
        <v>0</v>
      </c>
      <c r="Y562" s="100" t="n">
        <v>2017</v>
      </c>
      <c r="Z562" t="s">
        <v>389</v>
      </c>
      <c r="AA562" s="101" t="str">
        <f>IF(G562="shared-count-once",COUNTIFS($A$2:$A$807,A562,$B$2:$B$807,B562,$D$2:$D$807,D562),1)</f>
      </c>
    </row>
    <row r="563">
      <c r="A563" t="s">
        <v>76</v>
      </c>
      <c r="B563" s="79" t="n">
        <v>2040</v>
      </c>
      <c r="C563" t="s">
        <v>202</v>
      </c>
      <c r="D563" s="80" t="s">
        <v>393</v>
      </c>
      <c r="E563" s="81" t="s">
        <v>394</v>
      </c>
      <c r="F563" s="82" t="s">
        <v>206</v>
      </c>
      <c r="G563" s="83" t="s">
        <v>395</v>
      </c>
      <c r="H563" s="84" t="s">
        <v>386</v>
      </c>
      <c r="I563" s="85" t="n">
        <v>1</v>
      </c>
      <c r="J563" s="86" t="n">
        <v>1</v>
      </c>
      <c r="K563" s="87" t="n">
        <v>0.008775</v>
      </c>
      <c r="L563" s="88" t="n">
        <v>314457822.69727</v>
      </c>
      <c r="M563" s="89" t="n">
        <v>314109251.582649</v>
      </c>
      <c r="N563" s="90" t="str">
        <f>MIN(MAX((B563-'Calculation_Assumptions'!$B$5+1)/'Calculation_Assumptions'!$B$7,0),1)</f>
      </c>
      <c r="O563" s="91" t="str">
        <f>L563*I563</f>
      </c>
      <c r="P563" s="92" t="str">
        <f>M563*I563</f>
      </c>
      <c r="Q563" s="93" t="str">
        <f>P563*'Calculation_Assumptions'!$B$14*J563*K563</f>
      </c>
      <c r="R563" s="94" t="str">
        <f>O563*N563*J563*K563</f>
      </c>
      <c r="S563" s="95" t="str">
        <f>R563-Q563</f>
      </c>
      <c r="T563" s="96" t="str">
        <f>1/(1+'Calculation_Assumptions'!$B$8)^(B563-'Calculation_Assumptions'!$B$2)</f>
      </c>
      <c r="U563" s="97" t="str">
        <f>Q563*T563</f>
      </c>
      <c r="V563" s="98" t="str">
        <f>R563*T563</f>
      </c>
      <c r="W563" s="99" t="str">
        <f>S563*T563</f>
      </c>
      <c r="X563" t="n">
        <v>0</v>
      </c>
      <c r="Y563" s="100" t="n">
        <v>2017</v>
      </c>
      <c r="Z563" t="s">
        <v>389</v>
      </c>
      <c r="AA563" s="101" t="str">
        <f>IF(G563="shared-count-once",COUNTIFS($A$2:$A$807,A563,$B$2:$B$807,B563,$D$2:$D$807,D563),1)</f>
      </c>
    </row>
    <row r="564">
      <c r="A564" t="s">
        <v>76</v>
      </c>
      <c r="B564" s="79" t="n">
        <v>2041</v>
      </c>
      <c r="C564" t="s">
        <v>202</v>
      </c>
      <c r="D564" s="80" t="s">
        <v>393</v>
      </c>
      <c r="E564" s="81" t="s">
        <v>394</v>
      </c>
      <c r="F564" s="82" t="s">
        <v>206</v>
      </c>
      <c r="G564" s="83" t="s">
        <v>395</v>
      </c>
      <c r="H564" s="84" t="s">
        <v>386</v>
      </c>
      <c r="I564" s="85" t="n">
        <v>1</v>
      </c>
      <c r="J564" s="86" t="n">
        <v>1</v>
      </c>
      <c r="K564" s="87" t="n">
        <v>0.008775</v>
      </c>
      <c r="L564" s="88" t="n">
        <v>315762299.651562</v>
      </c>
      <c r="M564" s="89" t="n">
        <v>315352079.812423</v>
      </c>
      <c r="N564" s="90" t="str">
        <f>MIN(MAX((B564-'Calculation_Assumptions'!$B$5+1)/'Calculation_Assumptions'!$B$7,0),1)</f>
      </c>
      <c r="O564" s="91" t="str">
        <f>L564*I564</f>
      </c>
      <c r="P564" s="92" t="str">
        <f>M564*I564</f>
      </c>
      <c r="Q564" s="93" t="str">
        <f>P564*'Calculation_Assumptions'!$B$14*J564*K564</f>
      </c>
      <c r="R564" s="94" t="str">
        <f>O564*N564*J564*K564</f>
      </c>
      <c r="S564" s="95" t="str">
        <f>R564-Q564</f>
      </c>
      <c r="T564" s="96" t="str">
        <f>1/(1+'Calculation_Assumptions'!$B$8)^(B564-'Calculation_Assumptions'!$B$2)</f>
      </c>
      <c r="U564" s="97" t="str">
        <f>Q564*T564</f>
      </c>
      <c r="V564" s="98" t="str">
        <f>R564*T564</f>
      </c>
      <c r="W564" s="99" t="str">
        <f>S564*T564</f>
      </c>
      <c r="X564" t="n">
        <v>0</v>
      </c>
      <c r="Y564" s="100" t="n">
        <v>2017</v>
      </c>
      <c r="Z564" t="s">
        <v>389</v>
      </c>
      <c r="AA564" s="101" t="str">
        <f>IF(G564="shared-count-once",COUNTIFS($A$2:$A$807,A564,$B$2:$B$807,B564,$D$2:$D$807,D564),1)</f>
      </c>
    </row>
    <row r="565">
      <c r="A565" t="s">
        <v>76</v>
      </c>
      <c r="B565" s="79" t="n">
        <v>2042</v>
      </c>
      <c r="C565" t="s">
        <v>202</v>
      </c>
      <c r="D565" s="80" t="s">
        <v>393</v>
      </c>
      <c r="E565" s="81" t="s">
        <v>394</v>
      </c>
      <c r="F565" s="82" t="s">
        <v>206</v>
      </c>
      <c r="G565" s="83" t="s">
        <v>395</v>
      </c>
      <c r="H565" s="84" t="s">
        <v>386</v>
      </c>
      <c r="I565" s="85" t="n">
        <v>1</v>
      </c>
      <c r="J565" s="86" t="n">
        <v>1</v>
      </c>
      <c r="K565" s="87" t="n">
        <v>0.008775</v>
      </c>
      <c r="L565" s="88" t="n">
        <v>317010735.77488</v>
      </c>
      <c r="M565" s="89" t="n">
        <v>316395286.312016</v>
      </c>
      <c r="N565" s="90" t="str">
        <f>MIN(MAX((B565-'Calculation_Assumptions'!$B$5+1)/'Calculation_Assumptions'!$B$7,0),1)</f>
      </c>
      <c r="O565" s="91" t="str">
        <f>L565*I565</f>
      </c>
      <c r="P565" s="92" t="str">
        <f>M565*I565</f>
      </c>
      <c r="Q565" s="93" t="str">
        <f>P565*'Calculation_Assumptions'!$B$14*J565*K565</f>
      </c>
      <c r="R565" s="94" t="str">
        <f>O565*N565*J565*K565</f>
      </c>
      <c r="S565" s="95" t="str">
        <f>R565-Q565</f>
      </c>
      <c r="T565" s="96" t="str">
        <f>1/(1+'Calculation_Assumptions'!$B$8)^(B565-'Calculation_Assumptions'!$B$2)</f>
      </c>
      <c r="U565" s="97" t="str">
        <f>Q565*T565</f>
      </c>
      <c r="V565" s="98" t="str">
        <f>R565*T565</f>
      </c>
      <c r="W565" s="99" t="str">
        <f>S565*T565</f>
      </c>
      <c r="X565" t="n">
        <v>0</v>
      </c>
      <c r="Y565" s="100" t="n">
        <v>2017</v>
      </c>
      <c r="Z565" t="s">
        <v>389</v>
      </c>
      <c r="AA565" s="101" t="str">
        <f>IF(G565="shared-count-once",COUNTIFS($A$2:$A$807,A565,$B$2:$B$807,B565,$D$2:$D$807,D565),1)</f>
      </c>
    </row>
    <row r="566">
      <c r="A566" t="s">
        <v>76</v>
      </c>
      <c r="B566" s="79" t="n">
        <v>2043</v>
      </c>
      <c r="C566" t="s">
        <v>202</v>
      </c>
      <c r="D566" s="80" t="s">
        <v>393</v>
      </c>
      <c r="E566" s="81" t="s">
        <v>394</v>
      </c>
      <c r="F566" s="82" t="s">
        <v>206</v>
      </c>
      <c r="G566" s="83" t="s">
        <v>395</v>
      </c>
      <c r="H566" s="84" t="s">
        <v>386</v>
      </c>
      <c r="I566" s="85" t="n">
        <v>1</v>
      </c>
      <c r="J566" s="86" t="n">
        <v>1</v>
      </c>
      <c r="K566" s="87" t="n">
        <v>0.008775</v>
      </c>
      <c r="L566" s="88" t="n">
        <v>318158750.005661</v>
      </c>
      <c r="M566" s="89" t="n">
        <v>317619735.688289</v>
      </c>
      <c r="N566" s="90" t="str">
        <f>MIN(MAX((B566-'Calculation_Assumptions'!$B$5+1)/'Calculation_Assumptions'!$B$7,0),1)</f>
      </c>
      <c r="O566" s="91" t="str">
        <f>L566*I566</f>
      </c>
      <c r="P566" s="92" t="str">
        <f>M566*I566</f>
      </c>
      <c r="Q566" s="93" t="str">
        <f>P566*'Calculation_Assumptions'!$B$14*J566*K566</f>
      </c>
      <c r="R566" s="94" t="str">
        <f>O566*N566*J566*K566</f>
      </c>
      <c r="S566" s="95" t="str">
        <f>R566-Q566</f>
      </c>
      <c r="T566" s="96" t="str">
        <f>1/(1+'Calculation_Assumptions'!$B$8)^(B566-'Calculation_Assumptions'!$B$2)</f>
      </c>
      <c r="U566" s="97" t="str">
        <f>Q566*T566</f>
      </c>
      <c r="V566" s="98" t="str">
        <f>R566*T566</f>
      </c>
      <c r="W566" s="99" t="str">
        <f>S566*T566</f>
      </c>
      <c r="X566" t="n">
        <v>0</v>
      </c>
      <c r="Y566" s="100" t="n">
        <v>2017</v>
      </c>
      <c r="Z566" t="s">
        <v>389</v>
      </c>
      <c r="AA566" s="101" t="str">
        <f>IF(G566="shared-count-once",COUNTIFS($A$2:$A$807,A566,$B$2:$B$807,B566,$D$2:$D$807,D566),1)</f>
      </c>
    </row>
    <row r="567">
      <c r="A567" t="s">
        <v>76</v>
      </c>
      <c r="B567" s="79" t="n">
        <v>2044</v>
      </c>
      <c r="C567" t="s">
        <v>202</v>
      </c>
      <c r="D567" s="80" t="s">
        <v>393</v>
      </c>
      <c r="E567" s="81" t="s">
        <v>394</v>
      </c>
      <c r="F567" s="82" t="s">
        <v>206</v>
      </c>
      <c r="G567" s="83" t="s">
        <v>395</v>
      </c>
      <c r="H567" s="84" t="s">
        <v>386</v>
      </c>
      <c r="I567" s="85" t="n">
        <v>1</v>
      </c>
      <c r="J567" s="86" t="n">
        <v>1</v>
      </c>
      <c r="K567" s="87" t="n">
        <v>0.008775</v>
      </c>
      <c r="L567" s="88" t="n">
        <v>319305078.475065</v>
      </c>
      <c r="M567" s="89" t="n">
        <v>318697135.863652</v>
      </c>
      <c r="N567" s="90" t="str">
        <f>MIN(MAX((B567-'Calculation_Assumptions'!$B$5+1)/'Calculation_Assumptions'!$B$7,0),1)</f>
      </c>
      <c r="O567" s="91" t="str">
        <f>L567*I567</f>
      </c>
      <c r="P567" s="92" t="str">
        <f>M567*I567</f>
      </c>
      <c r="Q567" s="93" t="str">
        <f>P567*'Calculation_Assumptions'!$B$14*J567*K567</f>
      </c>
      <c r="R567" s="94" t="str">
        <f>O567*N567*J567*K567</f>
      </c>
      <c r="S567" s="95" t="str">
        <f>R567-Q567</f>
      </c>
      <c r="T567" s="96" t="str">
        <f>1/(1+'Calculation_Assumptions'!$B$8)^(B567-'Calculation_Assumptions'!$B$2)</f>
      </c>
      <c r="U567" s="97" t="str">
        <f>Q567*T567</f>
      </c>
      <c r="V567" s="98" t="str">
        <f>R567*T567</f>
      </c>
      <c r="W567" s="99" t="str">
        <f>S567*T567</f>
      </c>
      <c r="X567" t="n">
        <v>0</v>
      </c>
      <c r="Y567" s="100" t="n">
        <v>2017</v>
      </c>
      <c r="Z567" t="s">
        <v>389</v>
      </c>
      <c r="AA567" s="101" t="str">
        <f>IF(G567="shared-count-once",COUNTIFS($A$2:$A$807,A567,$B$2:$B$807,B567,$D$2:$D$807,D567),1)</f>
      </c>
    </row>
    <row r="568">
      <c r="A568" t="s">
        <v>76</v>
      </c>
      <c r="B568" s="79" t="n">
        <v>2045</v>
      </c>
      <c r="C568" t="s">
        <v>202</v>
      </c>
      <c r="D568" s="80" t="s">
        <v>393</v>
      </c>
      <c r="E568" s="81" t="s">
        <v>394</v>
      </c>
      <c r="F568" s="82" t="s">
        <v>206</v>
      </c>
      <c r="G568" s="83" t="s">
        <v>395</v>
      </c>
      <c r="H568" s="84" t="s">
        <v>386</v>
      </c>
      <c r="I568" s="85" t="n">
        <v>1</v>
      </c>
      <c r="J568" s="86" t="n">
        <v>1</v>
      </c>
      <c r="K568" s="87" t="n">
        <v>0.008775</v>
      </c>
      <c r="L568" s="88" t="n">
        <v>320395460.874147</v>
      </c>
      <c r="M568" s="89" t="n">
        <v>319717840.85179</v>
      </c>
      <c r="N568" s="90" t="str">
        <f>MIN(MAX((B568-'Calculation_Assumptions'!$B$5+1)/'Calculation_Assumptions'!$B$7,0),1)</f>
      </c>
      <c r="O568" s="91" t="str">
        <f>L568*I568</f>
      </c>
      <c r="P568" s="92" t="str">
        <f>M568*I568</f>
      </c>
      <c r="Q568" s="93" t="str">
        <f>P568*'Calculation_Assumptions'!$B$14*J568*K568</f>
      </c>
      <c r="R568" s="94" t="str">
        <f>O568*N568*J568*K568</f>
      </c>
      <c r="S568" s="95" t="str">
        <f>R568-Q568</f>
      </c>
      <c r="T568" s="96" t="str">
        <f>1/(1+'Calculation_Assumptions'!$B$8)^(B568-'Calculation_Assumptions'!$B$2)</f>
      </c>
      <c r="U568" s="97" t="str">
        <f>Q568*T568</f>
      </c>
      <c r="V568" s="98" t="str">
        <f>R568*T568</f>
      </c>
      <c r="W568" s="99" t="str">
        <f>S568*T568</f>
      </c>
      <c r="X568" t="n">
        <v>0</v>
      </c>
      <c r="Y568" s="100" t="n">
        <v>2017</v>
      </c>
      <c r="Z568" t="s">
        <v>389</v>
      </c>
      <c r="AA568" s="101" t="str">
        <f>IF(G568="shared-count-once",COUNTIFS($A$2:$A$807,A568,$B$2:$B$807,B568,$D$2:$D$807,D568),1)</f>
      </c>
    </row>
    <row r="569">
      <c r="A569" t="s">
        <v>76</v>
      </c>
      <c r="B569" s="79" t="n">
        <v>2046</v>
      </c>
      <c r="C569" t="s">
        <v>202</v>
      </c>
      <c r="D569" s="80" t="s">
        <v>393</v>
      </c>
      <c r="E569" s="81" t="s">
        <v>394</v>
      </c>
      <c r="F569" s="82" t="s">
        <v>206</v>
      </c>
      <c r="G569" s="83" t="s">
        <v>395</v>
      </c>
      <c r="H569" s="84" t="s">
        <v>386</v>
      </c>
      <c r="I569" s="85" t="n">
        <v>1</v>
      </c>
      <c r="J569" s="86" t="n">
        <v>1</v>
      </c>
      <c r="K569" s="87" t="n">
        <v>0.008775</v>
      </c>
      <c r="L569" s="88" t="n">
        <v>321430558.971018</v>
      </c>
      <c r="M569" s="89" t="n">
        <v>320683879.806276</v>
      </c>
      <c r="N569" s="90" t="str">
        <f>MIN(MAX((B569-'Calculation_Assumptions'!$B$5+1)/'Calculation_Assumptions'!$B$7,0),1)</f>
      </c>
      <c r="O569" s="91" t="str">
        <f>L569*I569</f>
      </c>
      <c r="P569" s="92" t="str">
        <f>M569*I569</f>
      </c>
      <c r="Q569" s="93" t="str">
        <f>P569*'Calculation_Assumptions'!$B$14*J569*K569</f>
      </c>
      <c r="R569" s="94" t="str">
        <f>O569*N569*J569*K569</f>
      </c>
      <c r="S569" s="95" t="str">
        <f>R569-Q569</f>
      </c>
      <c r="T569" s="96" t="str">
        <f>1/(1+'Calculation_Assumptions'!$B$8)^(B569-'Calculation_Assumptions'!$B$2)</f>
      </c>
      <c r="U569" s="97" t="str">
        <f>Q569*T569</f>
      </c>
      <c r="V569" s="98" t="str">
        <f>R569*T569</f>
      </c>
      <c r="W569" s="99" t="str">
        <f>S569*T569</f>
      </c>
      <c r="X569" t="n">
        <v>0</v>
      </c>
      <c r="Y569" s="100" t="n">
        <v>2017</v>
      </c>
      <c r="Z569" t="s">
        <v>389</v>
      </c>
      <c r="AA569" s="101" t="str">
        <f>IF(G569="shared-count-once",COUNTIFS($A$2:$A$807,A569,$B$2:$B$807,B569,$D$2:$D$807,D569),1)</f>
      </c>
    </row>
    <row r="570">
      <c r="A570" t="s">
        <v>76</v>
      </c>
      <c r="B570" s="79" t="n">
        <v>2047</v>
      </c>
      <c r="C570" t="s">
        <v>202</v>
      </c>
      <c r="D570" s="80" t="s">
        <v>393</v>
      </c>
      <c r="E570" s="81" t="s">
        <v>394</v>
      </c>
      <c r="F570" s="82" t="s">
        <v>206</v>
      </c>
      <c r="G570" s="83" t="s">
        <v>395</v>
      </c>
      <c r="H570" s="84" t="s">
        <v>386</v>
      </c>
      <c r="I570" s="85" t="n">
        <v>1</v>
      </c>
      <c r="J570" s="86" t="n">
        <v>1</v>
      </c>
      <c r="K570" s="87" t="n">
        <v>0.008775</v>
      </c>
      <c r="L570" s="88" t="n">
        <v>322411096.713551</v>
      </c>
      <c r="M570" s="89" t="n">
        <v>321595541.389526</v>
      </c>
      <c r="N570" s="90" t="str">
        <f>MIN(MAX((B570-'Calculation_Assumptions'!$B$5+1)/'Calculation_Assumptions'!$B$7,0),1)</f>
      </c>
      <c r="O570" s="91" t="str">
        <f>L570*I570</f>
      </c>
      <c r="P570" s="92" t="str">
        <f>M570*I570</f>
      </c>
      <c r="Q570" s="93" t="str">
        <f>P570*'Calculation_Assumptions'!$B$14*J570*K570</f>
      </c>
      <c r="R570" s="94" t="str">
        <f>O570*N570*J570*K570</f>
      </c>
      <c r="S570" s="95" t="str">
        <f>R570-Q570</f>
      </c>
      <c r="T570" s="96" t="str">
        <f>1/(1+'Calculation_Assumptions'!$B$8)^(B570-'Calculation_Assumptions'!$B$2)</f>
      </c>
      <c r="U570" s="97" t="str">
        <f>Q570*T570</f>
      </c>
      <c r="V570" s="98" t="str">
        <f>R570*T570</f>
      </c>
      <c r="W570" s="99" t="str">
        <f>S570*T570</f>
      </c>
      <c r="X570" t="n">
        <v>0</v>
      </c>
      <c r="Y570" s="100" t="n">
        <v>2017</v>
      </c>
      <c r="Z570" t="s">
        <v>389</v>
      </c>
      <c r="AA570" s="101" t="str">
        <f>IF(G570="shared-count-once",COUNTIFS($A$2:$A$807,A570,$B$2:$B$807,B570,$D$2:$D$807,D570),1)</f>
      </c>
    </row>
    <row r="571">
      <c r="A571" t="s">
        <v>76</v>
      </c>
      <c r="B571" s="79" t="n">
        <v>2048</v>
      </c>
      <c r="C571" t="s">
        <v>202</v>
      </c>
      <c r="D571" s="80" t="s">
        <v>393</v>
      </c>
      <c r="E571" s="81" t="s">
        <v>394</v>
      </c>
      <c r="F571" s="82" t="s">
        <v>206</v>
      </c>
      <c r="G571" s="83" t="s">
        <v>395</v>
      </c>
      <c r="H571" s="84" t="s">
        <v>386</v>
      </c>
      <c r="I571" s="85" t="n">
        <v>1</v>
      </c>
      <c r="J571" s="86" t="n">
        <v>1</v>
      </c>
      <c r="K571" s="87" t="n">
        <v>0.008775</v>
      </c>
      <c r="L571" s="88" t="n">
        <v>323337875.603966</v>
      </c>
      <c r="M571" s="89" t="n">
        <v>322453622.669464</v>
      </c>
      <c r="N571" s="90" t="str">
        <f>MIN(MAX((B571-'Calculation_Assumptions'!$B$5+1)/'Calculation_Assumptions'!$B$7,0),1)</f>
      </c>
      <c r="O571" s="91" t="str">
        <f>L571*I571</f>
      </c>
      <c r="P571" s="92" t="str">
        <f>M571*I571</f>
      </c>
      <c r="Q571" s="93" t="str">
        <f>P571*'Calculation_Assumptions'!$B$14*J571*K571</f>
      </c>
      <c r="R571" s="94" t="str">
        <f>O571*N571*J571*K571</f>
      </c>
      <c r="S571" s="95" t="str">
        <f>R571-Q571</f>
      </c>
      <c r="T571" s="96" t="str">
        <f>1/(1+'Calculation_Assumptions'!$B$8)^(B571-'Calculation_Assumptions'!$B$2)</f>
      </c>
      <c r="U571" s="97" t="str">
        <f>Q571*T571</f>
      </c>
      <c r="V571" s="98" t="str">
        <f>R571*T571</f>
      </c>
      <c r="W571" s="99" t="str">
        <f>S571*T571</f>
      </c>
      <c r="X571" t="n">
        <v>0</v>
      </c>
      <c r="Y571" s="100" t="n">
        <v>2017</v>
      </c>
      <c r="Z571" t="s">
        <v>389</v>
      </c>
      <c r="AA571" s="101" t="str">
        <f>IF(G571="shared-count-once",COUNTIFS($A$2:$A$807,A571,$B$2:$B$807,B571,$D$2:$D$807,D571),1)</f>
      </c>
    </row>
    <row r="572">
      <c r="A572" t="s">
        <v>76</v>
      </c>
      <c r="B572" s="79" t="n">
        <v>2049</v>
      </c>
      <c r="C572" t="s">
        <v>202</v>
      </c>
      <c r="D572" s="80" t="s">
        <v>393</v>
      </c>
      <c r="E572" s="81" t="s">
        <v>394</v>
      </c>
      <c r="F572" s="82" t="s">
        <v>206</v>
      </c>
      <c r="G572" s="83" t="s">
        <v>395</v>
      </c>
      <c r="H572" s="84" t="s">
        <v>386</v>
      </c>
      <c r="I572" s="85" t="n">
        <v>1</v>
      </c>
      <c r="J572" s="86" t="n">
        <v>1</v>
      </c>
      <c r="K572" s="87" t="n">
        <v>0.008775</v>
      </c>
      <c r="L572" s="88" t="n">
        <v>324211859.675226</v>
      </c>
      <c r="M572" s="89" t="n">
        <v>323259246.716719</v>
      </c>
      <c r="N572" s="90" t="str">
        <f>MIN(MAX((B572-'Calculation_Assumptions'!$B$5+1)/'Calculation_Assumptions'!$B$7,0),1)</f>
      </c>
      <c r="O572" s="91" t="str">
        <f>L572*I572</f>
      </c>
      <c r="P572" s="92" t="str">
        <f>M572*I572</f>
      </c>
      <c r="Q572" s="93" t="str">
        <f>P572*'Calculation_Assumptions'!$B$14*J572*K572</f>
      </c>
      <c r="R572" s="94" t="str">
        <f>O572*N572*J572*K572</f>
      </c>
      <c r="S572" s="95" t="str">
        <f>R572-Q572</f>
      </c>
      <c r="T572" s="96" t="str">
        <f>1/(1+'Calculation_Assumptions'!$B$8)^(B572-'Calculation_Assumptions'!$B$2)</f>
      </c>
      <c r="U572" s="97" t="str">
        <f>Q572*T572</f>
      </c>
      <c r="V572" s="98" t="str">
        <f>R572*T572</f>
      </c>
      <c r="W572" s="99" t="str">
        <f>S572*T572</f>
      </c>
      <c r="X572" t="n">
        <v>0</v>
      </c>
      <c r="Y572" s="100" t="n">
        <v>2017</v>
      </c>
      <c r="Z572" t="s">
        <v>389</v>
      </c>
      <c r="AA572" s="101" t="str">
        <f>IF(G572="shared-count-once",COUNTIFS($A$2:$A$807,A572,$B$2:$B$807,B572,$D$2:$D$807,D572),1)</f>
      </c>
    </row>
    <row r="573">
      <c r="A573" t="s">
        <v>76</v>
      </c>
      <c r="B573" s="79" t="n">
        <v>2050</v>
      </c>
      <c r="C573" t="s">
        <v>202</v>
      </c>
      <c r="D573" s="80" t="s">
        <v>393</v>
      </c>
      <c r="E573" s="81" t="s">
        <v>394</v>
      </c>
      <c r="F573" s="82" t="s">
        <v>206</v>
      </c>
      <c r="G573" s="83" t="s">
        <v>395</v>
      </c>
      <c r="H573" s="84" t="s">
        <v>386</v>
      </c>
      <c r="I573" s="85" t="n">
        <v>1</v>
      </c>
      <c r="J573" s="86" t="n">
        <v>1</v>
      </c>
      <c r="K573" s="87" t="n">
        <v>0.008775</v>
      </c>
      <c r="L573" s="88" t="n">
        <v>325034214.935484</v>
      </c>
      <c r="M573" s="89" t="n">
        <v>324013738.182479</v>
      </c>
      <c r="N573" s="90" t="str">
        <f>MIN(MAX((B573-'Calculation_Assumptions'!$B$5+1)/'Calculation_Assumptions'!$B$7,0),1)</f>
      </c>
      <c r="O573" s="91" t="str">
        <f>L573*I573</f>
      </c>
      <c r="P573" s="92" t="str">
        <f>M573*I573</f>
      </c>
      <c r="Q573" s="93" t="str">
        <f>P573*'Calculation_Assumptions'!$B$14*J573*K573</f>
      </c>
      <c r="R573" s="94" t="str">
        <f>O573*N573*J573*K573</f>
      </c>
      <c r="S573" s="95" t="str">
        <f>R573-Q573</f>
      </c>
      <c r="T573" s="96" t="str">
        <f>1/(1+'Calculation_Assumptions'!$B$8)^(B573-'Calculation_Assumptions'!$B$2)</f>
      </c>
      <c r="U573" s="97" t="str">
        <f>Q573*T573</f>
      </c>
      <c r="V573" s="98" t="str">
        <f>R573*T573</f>
      </c>
      <c r="W573" s="99" t="str">
        <f>S573*T573</f>
      </c>
      <c r="X573" t="n">
        <v>0</v>
      </c>
      <c r="Y573" s="100" t="n">
        <v>2017</v>
      </c>
      <c r="Z573" t="s">
        <v>389</v>
      </c>
      <c r="AA573" s="101" t="str">
        <f>IF(G573="shared-count-once",COUNTIFS($A$2:$A$807,A573,$B$2:$B$807,B573,$D$2:$D$807,D573),1)</f>
      </c>
    </row>
    <row r="574">
      <c r="A574" t="s">
        <v>76</v>
      </c>
      <c r="B574" s="79" t="n">
        <v>2025</v>
      </c>
      <c r="C574" t="s">
        <v>212</v>
      </c>
      <c r="D574" s="80" t="s">
        <v>397</v>
      </c>
      <c r="E574" s="81" t="s">
        <v>398</v>
      </c>
      <c r="F574" s="82" t="s">
        <v>215</v>
      </c>
      <c r="G574" s="83" t="s">
        <v>395</v>
      </c>
      <c r="H574" s="84" t="s">
        <v>386</v>
      </c>
      <c r="I574" s="85" t="n">
        <v>1</v>
      </c>
      <c r="J574" s="86" t="n">
        <v>1</v>
      </c>
      <c r="K574" s="87" t="n">
        <v>0.008775</v>
      </c>
      <c r="L574" s="88" t="n">
        <v>288000821.106462</v>
      </c>
      <c r="M574" s="89" t="n">
        <v>288000821.106462</v>
      </c>
      <c r="N574" s="90" t="str">
        <f>MIN(MAX((B574-'Calculation_Assumptions'!$B$5+1)/'Calculation_Assumptions'!$B$7,0),1)</f>
      </c>
      <c r="O574" s="91" t="str">
        <f>L574*I574</f>
      </c>
      <c r="P574" s="92" t="str">
        <f>M574*I574</f>
      </c>
      <c r="Q574" s="93" t="str">
        <f>P574*'Calculation_Assumptions'!$B$14*J574*K574</f>
      </c>
      <c r="R574" s="94" t="str">
        <f>O574*N574*J574*K574</f>
      </c>
      <c r="S574" s="95" t="str">
        <f>R574-Q574</f>
      </c>
      <c r="T574" s="96" t="str">
        <f>1/(1+'Calculation_Assumptions'!$B$8)^(B574-'Calculation_Assumptions'!$B$2)</f>
      </c>
      <c r="U574" s="97" t="str">
        <f>Q574*T574</f>
      </c>
      <c r="V574" s="98" t="str">
        <f>R574*T574</f>
      </c>
      <c r="W574" s="99" t="str">
        <f>S574*T574</f>
      </c>
      <c r="X574" t="n">
        <v>0</v>
      </c>
      <c r="Y574" s="100" t="n">
        <v>2017</v>
      </c>
      <c r="Z574" t="s">
        <v>389</v>
      </c>
      <c r="AA574" s="101" t="str">
        <f>IF(G574="shared-count-once",COUNTIFS($A$2:$A$807,A574,$B$2:$B$807,B574,$D$2:$D$807,D574),1)</f>
      </c>
    </row>
    <row r="575">
      <c r="A575" t="s">
        <v>76</v>
      </c>
      <c r="B575" s="79" t="n">
        <v>2026</v>
      </c>
      <c r="C575" t="s">
        <v>212</v>
      </c>
      <c r="D575" s="80" t="s">
        <v>397</v>
      </c>
      <c r="E575" s="81" t="s">
        <v>398</v>
      </c>
      <c r="F575" s="82" t="s">
        <v>215</v>
      </c>
      <c r="G575" s="83" t="s">
        <v>395</v>
      </c>
      <c r="H575" s="84" t="s">
        <v>386</v>
      </c>
      <c r="I575" s="85" t="n">
        <v>1</v>
      </c>
      <c r="J575" s="86" t="n">
        <v>1</v>
      </c>
      <c r="K575" s="87" t="n">
        <v>0.008775</v>
      </c>
      <c r="L575" s="88" t="n">
        <v>290123496.103219</v>
      </c>
      <c r="M575" s="89" t="n">
        <v>290123496.103219</v>
      </c>
      <c r="N575" s="90" t="str">
        <f>MIN(MAX((B575-'Calculation_Assumptions'!$B$5+1)/'Calculation_Assumptions'!$B$7,0),1)</f>
      </c>
      <c r="O575" s="91" t="str">
        <f>L575*I575</f>
      </c>
      <c r="P575" s="92" t="str">
        <f>M575*I575</f>
      </c>
      <c r="Q575" s="93" t="str">
        <f>P575*'Calculation_Assumptions'!$B$14*J575*K575</f>
      </c>
      <c r="R575" s="94" t="str">
        <f>O575*N575*J575*K575</f>
      </c>
      <c r="S575" s="95" t="str">
        <f>R575-Q575</f>
      </c>
      <c r="T575" s="96" t="str">
        <f>1/(1+'Calculation_Assumptions'!$B$8)^(B575-'Calculation_Assumptions'!$B$2)</f>
      </c>
      <c r="U575" s="97" t="str">
        <f>Q575*T575</f>
      </c>
      <c r="V575" s="98" t="str">
        <f>R575*T575</f>
      </c>
      <c r="W575" s="99" t="str">
        <f>S575*T575</f>
      </c>
      <c r="X575" t="n">
        <v>0</v>
      </c>
      <c r="Y575" s="100" t="n">
        <v>2017</v>
      </c>
      <c r="Z575" t="s">
        <v>389</v>
      </c>
      <c r="AA575" s="101" t="str">
        <f>IF(G575="shared-count-once",COUNTIFS($A$2:$A$807,A575,$B$2:$B$807,B575,$D$2:$D$807,D575),1)</f>
      </c>
    </row>
    <row r="576">
      <c r="A576" t="s">
        <v>76</v>
      </c>
      <c r="B576" s="79" t="n">
        <v>2027</v>
      </c>
      <c r="C576" t="s">
        <v>212</v>
      </c>
      <c r="D576" s="80" t="s">
        <v>397</v>
      </c>
      <c r="E576" s="81" t="s">
        <v>398</v>
      </c>
      <c r="F576" s="82" t="s">
        <v>215</v>
      </c>
      <c r="G576" s="83" t="s">
        <v>395</v>
      </c>
      <c r="H576" s="84" t="s">
        <v>386</v>
      </c>
      <c r="I576" s="85" t="n">
        <v>1</v>
      </c>
      <c r="J576" s="86" t="n">
        <v>1</v>
      </c>
      <c r="K576" s="87" t="n">
        <v>0.008775</v>
      </c>
      <c r="L576" s="88" t="n">
        <v>292252895.096956</v>
      </c>
      <c r="M576" s="89" t="n">
        <v>292252895.096956</v>
      </c>
      <c r="N576" s="90" t="str">
        <f>MIN(MAX((B576-'Calculation_Assumptions'!$B$5+1)/'Calculation_Assumptions'!$B$7,0),1)</f>
      </c>
      <c r="O576" s="91" t="str">
        <f>L576*I576</f>
      </c>
      <c r="P576" s="92" t="str">
        <f>M576*I576</f>
      </c>
      <c r="Q576" s="93" t="str">
        <f>P576*'Calculation_Assumptions'!$B$14*J576*K576</f>
      </c>
      <c r="R576" s="94" t="str">
        <f>O576*N576*J576*K576</f>
      </c>
      <c r="S576" s="95" t="str">
        <f>R576-Q576</f>
      </c>
      <c r="T576" s="96" t="str">
        <f>1/(1+'Calculation_Assumptions'!$B$8)^(B576-'Calculation_Assumptions'!$B$2)</f>
      </c>
      <c r="U576" s="97" t="str">
        <f>Q576*T576</f>
      </c>
      <c r="V576" s="98" t="str">
        <f>R576*T576</f>
      </c>
      <c r="W576" s="99" t="str">
        <f>S576*T576</f>
      </c>
      <c r="X576" t="n">
        <v>0</v>
      </c>
      <c r="Y576" s="100" t="n">
        <v>2017</v>
      </c>
      <c r="Z576" t="s">
        <v>389</v>
      </c>
      <c r="AA576" s="101" t="str">
        <f>IF(G576="shared-count-once",COUNTIFS($A$2:$A$807,A576,$B$2:$B$807,B576,$D$2:$D$807,D576),1)</f>
      </c>
    </row>
    <row r="577">
      <c r="A577" t="s">
        <v>76</v>
      </c>
      <c r="B577" s="79" t="n">
        <v>2028</v>
      </c>
      <c r="C577" t="s">
        <v>212</v>
      </c>
      <c r="D577" s="80" t="s">
        <v>397</v>
      </c>
      <c r="E577" s="81" t="s">
        <v>398</v>
      </c>
      <c r="F577" s="82" t="s">
        <v>215</v>
      </c>
      <c r="G577" s="83" t="s">
        <v>395</v>
      </c>
      <c r="H577" s="84" t="s">
        <v>386</v>
      </c>
      <c r="I577" s="85" t="n">
        <v>1</v>
      </c>
      <c r="J577" s="86" t="n">
        <v>1</v>
      </c>
      <c r="K577" s="87" t="n">
        <v>0.008775</v>
      </c>
      <c r="L577" s="88" t="n">
        <v>294317373.248038</v>
      </c>
      <c r="M577" s="89" t="n">
        <v>294314895.305465</v>
      </c>
      <c r="N577" s="90" t="str">
        <f>MIN(MAX((B577-'Calculation_Assumptions'!$B$5+1)/'Calculation_Assumptions'!$B$7,0),1)</f>
      </c>
      <c r="O577" s="91" t="str">
        <f>L577*I577</f>
      </c>
      <c r="P577" s="92" t="str">
        <f>M577*I577</f>
      </c>
      <c r="Q577" s="93" t="str">
        <f>P577*'Calculation_Assumptions'!$B$14*J577*K577</f>
      </c>
      <c r="R577" s="94" t="str">
        <f>O577*N577*J577*K577</f>
      </c>
      <c r="S577" s="95" t="str">
        <f>R577-Q577</f>
      </c>
      <c r="T577" s="96" t="str">
        <f>1/(1+'Calculation_Assumptions'!$B$8)^(B577-'Calculation_Assumptions'!$B$2)</f>
      </c>
      <c r="U577" s="97" t="str">
        <f>Q577*T577</f>
      </c>
      <c r="V577" s="98" t="str">
        <f>R577*T577</f>
      </c>
      <c r="W577" s="99" t="str">
        <f>S577*T577</f>
      </c>
      <c r="X577" t="n">
        <v>0</v>
      </c>
      <c r="Y577" s="100" t="n">
        <v>2017</v>
      </c>
      <c r="Z577" t="s">
        <v>389</v>
      </c>
      <c r="AA577" s="101" t="str">
        <f>IF(G577="shared-count-once",COUNTIFS($A$2:$A$807,A577,$B$2:$B$807,B577,$D$2:$D$807,D577),1)</f>
      </c>
    </row>
    <row r="578">
      <c r="A578" t="s">
        <v>76</v>
      </c>
      <c r="B578" s="79" t="n">
        <v>2029</v>
      </c>
      <c r="C578" t="s">
        <v>212</v>
      </c>
      <c r="D578" s="80" t="s">
        <v>397</v>
      </c>
      <c r="E578" s="81" t="s">
        <v>398</v>
      </c>
      <c r="F578" s="82" t="s">
        <v>215</v>
      </c>
      <c r="G578" s="83" t="s">
        <v>395</v>
      </c>
      <c r="H578" s="84" t="s">
        <v>386</v>
      </c>
      <c r="I578" s="85" t="n">
        <v>1</v>
      </c>
      <c r="J578" s="86" t="n">
        <v>1</v>
      </c>
      <c r="K578" s="87" t="n">
        <v>0.008775</v>
      </c>
      <c r="L578" s="88" t="n">
        <v>296300392.819394</v>
      </c>
      <c r="M578" s="89" t="n">
        <v>296341062.542853</v>
      </c>
      <c r="N578" s="90" t="str">
        <f>MIN(MAX((B578-'Calculation_Assumptions'!$B$5+1)/'Calculation_Assumptions'!$B$7,0),1)</f>
      </c>
      <c r="O578" s="91" t="str">
        <f>L578*I578</f>
      </c>
      <c r="P578" s="92" t="str">
        <f>M578*I578</f>
      </c>
      <c r="Q578" s="93" t="str">
        <f>P578*'Calculation_Assumptions'!$B$14*J578*K578</f>
      </c>
      <c r="R578" s="94" t="str">
        <f>O578*N578*J578*K578</f>
      </c>
      <c r="S578" s="95" t="str">
        <f>R578-Q578</f>
      </c>
      <c r="T578" s="96" t="str">
        <f>1/(1+'Calculation_Assumptions'!$B$8)^(B578-'Calculation_Assumptions'!$B$2)</f>
      </c>
      <c r="U578" s="97" t="str">
        <f>Q578*T578</f>
      </c>
      <c r="V578" s="98" t="str">
        <f>R578*T578</f>
      </c>
      <c r="W578" s="99" t="str">
        <f>S578*T578</f>
      </c>
      <c r="X578" t="n">
        <v>0</v>
      </c>
      <c r="Y578" s="100" t="n">
        <v>2017</v>
      </c>
      <c r="Z578" t="s">
        <v>389</v>
      </c>
      <c r="AA578" s="101" t="str">
        <f>IF(G578="shared-count-once",COUNTIFS($A$2:$A$807,A578,$B$2:$B$807,B578,$D$2:$D$807,D578),1)</f>
      </c>
    </row>
    <row r="579">
      <c r="A579" t="s">
        <v>76</v>
      </c>
      <c r="B579" s="79" t="n">
        <v>2030</v>
      </c>
      <c r="C579" t="s">
        <v>212</v>
      </c>
      <c r="D579" s="80" t="s">
        <v>397</v>
      </c>
      <c r="E579" s="81" t="s">
        <v>398</v>
      </c>
      <c r="F579" s="82" t="s">
        <v>215</v>
      </c>
      <c r="G579" s="83" t="s">
        <v>395</v>
      </c>
      <c r="H579" s="84" t="s">
        <v>386</v>
      </c>
      <c r="I579" s="85" t="n">
        <v>1</v>
      </c>
      <c r="J579" s="86" t="n">
        <v>1</v>
      </c>
      <c r="K579" s="87" t="n">
        <v>0.008775</v>
      </c>
      <c r="L579" s="88" t="n">
        <v>298303185.826537</v>
      </c>
      <c r="M579" s="89" t="n">
        <v>298280286.057263</v>
      </c>
      <c r="N579" s="90" t="str">
        <f>MIN(MAX((B579-'Calculation_Assumptions'!$B$5+1)/'Calculation_Assumptions'!$B$7,0),1)</f>
      </c>
      <c r="O579" s="91" t="str">
        <f>L579*I579</f>
      </c>
      <c r="P579" s="92" t="str">
        <f>M579*I579</f>
      </c>
      <c r="Q579" s="93" t="str">
        <f>P579*'Calculation_Assumptions'!$B$14*J579*K579</f>
      </c>
      <c r="R579" s="94" t="str">
        <f>O579*N579*J579*K579</f>
      </c>
      <c r="S579" s="95" t="str">
        <f>R579-Q579</f>
      </c>
      <c r="T579" s="96" t="str">
        <f>1/(1+'Calculation_Assumptions'!$B$8)^(B579-'Calculation_Assumptions'!$B$2)</f>
      </c>
      <c r="U579" s="97" t="str">
        <f>Q579*T579</f>
      </c>
      <c r="V579" s="98" t="str">
        <f>R579*T579</f>
      </c>
      <c r="W579" s="99" t="str">
        <f>S579*T579</f>
      </c>
      <c r="X579" t="n">
        <v>0</v>
      </c>
      <c r="Y579" s="100" t="n">
        <v>2017</v>
      </c>
      <c r="Z579" t="s">
        <v>389</v>
      </c>
      <c r="AA579" s="101" t="str">
        <f>IF(G579="shared-count-once",COUNTIFS($A$2:$A$807,A579,$B$2:$B$807,B579,$D$2:$D$807,D579),1)</f>
      </c>
    </row>
    <row r="580">
      <c r="A580" t="s">
        <v>76</v>
      </c>
      <c r="B580" s="79" t="n">
        <v>2031</v>
      </c>
      <c r="C580" t="s">
        <v>212</v>
      </c>
      <c r="D580" s="80" t="s">
        <v>397</v>
      </c>
      <c r="E580" s="81" t="s">
        <v>398</v>
      </c>
      <c r="F580" s="82" t="s">
        <v>215</v>
      </c>
      <c r="G580" s="83" t="s">
        <v>395</v>
      </c>
      <c r="H580" s="84" t="s">
        <v>386</v>
      </c>
      <c r="I580" s="85" t="n">
        <v>1</v>
      </c>
      <c r="J580" s="86" t="n">
        <v>1</v>
      </c>
      <c r="K580" s="87" t="n">
        <v>0.008775</v>
      </c>
      <c r="L580" s="88" t="n">
        <v>300196273.385416</v>
      </c>
      <c r="M580" s="89" t="n">
        <v>300152603.254782</v>
      </c>
      <c r="N580" s="90" t="str">
        <f>MIN(MAX((B580-'Calculation_Assumptions'!$B$5+1)/'Calculation_Assumptions'!$B$7,0),1)</f>
      </c>
      <c r="O580" s="91" t="str">
        <f>L580*I580</f>
      </c>
      <c r="P580" s="92" t="str">
        <f>M580*I580</f>
      </c>
      <c r="Q580" s="93" t="str">
        <f>P580*'Calculation_Assumptions'!$B$14*J580*K580</f>
      </c>
      <c r="R580" s="94" t="str">
        <f>O580*N580*J580*K580</f>
      </c>
      <c r="S580" s="95" t="str">
        <f>R580-Q580</f>
      </c>
      <c r="T580" s="96" t="str">
        <f>1/(1+'Calculation_Assumptions'!$B$8)^(B580-'Calculation_Assumptions'!$B$2)</f>
      </c>
      <c r="U580" s="97" t="str">
        <f>Q580*T580</f>
      </c>
      <c r="V580" s="98" t="str">
        <f>R580*T580</f>
      </c>
      <c r="W580" s="99" t="str">
        <f>S580*T580</f>
      </c>
      <c r="X580" t="n">
        <v>0</v>
      </c>
      <c r="Y580" s="100" t="n">
        <v>2017</v>
      </c>
      <c r="Z580" t="s">
        <v>389</v>
      </c>
      <c r="AA580" s="101" t="str">
        <f>IF(G580="shared-count-once",COUNTIFS($A$2:$A$807,A580,$B$2:$B$807,B580,$D$2:$D$807,D580),1)</f>
      </c>
    </row>
    <row r="581">
      <c r="A581" t="s">
        <v>76</v>
      </c>
      <c r="B581" s="79" t="n">
        <v>2032</v>
      </c>
      <c r="C581" t="s">
        <v>212</v>
      </c>
      <c r="D581" s="80" t="s">
        <v>397</v>
      </c>
      <c r="E581" s="81" t="s">
        <v>398</v>
      </c>
      <c r="F581" s="82" t="s">
        <v>215</v>
      </c>
      <c r="G581" s="83" t="s">
        <v>395</v>
      </c>
      <c r="H581" s="84" t="s">
        <v>386</v>
      </c>
      <c r="I581" s="85" t="n">
        <v>1</v>
      </c>
      <c r="J581" s="86" t="n">
        <v>1</v>
      </c>
      <c r="K581" s="87" t="n">
        <v>0.008775</v>
      </c>
      <c r="L581" s="88" t="n">
        <v>301958259.790884</v>
      </c>
      <c r="M581" s="89" t="n">
        <v>301959399.633888</v>
      </c>
      <c r="N581" s="90" t="str">
        <f>MIN(MAX((B581-'Calculation_Assumptions'!$B$5+1)/'Calculation_Assumptions'!$B$7,0),1)</f>
      </c>
      <c r="O581" s="91" t="str">
        <f>L581*I581</f>
      </c>
      <c r="P581" s="92" t="str">
        <f>M581*I581</f>
      </c>
      <c r="Q581" s="93" t="str">
        <f>P581*'Calculation_Assumptions'!$B$14*J581*K581</f>
      </c>
      <c r="R581" s="94" t="str">
        <f>O581*N581*J581*K581</f>
      </c>
      <c r="S581" s="95" t="str">
        <f>R581-Q581</f>
      </c>
      <c r="T581" s="96" t="str">
        <f>1/(1+'Calculation_Assumptions'!$B$8)^(B581-'Calculation_Assumptions'!$B$2)</f>
      </c>
      <c r="U581" s="97" t="str">
        <f>Q581*T581</f>
      </c>
      <c r="V581" s="98" t="str">
        <f>R581*T581</f>
      </c>
      <c r="W581" s="99" t="str">
        <f>S581*T581</f>
      </c>
      <c r="X581" t="n">
        <v>0</v>
      </c>
      <c r="Y581" s="100" t="n">
        <v>2017</v>
      </c>
      <c r="Z581" t="s">
        <v>389</v>
      </c>
      <c r="AA581" s="101" t="str">
        <f>IF(G581="shared-count-once",COUNTIFS($A$2:$A$807,A581,$B$2:$B$807,B581,$D$2:$D$807,D581),1)</f>
      </c>
    </row>
    <row r="582">
      <c r="A582" t="s">
        <v>76</v>
      </c>
      <c r="B582" s="79" t="n">
        <v>2033</v>
      </c>
      <c r="C582" t="s">
        <v>212</v>
      </c>
      <c r="D582" s="80" t="s">
        <v>397</v>
      </c>
      <c r="E582" s="81" t="s">
        <v>398</v>
      </c>
      <c r="F582" s="82" t="s">
        <v>215</v>
      </c>
      <c r="G582" s="83" t="s">
        <v>395</v>
      </c>
      <c r="H582" s="84" t="s">
        <v>386</v>
      </c>
      <c r="I582" s="85" t="n">
        <v>1</v>
      </c>
      <c r="J582" s="86" t="n">
        <v>1</v>
      </c>
      <c r="K582" s="87" t="n">
        <v>0.008775</v>
      </c>
      <c r="L582" s="88" t="n">
        <v>303726787.443174</v>
      </c>
      <c r="M582" s="89" t="n">
        <v>303701035.202051</v>
      </c>
      <c r="N582" s="90" t="str">
        <f>MIN(MAX((B582-'Calculation_Assumptions'!$B$5+1)/'Calculation_Assumptions'!$B$7,0),1)</f>
      </c>
      <c r="O582" s="91" t="str">
        <f>L582*I582</f>
      </c>
      <c r="P582" s="92" t="str">
        <f>M582*I582</f>
      </c>
      <c r="Q582" s="93" t="str">
        <f>P582*'Calculation_Assumptions'!$B$14*J582*K582</f>
      </c>
      <c r="R582" s="94" t="str">
        <f>O582*N582*J582*K582</f>
      </c>
      <c r="S582" s="95" t="str">
        <f>R582-Q582</f>
      </c>
      <c r="T582" s="96" t="str">
        <f>1/(1+'Calculation_Assumptions'!$B$8)^(B582-'Calculation_Assumptions'!$B$2)</f>
      </c>
      <c r="U582" s="97" t="str">
        <f>Q582*T582</f>
      </c>
      <c r="V582" s="98" t="str">
        <f>R582*T582</f>
      </c>
      <c r="W582" s="99" t="str">
        <f>S582*T582</f>
      </c>
      <c r="X582" t="n">
        <v>0</v>
      </c>
      <c r="Y582" s="100" t="n">
        <v>2017</v>
      </c>
      <c r="Z582" t="s">
        <v>389</v>
      </c>
      <c r="AA582" s="101" t="str">
        <f>IF(G582="shared-count-once",COUNTIFS($A$2:$A$807,A582,$B$2:$B$807,B582,$D$2:$D$807,D582),1)</f>
      </c>
    </row>
    <row r="583">
      <c r="A583" t="s">
        <v>76</v>
      </c>
      <c r="B583" s="79" t="n">
        <v>2034</v>
      </c>
      <c r="C583" t="s">
        <v>212</v>
      </c>
      <c r="D583" s="80" t="s">
        <v>397</v>
      </c>
      <c r="E583" s="81" t="s">
        <v>398</v>
      </c>
      <c r="F583" s="82" t="s">
        <v>215</v>
      </c>
      <c r="G583" s="83" t="s">
        <v>395</v>
      </c>
      <c r="H583" s="84" t="s">
        <v>386</v>
      </c>
      <c r="I583" s="85" t="n">
        <v>1</v>
      </c>
      <c r="J583" s="86" t="n">
        <v>1</v>
      </c>
      <c r="K583" s="87" t="n">
        <v>0.008775</v>
      </c>
      <c r="L583" s="88" t="n">
        <v>305436022.714483</v>
      </c>
      <c r="M583" s="89" t="n">
        <v>305377998.093319</v>
      </c>
      <c r="N583" s="90" t="str">
        <f>MIN(MAX((B583-'Calculation_Assumptions'!$B$5+1)/'Calculation_Assumptions'!$B$7,0),1)</f>
      </c>
      <c r="O583" s="91" t="str">
        <f>L583*I583</f>
      </c>
      <c r="P583" s="92" t="str">
        <f>M583*I583</f>
      </c>
      <c r="Q583" s="93" t="str">
        <f>P583*'Calculation_Assumptions'!$B$14*J583*K583</f>
      </c>
      <c r="R583" s="94" t="str">
        <f>O583*N583*J583*K583</f>
      </c>
      <c r="S583" s="95" t="str">
        <f>R583-Q583</f>
      </c>
      <c r="T583" s="96" t="str">
        <f>1/(1+'Calculation_Assumptions'!$B$8)^(B583-'Calculation_Assumptions'!$B$2)</f>
      </c>
      <c r="U583" s="97" t="str">
        <f>Q583*T583</f>
      </c>
      <c r="V583" s="98" t="str">
        <f>R583*T583</f>
      </c>
      <c r="W583" s="99" t="str">
        <f>S583*T583</f>
      </c>
      <c r="X583" t="n">
        <v>0</v>
      </c>
      <c r="Y583" s="100" t="n">
        <v>2017</v>
      </c>
      <c r="Z583" t="s">
        <v>389</v>
      </c>
      <c r="AA583" s="101" t="str">
        <f>IF(G583="shared-count-once",COUNTIFS($A$2:$A$807,A583,$B$2:$B$807,B583,$D$2:$D$807,D583),1)</f>
      </c>
    </row>
    <row r="584">
      <c r="A584" t="s">
        <v>76</v>
      </c>
      <c r="B584" s="79" t="n">
        <v>2035</v>
      </c>
      <c r="C584" t="s">
        <v>212</v>
      </c>
      <c r="D584" s="80" t="s">
        <v>397</v>
      </c>
      <c r="E584" s="81" t="s">
        <v>398</v>
      </c>
      <c r="F584" s="82" t="s">
        <v>215</v>
      </c>
      <c r="G584" s="83" t="s">
        <v>395</v>
      </c>
      <c r="H584" s="84" t="s">
        <v>386</v>
      </c>
      <c r="I584" s="85" t="n">
        <v>1</v>
      </c>
      <c r="J584" s="86" t="n">
        <v>1</v>
      </c>
      <c r="K584" s="87" t="n">
        <v>0.008775</v>
      </c>
      <c r="L584" s="88" t="n">
        <v>307084503.869544</v>
      </c>
      <c r="M584" s="89" t="n">
        <v>306989258.29407</v>
      </c>
      <c r="N584" s="90" t="str">
        <f>MIN(MAX((B584-'Calculation_Assumptions'!$B$5+1)/'Calculation_Assumptions'!$B$7,0),1)</f>
      </c>
      <c r="O584" s="91" t="str">
        <f>L584*I584</f>
      </c>
      <c r="P584" s="92" t="str">
        <f>M584*I584</f>
      </c>
      <c r="Q584" s="93" t="str">
        <f>P584*'Calculation_Assumptions'!$B$14*J584*K584</f>
      </c>
      <c r="R584" s="94" t="str">
        <f>O584*N584*J584*K584</f>
      </c>
      <c r="S584" s="95" t="str">
        <f>R584-Q584</f>
      </c>
      <c r="T584" s="96" t="str">
        <f>1/(1+'Calculation_Assumptions'!$B$8)^(B584-'Calculation_Assumptions'!$B$2)</f>
      </c>
      <c r="U584" s="97" t="str">
        <f>Q584*T584</f>
      </c>
      <c r="V584" s="98" t="str">
        <f>R584*T584</f>
      </c>
      <c r="W584" s="99" t="str">
        <f>S584*T584</f>
      </c>
      <c r="X584" t="n">
        <v>0</v>
      </c>
      <c r="Y584" s="100" t="n">
        <v>2017</v>
      </c>
      <c r="Z584" t="s">
        <v>389</v>
      </c>
      <c r="AA584" s="101" t="str">
        <f>IF(G584="shared-count-once",COUNTIFS($A$2:$A$807,A584,$B$2:$B$807,B584,$D$2:$D$807,D584),1)</f>
      </c>
    </row>
    <row r="585">
      <c r="A585" t="s">
        <v>76</v>
      </c>
      <c r="B585" s="79" t="n">
        <v>2036</v>
      </c>
      <c r="C585" t="s">
        <v>212</v>
      </c>
      <c r="D585" s="80" t="s">
        <v>397</v>
      </c>
      <c r="E585" s="81" t="s">
        <v>398</v>
      </c>
      <c r="F585" s="82" t="s">
        <v>215</v>
      </c>
      <c r="G585" s="83" t="s">
        <v>395</v>
      </c>
      <c r="H585" s="84" t="s">
        <v>386</v>
      </c>
      <c r="I585" s="85" t="n">
        <v>1</v>
      </c>
      <c r="J585" s="86" t="n">
        <v>1</v>
      </c>
      <c r="K585" s="87" t="n">
        <v>0.008775</v>
      </c>
      <c r="L585" s="88" t="n">
        <v>308674578.680747</v>
      </c>
      <c r="M585" s="89" t="n">
        <v>308537399.672094</v>
      </c>
      <c r="N585" s="90" t="str">
        <f>MIN(MAX((B585-'Calculation_Assumptions'!$B$5+1)/'Calculation_Assumptions'!$B$7,0),1)</f>
      </c>
      <c r="O585" s="91" t="str">
        <f>L585*I585</f>
      </c>
      <c r="P585" s="92" t="str">
        <f>M585*I585</f>
      </c>
      <c r="Q585" s="93" t="str">
        <f>P585*'Calculation_Assumptions'!$B$14*J585*K585</f>
      </c>
      <c r="R585" s="94" t="str">
        <f>O585*N585*J585*K585</f>
      </c>
      <c r="S585" s="95" t="str">
        <f>R585-Q585</f>
      </c>
      <c r="T585" s="96" t="str">
        <f>1/(1+'Calculation_Assumptions'!$B$8)^(B585-'Calculation_Assumptions'!$B$2)</f>
      </c>
      <c r="U585" s="97" t="str">
        <f>Q585*T585</f>
      </c>
      <c r="V585" s="98" t="str">
        <f>R585*T585</f>
      </c>
      <c r="W585" s="99" t="str">
        <f>S585*T585</f>
      </c>
      <c r="X585" t="n">
        <v>0</v>
      </c>
      <c r="Y585" s="100" t="n">
        <v>2017</v>
      </c>
      <c r="Z585" t="s">
        <v>389</v>
      </c>
      <c r="AA585" s="101" t="str">
        <f>IF(G585="shared-count-once",COUNTIFS($A$2:$A$807,A585,$B$2:$B$807,B585,$D$2:$D$807,D585),1)</f>
      </c>
    </row>
    <row r="586">
      <c r="A586" t="s">
        <v>76</v>
      </c>
      <c r="B586" s="79" t="n">
        <v>2037</v>
      </c>
      <c r="C586" t="s">
        <v>212</v>
      </c>
      <c r="D586" s="80" t="s">
        <v>397</v>
      </c>
      <c r="E586" s="81" t="s">
        <v>398</v>
      </c>
      <c r="F586" s="82" t="s">
        <v>215</v>
      </c>
      <c r="G586" s="83" t="s">
        <v>395</v>
      </c>
      <c r="H586" s="84" t="s">
        <v>386</v>
      </c>
      <c r="I586" s="85" t="n">
        <v>1</v>
      </c>
      <c r="J586" s="86" t="n">
        <v>1</v>
      </c>
      <c r="K586" s="87" t="n">
        <v>0.008775</v>
      </c>
      <c r="L586" s="88" t="n">
        <v>310206624.908372</v>
      </c>
      <c r="M586" s="89" t="n">
        <v>310023120.393472</v>
      </c>
      <c r="N586" s="90" t="str">
        <f>MIN(MAX((B586-'Calculation_Assumptions'!$B$5+1)/'Calculation_Assumptions'!$B$7,0),1)</f>
      </c>
      <c r="O586" s="91" t="str">
        <f>L586*I586</f>
      </c>
      <c r="P586" s="92" t="str">
        <f>M586*I586</f>
      </c>
      <c r="Q586" s="93" t="str">
        <f>P586*'Calculation_Assumptions'!$B$14*J586*K586</f>
      </c>
      <c r="R586" s="94" t="str">
        <f>O586*N586*J586*K586</f>
      </c>
      <c r="S586" s="95" t="str">
        <f>R586-Q586</f>
      </c>
      <c r="T586" s="96" t="str">
        <f>1/(1+'Calculation_Assumptions'!$B$8)^(B586-'Calculation_Assumptions'!$B$2)</f>
      </c>
      <c r="U586" s="97" t="str">
        <f>Q586*T586</f>
      </c>
      <c r="V586" s="98" t="str">
        <f>R586*T586</f>
      </c>
      <c r="W586" s="99" t="str">
        <f>S586*T586</f>
      </c>
      <c r="X586" t="n">
        <v>0</v>
      </c>
      <c r="Y586" s="100" t="n">
        <v>2017</v>
      </c>
      <c r="Z586" t="s">
        <v>389</v>
      </c>
      <c r="AA586" s="101" t="str">
        <f>IF(G586="shared-count-once",COUNTIFS($A$2:$A$807,A586,$B$2:$B$807,B586,$D$2:$D$807,D586),1)</f>
      </c>
    </row>
    <row r="587">
      <c r="A587" t="s">
        <v>76</v>
      </c>
      <c r="B587" s="79" t="n">
        <v>2038</v>
      </c>
      <c r="C587" t="s">
        <v>212</v>
      </c>
      <c r="D587" s="80" t="s">
        <v>397</v>
      </c>
      <c r="E587" s="81" t="s">
        <v>398</v>
      </c>
      <c r="F587" s="82" t="s">
        <v>215</v>
      </c>
      <c r="G587" s="83" t="s">
        <v>395</v>
      </c>
      <c r="H587" s="84" t="s">
        <v>386</v>
      </c>
      <c r="I587" s="85" t="n">
        <v>1</v>
      </c>
      <c r="J587" s="86" t="n">
        <v>1</v>
      </c>
      <c r="K587" s="87" t="n">
        <v>0.008775</v>
      </c>
      <c r="L587" s="88" t="n">
        <v>311680372.519886</v>
      </c>
      <c r="M587" s="89" t="n">
        <v>311445837.134625</v>
      </c>
      <c r="N587" s="90" t="str">
        <f>MIN(MAX((B587-'Calculation_Assumptions'!$B$5+1)/'Calculation_Assumptions'!$B$7,0),1)</f>
      </c>
      <c r="O587" s="91" t="str">
        <f>L587*I587</f>
      </c>
      <c r="P587" s="92" t="str">
        <f>M587*I587</f>
      </c>
      <c r="Q587" s="93" t="str">
        <f>P587*'Calculation_Assumptions'!$B$14*J587*K587</f>
      </c>
      <c r="R587" s="94" t="str">
        <f>O587*N587*J587*K587</f>
      </c>
      <c r="S587" s="95" t="str">
        <f>R587-Q587</f>
      </c>
      <c r="T587" s="96" t="str">
        <f>1/(1+'Calculation_Assumptions'!$B$8)^(B587-'Calculation_Assumptions'!$B$2)</f>
      </c>
      <c r="U587" s="97" t="str">
        <f>Q587*T587</f>
      </c>
      <c r="V587" s="98" t="str">
        <f>R587*T587</f>
      </c>
      <c r="W587" s="99" t="str">
        <f>S587*T587</f>
      </c>
      <c r="X587" t="n">
        <v>0</v>
      </c>
      <c r="Y587" s="100" t="n">
        <v>2017</v>
      </c>
      <c r="Z587" t="s">
        <v>389</v>
      </c>
      <c r="AA587" s="101" t="str">
        <f>IF(G587="shared-count-once",COUNTIFS($A$2:$A$807,A587,$B$2:$B$807,B587,$D$2:$D$807,D587),1)</f>
      </c>
    </row>
    <row r="588">
      <c r="A588" t="s">
        <v>76</v>
      </c>
      <c r="B588" s="79" t="n">
        <v>2039</v>
      </c>
      <c r="C588" t="s">
        <v>212</v>
      </c>
      <c r="D588" s="80" t="s">
        <v>397</v>
      </c>
      <c r="E588" s="81" t="s">
        <v>398</v>
      </c>
      <c r="F588" s="82" t="s">
        <v>215</v>
      </c>
      <c r="G588" s="83" t="s">
        <v>395</v>
      </c>
      <c r="H588" s="84" t="s">
        <v>386</v>
      </c>
      <c r="I588" s="85" t="n">
        <v>1</v>
      </c>
      <c r="J588" s="86" t="n">
        <v>1</v>
      </c>
      <c r="K588" s="87" t="n">
        <v>0.008775</v>
      </c>
      <c r="L588" s="88" t="n">
        <v>313096760.631209</v>
      </c>
      <c r="M588" s="89" t="n">
        <v>312806989.715685</v>
      </c>
      <c r="N588" s="90" t="str">
        <f>MIN(MAX((B588-'Calculation_Assumptions'!$B$5+1)/'Calculation_Assumptions'!$B$7,0),1)</f>
      </c>
      <c r="O588" s="91" t="str">
        <f>L588*I588</f>
      </c>
      <c r="P588" s="92" t="str">
        <f>M588*I588</f>
      </c>
      <c r="Q588" s="93" t="str">
        <f>P588*'Calculation_Assumptions'!$B$14*J588*K588</f>
      </c>
      <c r="R588" s="94" t="str">
        <f>O588*N588*J588*K588</f>
      </c>
      <c r="S588" s="95" t="str">
        <f>R588-Q588</f>
      </c>
      <c r="T588" s="96" t="str">
        <f>1/(1+'Calculation_Assumptions'!$B$8)^(B588-'Calculation_Assumptions'!$B$2)</f>
      </c>
      <c r="U588" s="97" t="str">
        <f>Q588*T588</f>
      </c>
      <c r="V588" s="98" t="str">
        <f>R588*T588</f>
      </c>
      <c r="W588" s="99" t="str">
        <f>S588*T588</f>
      </c>
      <c r="X588" t="n">
        <v>0</v>
      </c>
      <c r="Y588" s="100" t="n">
        <v>2017</v>
      </c>
      <c r="Z588" t="s">
        <v>389</v>
      </c>
      <c r="AA588" s="101" t="str">
        <f>IF(G588="shared-count-once",COUNTIFS($A$2:$A$807,A588,$B$2:$B$807,B588,$D$2:$D$807,D588),1)</f>
      </c>
    </row>
    <row r="589">
      <c r="A589" t="s">
        <v>76</v>
      </c>
      <c r="B589" s="79" t="n">
        <v>2040</v>
      </c>
      <c r="C589" t="s">
        <v>212</v>
      </c>
      <c r="D589" s="80" t="s">
        <v>397</v>
      </c>
      <c r="E589" s="81" t="s">
        <v>398</v>
      </c>
      <c r="F589" s="82" t="s">
        <v>215</v>
      </c>
      <c r="G589" s="83" t="s">
        <v>395</v>
      </c>
      <c r="H589" s="84" t="s">
        <v>386</v>
      </c>
      <c r="I589" s="85" t="n">
        <v>1</v>
      </c>
      <c r="J589" s="86" t="n">
        <v>1</v>
      </c>
      <c r="K589" s="87" t="n">
        <v>0.008775</v>
      </c>
      <c r="L589" s="88" t="n">
        <v>314457822.69727</v>
      </c>
      <c r="M589" s="89" t="n">
        <v>314109251.582649</v>
      </c>
      <c r="N589" s="90" t="str">
        <f>MIN(MAX((B589-'Calculation_Assumptions'!$B$5+1)/'Calculation_Assumptions'!$B$7,0),1)</f>
      </c>
      <c r="O589" s="91" t="str">
        <f>L589*I589</f>
      </c>
      <c r="P589" s="92" t="str">
        <f>M589*I589</f>
      </c>
      <c r="Q589" s="93" t="str">
        <f>P589*'Calculation_Assumptions'!$B$14*J589*K589</f>
      </c>
      <c r="R589" s="94" t="str">
        <f>O589*N589*J589*K589</f>
      </c>
      <c r="S589" s="95" t="str">
        <f>R589-Q589</f>
      </c>
      <c r="T589" s="96" t="str">
        <f>1/(1+'Calculation_Assumptions'!$B$8)^(B589-'Calculation_Assumptions'!$B$2)</f>
      </c>
      <c r="U589" s="97" t="str">
        <f>Q589*T589</f>
      </c>
      <c r="V589" s="98" t="str">
        <f>R589*T589</f>
      </c>
      <c r="W589" s="99" t="str">
        <f>S589*T589</f>
      </c>
      <c r="X589" t="n">
        <v>0</v>
      </c>
      <c r="Y589" s="100" t="n">
        <v>2017</v>
      </c>
      <c r="Z589" t="s">
        <v>389</v>
      </c>
      <c r="AA589" s="101" t="str">
        <f>IF(G589="shared-count-once",COUNTIFS($A$2:$A$807,A589,$B$2:$B$807,B589,$D$2:$D$807,D589),1)</f>
      </c>
    </row>
    <row r="590">
      <c r="A590" t="s">
        <v>76</v>
      </c>
      <c r="B590" s="79" t="n">
        <v>2041</v>
      </c>
      <c r="C590" t="s">
        <v>212</v>
      </c>
      <c r="D590" s="80" t="s">
        <v>397</v>
      </c>
      <c r="E590" s="81" t="s">
        <v>398</v>
      </c>
      <c r="F590" s="82" t="s">
        <v>215</v>
      </c>
      <c r="G590" s="83" t="s">
        <v>395</v>
      </c>
      <c r="H590" s="84" t="s">
        <v>386</v>
      </c>
      <c r="I590" s="85" t="n">
        <v>1</v>
      </c>
      <c r="J590" s="86" t="n">
        <v>1</v>
      </c>
      <c r="K590" s="87" t="n">
        <v>0.008775</v>
      </c>
      <c r="L590" s="88" t="n">
        <v>315762299.651562</v>
      </c>
      <c r="M590" s="89" t="n">
        <v>315352079.812423</v>
      </c>
      <c r="N590" s="90" t="str">
        <f>MIN(MAX((B590-'Calculation_Assumptions'!$B$5+1)/'Calculation_Assumptions'!$B$7,0),1)</f>
      </c>
      <c r="O590" s="91" t="str">
        <f>L590*I590</f>
      </c>
      <c r="P590" s="92" t="str">
        <f>M590*I590</f>
      </c>
      <c r="Q590" s="93" t="str">
        <f>P590*'Calculation_Assumptions'!$B$14*J590*K590</f>
      </c>
      <c r="R590" s="94" t="str">
        <f>O590*N590*J590*K590</f>
      </c>
      <c r="S590" s="95" t="str">
        <f>R590-Q590</f>
      </c>
      <c r="T590" s="96" t="str">
        <f>1/(1+'Calculation_Assumptions'!$B$8)^(B590-'Calculation_Assumptions'!$B$2)</f>
      </c>
      <c r="U590" s="97" t="str">
        <f>Q590*T590</f>
      </c>
      <c r="V590" s="98" t="str">
        <f>R590*T590</f>
      </c>
      <c r="W590" s="99" t="str">
        <f>S590*T590</f>
      </c>
      <c r="X590" t="n">
        <v>0</v>
      </c>
      <c r="Y590" s="100" t="n">
        <v>2017</v>
      </c>
      <c r="Z590" t="s">
        <v>389</v>
      </c>
      <c r="AA590" s="101" t="str">
        <f>IF(G590="shared-count-once",COUNTIFS($A$2:$A$807,A590,$B$2:$B$807,B590,$D$2:$D$807,D590),1)</f>
      </c>
    </row>
    <row r="591">
      <c r="A591" t="s">
        <v>76</v>
      </c>
      <c r="B591" s="79" t="n">
        <v>2042</v>
      </c>
      <c r="C591" t="s">
        <v>212</v>
      </c>
      <c r="D591" s="80" t="s">
        <v>397</v>
      </c>
      <c r="E591" s="81" t="s">
        <v>398</v>
      </c>
      <c r="F591" s="82" t="s">
        <v>215</v>
      </c>
      <c r="G591" s="83" t="s">
        <v>395</v>
      </c>
      <c r="H591" s="84" t="s">
        <v>386</v>
      </c>
      <c r="I591" s="85" t="n">
        <v>1</v>
      </c>
      <c r="J591" s="86" t="n">
        <v>1</v>
      </c>
      <c r="K591" s="87" t="n">
        <v>0.008775</v>
      </c>
      <c r="L591" s="88" t="n">
        <v>317010735.77488</v>
      </c>
      <c r="M591" s="89" t="n">
        <v>316395286.312016</v>
      </c>
      <c r="N591" s="90" t="str">
        <f>MIN(MAX((B591-'Calculation_Assumptions'!$B$5+1)/'Calculation_Assumptions'!$B$7,0),1)</f>
      </c>
      <c r="O591" s="91" t="str">
        <f>L591*I591</f>
      </c>
      <c r="P591" s="92" t="str">
        <f>M591*I591</f>
      </c>
      <c r="Q591" s="93" t="str">
        <f>P591*'Calculation_Assumptions'!$B$14*J591*K591</f>
      </c>
      <c r="R591" s="94" t="str">
        <f>O591*N591*J591*K591</f>
      </c>
      <c r="S591" s="95" t="str">
        <f>R591-Q591</f>
      </c>
      <c r="T591" s="96" t="str">
        <f>1/(1+'Calculation_Assumptions'!$B$8)^(B591-'Calculation_Assumptions'!$B$2)</f>
      </c>
      <c r="U591" s="97" t="str">
        <f>Q591*T591</f>
      </c>
      <c r="V591" s="98" t="str">
        <f>R591*T591</f>
      </c>
      <c r="W591" s="99" t="str">
        <f>S591*T591</f>
      </c>
      <c r="X591" t="n">
        <v>0</v>
      </c>
      <c r="Y591" s="100" t="n">
        <v>2017</v>
      </c>
      <c r="Z591" t="s">
        <v>389</v>
      </c>
      <c r="AA591" s="101" t="str">
        <f>IF(G591="shared-count-once",COUNTIFS($A$2:$A$807,A591,$B$2:$B$807,B591,$D$2:$D$807,D591),1)</f>
      </c>
    </row>
    <row r="592">
      <c r="A592" t="s">
        <v>76</v>
      </c>
      <c r="B592" s="79" t="n">
        <v>2043</v>
      </c>
      <c r="C592" t="s">
        <v>212</v>
      </c>
      <c r="D592" s="80" t="s">
        <v>397</v>
      </c>
      <c r="E592" s="81" t="s">
        <v>398</v>
      </c>
      <c r="F592" s="82" t="s">
        <v>215</v>
      </c>
      <c r="G592" s="83" t="s">
        <v>395</v>
      </c>
      <c r="H592" s="84" t="s">
        <v>386</v>
      </c>
      <c r="I592" s="85" t="n">
        <v>1</v>
      </c>
      <c r="J592" s="86" t="n">
        <v>1</v>
      </c>
      <c r="K592" s="87" t="n">
        <v>0.008775</v>
      </c>
      <c r="L592" s="88" t="n">
        <v>318158750.005661</v>
      </c>
      <c r="M592" s="89" t="n">
        <v>317619735.688289</v>
      </c>
      <c r="N592" s="90" t="str">
        <f>MIN(MAX((B592-'Calculation_Assumptions'!$B$5+1)/'Calculation_Assumptions'!$B$7,0),1)</f>
      </c>
      <c r="O592" s="91" t="str">
        <f>L592*I592</f>
      </c>
      <c r="P592" s="92" t="str">
        <f>M592*I592</f>
      </c>
      <c r="Q592" s="93" t="str">
        <f>P592*'Calculation_Assumptions'!$B$14*J592*K592</f>
      </c>
      <c r="R592" s="94" t="str">
        <f>O592*N592*J592*K592</f>
      </c>
      <c r="S592" s="95" t="str">
        <f>R592-Q592</f>
      </c>
      <c r="T592" s="96" t="str">
        <f>1/(1+'Calculation_Assumptions'!$B$8)^(B592-'Calculation_Assumptions'!$B$2)</f>
      </c>
      <c r="U592" s="97" t="str">
        <f>Q592*T592</f>
      </c>
      <c r="V592" s="98" t="str">
        <f>R592*T592</f>
      </c>
      <c r="W592" s="99" t="str">
        <f>S592*T592</f>
      </c>
      <c r="X592" t="n">
        <v>0</v>
      </c>
      <c r="Y592" s="100" t="n">
        <v>2017</v>
      </c>
      <c r="Z592" t="s">
        <v>389</v>
      </c>
      <c r="AA592" s="101" t="str">
        <f>IF(G592="shared-count-once",COUNTIFS($A$2:$A$807,A592,$B$2:$B$807,B592,$D$2:$D$807,D592),1)</f>
      </c>
    </row>
    <row r="593">
      <c r="A593" t="s">
        <v>76</v>
      </c>
      <c r="B593" s="79" t="n">
        <v>2044</v>
      </c>
      <c r="C593" t="s">
        <v>212</v>
      </c>
      <c r="D593" s="80" t="s">
        <v>397</v>
      </c>
      <c r="E593" s="81" t="s">
        <v>398</v>
      </c>
      <c r="F593" s="82" t="s">
        <v>215</v>
      </c>
      <c r="G593" s="83" t="s">
        <v>395</v>
      </c>
      <c r="H593" s="84" t="s">
        <v>386</v>
      </c>
      <c r="I593" s="85" t="n">
        <v>1</v>
      </c>
      <c r="J593" s="86" t="n">
        <v>1</v>
      </c>
      <c r="K593" s="87" t="n">
        <v>0.008775</v>
      </c>
      <c r="L593" s="88" t="n">
        <v>319305078.475065</v>
      </c>
      <c r="M593" s="89" t="n">
        <v>318697135.863652</v>
      </c>
      <c r="N593" s="90" t="str">
        <f>MIN(MAX((B593-'Calculation_Assumptions'!$B$5+1)/'Calculation_Assumptions'!$B$7,0),1)</f>
      </c>
      <c r="O593" s="91" t="str">
        <f>L593*I593</f>
      </c>
      <c r="P593" s="92" t="str">
        <f>M593*I593</f>
      </c>
      <c r="Q593" s="93" t="str">
        <f>P593*'Calculation_Assumptions'!$B$14*J593*K593</f>
      </c>
      <c r="R593" s="94" t="str">
        <f>O593*N593*J593*K593</f>
      </c>
      <c r="S593" s="95" t="str">
        <f>R593-Q593</f>
      </c>
      <c r="T593" s="96" t="str">
        <f>1/(1+'Calculation_Assumptions'!$B$8)^(B593-'Calculation_Assumptions'!$B$2)</f>
      </c>
      <c r="U593" s="97" t="str">
        <f>Q593*T593</f>
      </c>
      <c r="V593" s="98" t="str">
        <f>R593*T593</f>
      </c>
      <c r="W593" s="99" t="str">
        <f>S593*T593</f>
      </c>
      <c r="X593" t="n">
        <v>0</v>
      </c>
      <c r="Y593" s="100" t="n">
        <v>2017</v>
      </c>
      <c r="Z593" t="s">
        <v>389</v>
      </c>
      <c r="AA593" s="101" t="str">
        <f>IF(G593="shared-count-once",COUNTIFS($A$2:$A$807,A593,$B$2:$B$807,B593,$D$2:$D$807,D593),1)</f>
      </c>
    </row>
    <row r="594">
      <c r="A594" t="s">
        <v>76</v>
      </c>
      <c r="B594" s="79" t="n">
        <v>2045</v>
      </c>
      <c r="C594" t="s">
        <v>212</v>
      </c>
      <c r="D594" s="80" t="s">
        <v>397</v>
      </c>
      <c r="E594" s="81" t="s">
        <v>398</v>
      </c>
      <c r="F594" s="82" t="s">
        <v>215</v>
      </c>
      <c r="G594" s="83" t="s">
        <v>395</v>
      </c>
      <c r="H594" s="84" t="s">
        <v>386</v>
      </c>
      <c r="I594" s="85" t="n">
        <v>1</v>
      </c>
      <c r="J594" s="86" t="n">
        <v>1</v>
      </c>
      <c r="K594" s="87" t="n">
        <v>0.008775</v>
      </c>
      <c r="L594" s="88" t="n">
        <v>320395460.874147</v>
      </c>
      <c r="M594" s="89" t="n">
        <v>319717840.85179</v>
      </c>
      <c r="N594" s="90" t="str">
        <f>MIN(MAX((B594-'Calculation_Assumptions'!$B$5+1)/'Calculation_Assumptions'!$B$7,0),1)</f>
      </c>
      <c r="O594" s="91" t="str">
        <f>L594*I594</f>
      </c>
      <c r="P594" s="92" t="str">
        <f>M594*I594</f>
      </c>
      <c r="Q594" s="93" t="str">
        <f>P594*'Calculation_Assumptions'!$B$14*J594*K594</f>
      </c>
      <c r="R594" s="94" t="str">
        <f>O594*N594*J594*K594</f>
      </c>
      <c r="S594" s="95" t="str">
        <f>R594-Q594</f>
      </c>
      <c r="T594" s="96" t="str">
        <f>1/(1+'Calculation_Assumptions'!$B$8)^(B594-'Calculation_Assumptions'!$B$2)</f>
      </c>
      <c r="U594" s="97" t="str">
        <f>Q594*T594</f>
      </c>
      <c r="V594" s="98" t="str">
        <f>R594*T594</f>
      </c>
      <c r="W594" s="99" t="str">
        <f>S594*T594</f>
      </c>
      <c r="X594" t="n">
        <v>0</v>
      </c>
      <c r="Y594" s="100" t="n">
        <v>2017</v>
      </c>
      <c r="Z594" t="s">
        <v>389</v>
      </c>
      <c r="AA594" s="101" t="str">
        <f>IF(G594="shared-count-once",COUNTIFS($A$2:$A$807,A594,$B$2:$B$807,B594,$D$2:$D$807,D594),1)</f>
      </c>
    </row>
    <row r="595">
      <c r="A595" t="s">
        <v>76</v>
      </c>
      <c r="B595" s="79" t="n">
        <v>2046</v>
      </c>
      <c r="C595" t="s">
        <v>212</v>
      </c>
      <c r="D595" s="80" t="s">
        <v>397</v>
      </c>
      <c r="E595" s="81" t="s">
        <v>398</v>
      </c>
      <c r="F595" s="82" t="s">
        <v>215</v>
      </c>
      <c r="G595" s="83" t="s">
        <v>395</v>
      </c>
      <c r="H595" s="84" t="s">
        <v>386</v>
      </c>
      <c r="I595" s="85" t="n">
        <v>1</v>
      </c>
      <c r="J595" s="86" t="n">
        <v>1</v>
      </c>
      <c r="K595" s="87" t="n">
        <v>0.008775</v>
      </c>
      <c r="L595" s="88" t="n">
        <v>321430558.971018</v>
      </c>
      <c r="M595" s="89" t="n">
        <v>320683879.806276</v>
      </c>
      <c r="N595" s="90" t="str">
        <f>MIN(MAX((B595-'Calculation_Assumptions'!$B$5+1)/'Calculation_Assumptions'!$B$7,0),1)</f>
      </c>
      <c r="O595" s="91" t="str">
        <f>L595*I595</f>
      </c>
      <c r="P595" s="92" t="str">
        <f>M595*I595</f>
      </c>
      <c r="Q595" s="93" t="str">
        <f>P595*'Calculation_Assumptions'!$B$14*J595*K595</f>
      </c>
      <c r="R595" s="94" t="str">
        <f>O595*N595*J595*K595</f>
      </c>
      <c r="S595" s="95" t="str">
        <f>R595-Q595</f>
      </c>
      <c r="T595" s="96" t="str">
        <f>1/(1+'Calculation_Assumptions'!$B$8)^(B595-'Calculation_Assumptions'!$B$2)</f>
      </c>
      <c r="U595" s="97" t="str">
        <f>Q595*T595</f>
      </c>
      <c r="V595" s="98" t="str">
        <f>R595*T595</f>
      </c>
      <c r="W595" s="99" t="str">
        <f>S595*T595</f>
      </c>
      <c r="X595" t="n">
        <v>0</v>
      </c>
      <c r="Y595" s="100" t="n">
        <v>2017</v>
      </c>
      <c r="Z595" t="s">
        <v>389</v>
      </c>
      <c r="AA595" s="101" t="str">
        <f>IF(G595="shared-count-once",COUNTIFS($A$2:$A$807,A595,$B$2:$B$807,B595,$D$2:$D$807,D595),1)</f>
      </c>
    </row>
    <row r="596">
      <c r="A596" t="s">
        <v>76</v>
      </c>
      <c r="B596" s="79" t="n">
        <v>2047</v>
      </c>
      <c r="C596" t="s">
        <v>212</v>
      </c>
      <c r="D596" s="80" t="s">
        <v>397</v>
      </c>
      <c r="E596" s="81" t="s">
        <v>398</v>
      </c>
      <c r="F596" s="82" t="s">
        <v>215</v>
      </c>
      <c r="G596" s="83" t="s">
        <v>395</v>
      </c>
      <c r="H596" s="84" t="s">
        <v>386</v>
      </c>
      <c r="I596" s="85" t="n">
        <v>1</v>
      </c>
      <c r="J596" s="86" t="n">
        <v>1</v>
      </c>
      <c r="K596" s="87" t="n">
        <v>0.008775</v>
      </c>
      <c r="L596" s="88" t="n">
        <v>322411096.713551</v>
      </c>
      <c r="M596" s="89" t="n">
        <v>321595541.389526</v>
      </c>
      <c r="N596" s="90" t="str">
        <f>MIN(MAX((B596-'Calculation_Assumptions'!$B$5+1)/'Calculation_Assumptions'!$B$7,0),1)</f>
      </c>
      <c r="O596" s="91" t="str">
        <f>L596*I596</f>
      </c>
      <c r="P596" s="92" t="str">
        <f>M596*I596</f>
      </c>
      <c r="Q596" s="93" t="str">
        <f>P596*'Calculation_Assumptions'!$B$14*J596*K596</f>
      </c>
      <c r="R596" s="94" t="str">
        <f>O596*N596*J596*K596</f>
      </c>
      <c r="S596" s="95" t="str">
        <f>R596-Q596</f>
      </c>
      <c r="T596" s="96" t="str">
        <f>1/(1+'Calculation_Assumptions'!$B$8)^(B596-'Calculation_Assumptions'!$B$2)</f>
      </c>
      <c r="U596" s="97" t="str">
        <f>Q596*T596</f>
      </c>
      <c r="V596" s="98" t="str">
        <f>R596*T596</f>
      </c>
      <c r="W596" s="99" t="str">
        <f>S596*T596</f>
      </c>
      <c r="X596" t="n">
        <v>0</v>
      </c>
      <c r="Y596" s="100" t="n">
        <v>2017</v>
      </c>
      <c r="Z596" t="s">
        <v>389</v>
      </c>
      <c r="AA596" s="101" t="str">
        <f>IF(G596="shared-count-once",COUNTIFS($A$2:$A$807,A596,$B$2:$B$807,B596,$D$2:$D$807,D596),1)</f>
      </c>
    </row>
    <row r="597">
      <c r="A597" t="s">
        <v>76</v>
      </c>
      <c r="B597" s="79" t="n">
        <v>2048</v>
      </c>
      <c r="C597" t="s">
        <v>212</v>
      </c>
      <c r="D597" s="80" t="s">
        <v>397</v>
      </c>
      <c r="E597" s="81" t="s">
        <v>398</v>
      </c>
      <c r="F597" s="82" t="s">
        <v>215</v>
      </c>
      <c r="G597" s="83" t="s">
        <v>395</v>
      </c>
      <c r="H597" s="84" t="s">
        <v>386</v>
      </c>
      <c r="I597" s="85" t="n">
        <v>1</v>
      </c>
      <c r="J597" s="86" t="n">
        <v>1</v>
      </c>
      <c r="K597" s="87" t="n">
        <v>0.008775</v>
      </c>
      <c r="L597" s="88" t="n">
        <v>323337875.603966</v>
      </c>
      <c r="M597" s="89" t="n">
        <v>322453622.669464</v>
      </c>
      <c r="N597" s="90" t="str">
        <f>MIN(MAX((B597-'Calculation_Assumptions'!$B$5+1)/'Calculation_Assumptions'!$B$7,0),1)</f>
      </c>
      <c r="O597" s="91" t="str">
        <f>L597*I597</f>
      </c>
      <c r="P597" s="92" t="str">
        <f>M597*I597</f>
      </c>
      <c r="Q597" s="93" t="str">
        <f>P597*'Calculation_Assumptions'!$B$14*J597*K597</f>
      </c>
      <c r="R597" s="94" t="str">
        <f>O597*N597*J597*K597</f>
      </c>
      <c r="S597" s="95" t="str">
        <f>R597-Q597</f>
      </c>
      <c r="T597" s="96" t="str">
        <f>1/(1+'Calculation_Assumptions'!$B$8)^(B597-'Calculation_Assumptions'!$B$2)</f>
      </c>
      <c r="U597" s="97" t="str">
        <f>Q597*T597</f>
      </c>
      <c r="V597" s="98" t="str">
        <f>R597*T597</f>
      </c>
      <c r="W597" s="99" t="str">
        <f>S597*T597</f>
      </c>
      <c r="X597" t="n">
        <v>0</v>
      </c>
      <c r="Y597" s="100" t="n">
        <v>2017</v>
      </c>
      <c r="Z597" t="s">
        <v>389</v>
      </c>
      <c r="AA597" s="101" t="str">
        <f>IF(G597="shared-count-once",COUNTIFS($A$2:$A$807,A597,$B$2:$B$807,B597,$D$2:$D$807,D597),1)</f>
      </c>
    </row>
    <row r="598">
      <c r="A598" t="s">
        <v>76</v>
      </c>
      <c r="B598" s="79" t="n">
        <v>2049</v>
      </c>
      <c r="C598" t="s">
        <v>212</v>
      </c>
      <c r="D598" s="80" t="s">
        <v>397</v>
      </c>
      <c r="E598" s="81" t="s">
        <v>398</v>
      </c>
      <c r="F598" s="82" t="s">
        <v>215</v>
      </c>
      <c r="G598" s="83" t="s">
        <v>395</v>
      </c>
      <c r="H598" s="84" t="s">
        <v>386</v>
      </c>
      <c r="I598" s="85" t="n">
        <v>1</v>
      </c>
      <c r="J598" s="86" t="n">
        <v>1</v>
      </c>
      <c r="K598" s="87" t="n">
        <v>0.008775</v>
      </c>
      <c r="L598" s="88" t="n">
        <v>324211859.675226</v>
      </c>
      <c r="M598" s="89" t="n">
        <v>323259246.716719</v>
      </c>
      <c r="N598" s="90" t="str">
        <f>MIN(MAX((B598-'Calculation_Assumptions'!$B$5+1)/'Calculation_Assumptions'!$B$7,0),1)</f>
      </c>
      <c r="O598" s="91" t="str">
        <f>L598*I598</f>
      </c>
      <c r="P598" s="92" t="str">
        <f>M598*I598</f>
      </c>
      <c r="Q598" s="93" t="str">
        <f>P598*'Calculation_Assumptions'!$B$14*J598*K598</f>
      </c>
      <c r="R598" s="94" t="str">
        <f>O598*N598*J598*K598</f>
      </c>
      <c r="S598" s="95" t="str">
        <f>R598-Q598</f>
      </c>
      <c r="T598" s="96" t="str">
        <f>1/(1+'Calculation_Assumptions'!$B$8)^(B598-'Calculation_Assumptions'!$B$2)</f>
      </c>
      <c r="U598" s="97" t="str">
        <f>Q598*T598</f>
      </c>
      <c r="V598" s="98" t="str">
        <f>R598*T598</f>
      </c>
      <c r="W598" s="99" t="str">
        <f>S598*T598</f>
      </c>
      <c r="X598" t="n">
        <v>0</v>
      </c>
      <c r="Y598" s="100" t="n">
        <v>2017</v>
      </c>
      <c r="Z598" t="s">
        <v>389</v>
      </c>
      <c r="AA598" s="101" t="str">
        <f>IF(G598="shared-count-once",COUNTIFS($A$2:$A$807,A598,$B$2:$B$807,B598,$D$2:$D$807,D598),1)</f>
      </c>
    </row>
    <row r="599">
      <c r="A599" t="s">
        <v>76</v>
      </c>
      <c r="B599" s="79" t="n">
        <v>2050</v>
      </c>
      <c r="C599" t="s">
        <v>212</v>
      </c>
      <c r="D599" s="80" t="s">
        <v>397</v>
      </c>
      <c r="E599" s="81" t="s">
        <v>398</v>
      </c>
      <c r="F599" s="82" t="s">
        <v>215</v>
      </c>
      <c r="G599" s="83" t="s">
        <v>395</v>
      </c>
      <c r="H599" s="84" t="s">
        <v>386</v>
      </c>
      <c r="I599" s="85" t="n">
        <v>1</v>
      </c>
      <c r="J599" s="86" t="n">
        <v>1</v>
      </c>
      <c r="K599" s="87" t="n">
        <v>0.008775</v>
      </c>
      <c r="L599" s="88" t="n">
        <v>325034214.935484</v>
      </c>
      <c r="M599" s="89" t="n">
        <v>324013738.182479</v>
      </c>
      <c r="N599" s="90" t="str">
        <f>MIN(MAX((B599-'Calculation_Assumptions'!$B$5+1)/'Calculation_Assumptions'!$B$7,0),1)</f>
      </c>
      <c r="O599" s="91" t="str">
        <f>L599*I599</f>
      </c>
      <c r="P599" s="92" t="str">
        <f>M599*I599</f>
      </c>
      <c r="Q599" s="93" t="str">
        <f>P599*'Calculation_Assumptions'!$B$14*J599*K599</f>
      </c>
      <c r="R599" s="94" t="str">
        <f>O599*N599*J599*K599</f>
      </c>
      <c r="S599" s="95" t="str">
        <f>R599-Q599</f>
      </c>
      <c r="T599" s="96" t="str">
        <f>1/(1+'Calculation_Assumptions'!$B$8)^(B599-'Calculation_Assumptions'!$B$2)</f>
      </c>
      <c r="U599" s="97" t="str">
        <f>Q599*T599</f>
      </c>
      <c r="V599" s="98" t="str">
        <f>R599*T599</f>
      </c>
      <c r="W599" s="99" t="str">
        <f>S599*T599</f>
      </c>
      <c r="X599" t="n">
        <v>0</v>
      </c>
      <c r="Y599" s="100" t="n">
        <v>2017</v>
      </c>
      <c r="Z599" t="s">
        <v>389</v>
      </c>
      <c r="AA599" s="101" t="str">
        <f>IF(G599="shared-count-once",COUNTIFS($A$2:$A$807,A599,$B$2:$B$807,B599,$D$2:$D$807,D599),1)</f>
      </c>
    </row>
    <row r="600">
      <c r="A600" t="s">
        <v>76</v>
      </c>
      <c r="B600" s="79" t="n">
        <v>2025</v>
      </c>
      <c r="C600" t="s">
        <v>219</v>
      </c>
      <c r="D600" s="80" t="s">
        <v>399</v>
      </c>
      <c r="E600" s="81" t="s">
        <v>400</v>
      </c>
      <c r="F600" s="82" t="s">
        <v>222</v>
      </c>
      <c r="G600" s="83" t="s">
        <v>395</v>
      </c>
      <c r="H600" s="84" t="s">
        <v>386</v>
      </c>
      <c r="I600" s="85" t="n">
        <v>1</v>
      </c>
      <c r="J600" s="86" t="n">
        <v>1</v>
      </c>
      <c r="K600" s="87" t="n">
        <v>0.008775</v>
      </c>
      <c r="L600" s="88" t="n">
        <v>288000821.106462</v>
      </c>
      <c r="M600" s="89" t="n">
        <v>288000821.106462</v>
      </c>
      <c r="N600" s="90" t="str">
        <f>MIN(MAX((B600-'Calculation_Assumptions'!$B$5+1)/'Calculation_Assumptions'!$B$7,0),1)</f>
      </c>
      <c r="O600" s="91" t="str">
        <f>L600*I600</f>
      </c>
      <c r="P600" s="92" t="str">
        <f>M600*I600</f>
      </c>
      <c r="Q600" s="93" t="str">
        <f>P600*'Calculation_Assumptions'!$B$14*J600*K600</f>
      </c>
      <c r="R600" s="94" t="str">
        <f>O600*N600*J600*K600</f>
      </c>
      <c r="S600" s="95" t="str">
        <f>R600-Q600</f>
      </c>
      <c r="T600" s="96" t="str">
        <f>1/(1+'Calculation_Assumptions'!$B$8)^(B600-'Calculation_Assumptions'!$B$2)</f>
      </c>
      <c r="U600" s="97" t="str">
        <f>Q600*T600</f>
      </c>
      <c r="V600" s="98" t="str">
        <f>R600*T600</f>
      </c>
      <c r="W600" s="99" t="str">
        <f>S600*T600</f>
      </c>
      <c r="X600" t="n">
        <v>0</v>
      </c>
      <c r="Y600" s="100" t="n">
        <v>2017</v>
      </c>
      <c r="Z600" t="s">
        <v>389</v>
      </c>
      <c r="AA600" s="101" t="str">
        <f>IF(G600="shared-count-once",COUNTIFS($A$2:$A$807,A600,$B$2:$B$807,B600,$D$2:$D$807,D600),1)</f>
      </c>
    </row>
    <row r="601">
      <c r="A601" t="s">
        <v>76</v>
      </c>
      <c r="B601" s="79" t="n">
        <v>2026</v>
      </c>
      <c r="C601" t="s">
        <v>219</v>
      </c>
      <c r="D601" s="80" t="s">
        <v>399</v>
      </c>
      <c r="E601" s="81" t="s">
        <v>400</v>
      </c>
      <c r="F601" s="82" t="s">
        <v>222</v>
      </c>
      <c r="G601" s="83" t="s">
        <v>395</v>
      </c>
      <c r="H601" s="84" t="s">
        <v>386</v>
      </c>
      <c r="I601" s="85" t="n">
        <v>1</v>
      </c>
      <c r="J601" s="86" t="n">
        <v>1</v>
      </c>
      <c r="K601" s="87" t="n">
        <v>0.008775</v>
      </c>
      <c r="L601" s="88" t="n">
        <v>290123496.103219</v>
      </c>
      <c r="M601" s="89" t="n">
        <v>290123496.103219</v>
      </c>
      <c r="N601" s="90" t="str">
        <f>MIN(MAX((B601-'Calculation_Assumptions'!$B$5+1)/'Calculation_Assumptions'!$B$7,0),1)</f>
      </c>
      <c r="O601" s="91" t="str">
        <f>L601*I601</f>
      </c>
      <c r="P601" s="92" t="str">
        <f>M601*I601</f>
      </c>
      <c r="Q601" s="93" t="str">
        <f>P601*'Calculation_Assumptions'!$B$14*J601*K601</f>
      </c>
      <c r="R601" s="94" t="str">
        <f>O601*N601*J601*K601</f>
      </c>
      <c r="S601" s="95" t="str">
        <f>R601-Q601</f>
      </c>
      <c r="T601" s="96" t="str">
        <f>1/(1+'Calculation_Assumptions'!$B$8)^(B601-'Calculation_Assumptions'!$B$2)</f>
      </c>
      <c r="U601" s="97" t="str">
        <f>Q601*T601</f>
      </c>
      <c r="V601" s="98" t="str">
        <f>R601*T601</f>
      </c>
      <c r="W601" s="99" t="str">
        <f>S601*T601</f>
      </c>
      <c r="X601" t="n">
        <v>0</v>
      </c>
      <c r="Y601" s="100" t="n">
        <v>2017</v>
      </c>
      <c r="Z601" t="s">
        <v>389</v>
      </c>
      <c r="AA601" s="101" t="str">
        <f>IF(G601="shared-count-once",COUNTIFS($A$2:$A$807,A601,$B$2:$B$807,B601,$D$2:$D$807,D601),1)</f>
      </c>
    </row>
    <row r="602">
      <c r="A602" t="s">
        <v>76</v>
      </c>
      <c r="B602" s="79" t="n">
        <v>2027</v>
      </c>
      <c r="C602" t="s">
        <v>219</v>
      </c>
      <c r="D602" s="80" t="s">
        <v>399</v>
      </c>
      <c r="E602" s="81" t="s">
        <v>400</v>
      </c>
      <c r="F602" s="82" t="s">
        <v>222</v>
      </c>
      <c r="G602" s="83" t="s">
        <v>395</v>
      </c>
      <c r="H602" s="84" t="s">
        <v>386</v>
      </c>
      <c r="I602" s="85" t="n">
        <v>1</v>
      </c>
      <c r="J602" s="86" t="n">
        <v>1</v>
      </c>
      <c r="K602" s="87" t="n">
        <v>0.008775</v>
      </c>
      <c r="L602" s="88" t="n">
        <v>292252895.096956</v>
      </c>
      <c r="M602" s="89" t="n">
        <v>292252895.096956</v>
      </c>
      <c r="N602" s="90" t="str">
        <f>MIN(MAX((B602-'Calculation_Assumptions'!$B$5+1)/'Calculation_Assumptions'!$B$7,0),1)</f>
      </c>
      <c r="O602" s="91" t="str">
        <f>L602*I602</f>
      </c>
      <c r="P602" s="92" t="str">
        <f>M602*I602</f>
      </c>
      <c r="Q602" s="93" t="str">
        <f>P602*'Calculation_Assumptions'!$B$14*J602*K602</f>
      </c>
      <c r="R602" s="94" t="str">
        <f>O602*N602*J602*K602</f>
      </c>
      <c r="S602" s="95" t="str">
        <f>R602-Q602</f>
      </c>
      <c r="T602" s="96" t="str">
        <f>1/(1+'Calculation_Assumptions'!$B$8)^(B602-'Calculation_Assumptions'!$B$2)</f>
      </c>
      <c r="U602" s="97" t="str">
        <f>Q602*T602</f>
      </c>
      <c r="V602" s="98" t="str">
        <f>R602*T602</f>
      </c>
      <c r="W602" s="99" t="str">
        <f>S602*T602</f>
      </c>
      <c r="X602" t="n">
        <v>0</v>
      </c>
      <c r="Y602" s="100" t="n">
        <v>2017</v>
      </c>
      <c r="Z602" t="s">
        <v>389</v>
      </c>
      <c r="AA602" s="101" t="str">
        <f>IF(G602="shared-count-once",COUNTIFS($A$2:$A$807,A602,$B$2:$B$807,B602,$D$2:$D$807,D602),1)</f>
      </c>
    </row>
    <row r="603">
      <c r="A603" t="s">
        <v>76</v>
      </c>
      <c r="B603" s="79" t="n">
        <v>2028</v>
      </c>
      <c r="C603" t="s">
        <v>219</v>
      </c>
      <c r="D603" s="80" t="s">
        <v>399</v>
      </c>
      <c r="E603" s="81" t="s">
        <v>400</v>
      </c>
      <c r="F603" s="82" t="s">
        <v>222</v>
      </c>
      <c r="G603" s="83" t="s">
        <v>395</v>
      </c>
      <c r="H603" s="84" t="s">
        <v>386</v>
      </c>
      <c r="I603" s="85" t="n">
        <v>1</v>
      </c>
      <c r="J603" s="86" t="n">
        <v>1</v>
      </c>
      <c r="K603" s="87" t="n">
        <v>0.008775</v>
      </c>
      <c r="L603" s="88" t="n">
        <v>294317373.248038</v>
      </c>
      <c r="M603" s="89" t="n">
        <v>294314895.305465</v>
      </c>
      <c r="N603" s="90" t="str">
        <f>MIN(MAX((B603-'Calculation_Assumptions'!$B$5+1)/'Calculation_Assumptions'!$B$7,0),1)</f>
      </c>
      <c r="O603" s="91" t="str">
        <f>L603*I603</f>
      </c>
      <c r="P603" s="92" t="str">
        <f>M603*I603</f>
      </c>
      <c r="Q603" s="93" t="str">
        <f>P603*'Calculation_Assumptions'!$B$14*J603*K603</f>
      </c>
      <c r="R603" s="94" t="str">
        <f>O603*N603*J603*K603</f>
      </c>
      <c r="S603" s="95" t="str">
        <f>R603-Q603</f>
      </c>
      <c r="T603" s="96" t="str">
        <f>1/(1+'Calculation_Assumptions'!$B$8)^(B603-'Calculation_Assumptions'!$B$2)</f>
      </c>
      <c r="U603" s="97" t="str">
        <f>Q603*T603</f>
      </c>
      <c r="V603" s="98" t="str">
        <f>R603*T603</f>
      </c>
      <c r="W603" s="99" t="str">
        <f>S603*T603</f>
      </c>
      <c r="X603" t="n">
        <v>0</v>
      </c>
      <c r="Y603" s="100" t="n">
        <v>2017</v>
      </c>
      <c r="Z603" t="s">
        <v>389</v>
      </c>
      <c r="AA603" s="101" t="str">
        <f>IF(G603="shared-count-once",COUNTIFS($A$2:$A$807,A603,$B$2:$B$807,B603,$D$2:$D$807,D603),1)</f>
      </c>
    </row>
    <row r="604">
      <c r="A604" t="s">
        <v>76</v>
      </c>
      <c r="B604" s="79" t="n">
        <v>2029</v>
      </c>
      <c r="C604" t="s">
        <v>219</v>
      </c>
      <c r="D604" s="80" t="s">
        <v>399</v>
      </c>
      <c r="E604" s="81" t="s">
        <v>400</v>
      </c>
      <c r="F604" s="82" t="s">
        <v>222</v>
      </c>
      <c r="G604" s="83" t="s">
        <v>395</v>
      </c>
      <c r="H604" s="84" t="s">
        <v>386</v>
      </c>
      <c r="I604" s="85" t="n">
        <v>1</v>
      </c>
      <c r="J604" s="86" t="n">
        <v>1</v>
      </c>
      <c r="K604" s="87" t="n">
        <v>0.008775</v>
      </c>
      <c r="L604" s="88" t="n">
        <v>296300392.819394</v>
      </c>
      <c r="M604" s="89" t="n">
        <v>296341062.542853</v>
      </c>
      <c r="N604" s="90" t="str">
        <f>MIN(MAX((B604-'Calculation_Assumptions'!$B$5+1)/'Calculation_Assumptions'!$B$7,0),1)</f>
      </c>
      <c r="O604" s="91" t="str">
        <f>L604*I604</f>
      </c>
      <c r="P604" s="92" t="str">
        <f>M604*I604</f>
      </c>
      <c r="Q604" s="93" t="str">
        <f>P604*'Calculation_Assumptions'!$B$14*J604*K604</f>
      </c>
      <c r="R604" s="94" t="str">
        <f>O604*N604*J604*K604</f>
      </c>
      <c r="S604" s="95" t="str">
        <f>R604-Q604</f>
      </c>
      <c r="T604" s="96" t="str">
        <f>1/(1+'Calculation_Assumptions'!$B$8)^(B604-'Calculation_Assumptions'!$B$2)</f>
      </c>
      <c r="U604" s="97" t="str">
        <f>Q604*T604</f>
      </c>
      <c r="V604" s="98" t="str">
        <f>R604*T604</f>
      </c>
      <c r="W604" s="99" t="str">
        <f>S604*T604</f>
      </c>
      <c r="X604" t="n">
        <v>0</v>
      </c>
      <c r="Y604" s="100" t="n">
        <v>2017</v>
      </c>
      <c r="Z604" t="s">
        <v>389</v>
      </c>
      <c r="AA604" s="101" t="str">
        <f>IF(G604="shared-count-once",COUNTIFS($A$2:$A$807,A604,$B$2:$B$807,B604,$D$2:$D$807,D604),1)</f>
      </c>
    </row>
    <row r="605">
      <c r="A605" t="s">
        <v>76</v>
      </c>
      <c r="B605" s="79" t="n">
        <v>2030</v>
      </c>
      <c r="C605" t="s">
        <v>219</v>
      </c>
      <c r="D605" s="80" t="s">
        <v>399</v>
      </c>
      <c r="E605" s="81" t="s">
        <v>400</v>
      </c>
      <c r="F605" s="82" t="s">
        <v>222</v>
      </c>
      <c r="G605" s="83" t="s">
        <v>395</v>
      </c>
      <c r="H605" s="84" t="s">
        <v>386</v>
      </c>
      <c r="I605" s="85" t="n">
        <v>1</v>
      </c>
      <c r="J605" s="86" t="n">
        <v>1</v>
      </c>
      <c r="K605" s="87" t="n">
        <v>0.008775</v>
      </c>
      <c r="L605" s="88" t="n">
        <v>298303185.826537</v>
      </c>
      <c r="M605" s="89" t="n">
        <v>298280286.057263</v>
      </c>
      <c r="N605" s="90" t="str">
        <f>MIN(MAX((B605-'Calculation_Assumptions'!$B$5+1)/'Calculation_Assumptions'!$B$7,0),1)</f>
      </c>
      <c r="O605" s="91" t="str">
        <f>L605*I605</f>
      </c>
      <c r="P605" s="92" t="str">
        <f>M605*I605</f>
      </c>
      <c r="Q605" s="93" t="str">
        <f>P605*'Calculation_Assumptions'!$B$14*J605*K605</f>
      </c>
      <c r="R605" s="94" t="str">
        <f>O605*N605*J605*K605</f>
      </c>
      <c r="S605" s="95" t="str">
        <f>R605-Q605</f>
      </c>
      <c r="T605" s="96" t="str">
        <f>1/(1+'Calculation_Assumptions'!$B$8)^(B605-'Calculation_Assumptions'!$B$2)</f>
      </c>
      <c r="U605" s="97" t="str">
        <f>Q605*T605</f>
      </c>
      <c r="V605" s="98" t="str">
        <f>R605*T605</f>
      </c>
      <c r="W605" s="99" t="str">
        <f>S605*T605</f>
      </c>
      <c r="X605" t="n">
        <v>0</v>
      </c>
      <c r="Y605" s="100" t="n">
        <v>2017</v>
      </c>
      <c r="Z605" t="s">
        <v>389</v>
      </c>
      <c r="AA605" s="101" t="str">
        <f>IF(G605="shared-count-once",COUNTIFS($A$2:$A$807,A605,$B$2:$B$807,B605,$D$2:$D$807,D605),1)</f>
      </c>
    </row>
    <row r="606">
      <c r="A606" t="s">
        <v>76</v>
      </c>
      <c r="B606" s="79" t="n">
        <v>2031</v>
      </c>
      <c r="C606" t="s">
        <v>219</v>
      </c>
      <c r="D606" s="80" t="s">
        <v>399</v>
      </c>
      <c r="E606" s="81" t="s">
        <v>400</v>
      </c>
      <c r="F606" s="82" t="s">
        <v>222</v>
      </c>
      <c r="G606" s="83" t="s">
        <v>395</v>
      </c>
      <c r="H606" s="84" t="s">
        <v>386</v>
      </c>
      <c r="I606" s="85" t="n">
        <v>1</v>
      </c>
      <c r="J606" s="86" t="n">
        <v>1</v>
      </c>
      <c r="K606" s="87" t="n">
        <v>0.008775</v>
      </c>
      <c r="L606" s="88" t="n">
        <v>300196273.385416</v>
      </c>
      <c r="M606" s="89" t="n">
        <v>300152603.254782</v>
      </c>
      <c r="N606" s="90" t="str">
        <f>MIN(MAX((B606-'Calculation_Assumptions'!$B$5+1)/'Calculation_Assumptions'!$B$7,0),1)</f>
      </c>
      <c r="O606" s="91" t="str">
        <f>L606*I606</f>
      </c>
      <c r="P606" s="92" t="str">
        <f>M606*I606</f>
      </c>
      <c r="Q606" s="93" t="str">
        <f>P606*'Calculation_Assumptions'!$B$14*J606*K606</f>
      </c>
      <c r="R606" s="94" t="str">
        <f>O606*N606*J606*K606</f>
      </c>
      <c r="S606" s="95" t="str">
        <f>R606-Q606</f>
      </c>
      <c r="T606" s="96" t="str">
        <f>1/(1+'Calculation_Assumptions'!$B$8)^(B606-'Calculation_Assumptions'!$B$2)</f>
      </c>
      <c r="U606" s="97" t="str">
        <f>Q606*T606</f>
      </c>
      <c r="V606" s="98" t="str">
        <f>R606*T606</f>
      </c>
      <c r="W606" s="99" t="str">
        <f>S606*T606</f>
      </c>
      <c r="X606" t="n">
        <v>0</v>
      </c>
      <c r="Y606" s="100" t="n">
        <v>2017</v>
      </c>
      <c r="Z606" t="s">
        <v>389</v>
      </c>
      <c r="AA606" s="101" t="str">
        <f>IF(G606="shared-count-once",COUNTIFS($A$2:$A$807,A606,$B$2:$B$807,B606,$D$2:$D$807,D606),1)</f>
      </c>
    </row>
    <row r="607">
      <c r="A607" t="s">
        <v>76</v>
      </c>
      <c r="B607" s="79" t="n">
        <v>2032</v>
      </c>
      <c r="C607" t="s">
        <v>219</v>
      </c>
      <c r="D607" s="80" t="s">
        <v>399</v>
      </c>
      <c r="E607" s="81" t="s">
        <v>400</v>
      </c>
      <c r="F607" s="82" t="s">
        <v>222</v>
      </c>
      <c r="G607" s="83" t="s">
        <v>395</v>
      </c>
      <c r="H607" s="84" t="s">
        <v>386</v>
      </c>
      <c r="I607" s="85" t="n">
        <v>1</v>
      </c>
      <c r="J607" s="86" t="n">
        <v>1</v>
      </c>
      <c r="K607" s="87" t="n">
        <v>0.008775</v>
      </c>
      <c r="L607" s="88" t="n">
        <v>301958259.790884</v>
      </c>
      <c r="M607" s="89" t="n">
        <v>301959399.633888</v>
      </c>
      <c r="N607" s="90" t="str">
        <f>MIN(MAX((B607-'Calculation_Assumptions'!$B$5+1)/'Calculation_Assumptions'!$B$7,0),1)</f>
      </c>
      <c r="O607" s="91" t="str">
        <f>L607*I607</f>
      </c>
      <c r="P607" s="92" t="str">
        <f>M607*I607</f>
      </c>
      <c r="Q607" s="93" t="str">
        <f>P607*'Calculation_Assumptions'!$B$14*J607*K607</f>
      </c>
      <c r="R607" s="94" t="str">
        <f>O607*N607*J607*K607</f>
      </c>
      <c r="S607" s="95" t="str">
        <f>R607-Q607</f>
      </c>
      <c r="T607" s="96" t="str">
        <f>1/(1+'Calculation_Assumptions'!$B$8)^(B607-'Calculation_Assumptions'!$B$2)</f>
      </c>
      <c r="U607" s="97" t="str">
        <f>Q607*T607</f>
      </c>
      <c r="V607" s="98" t="str">
        <f>R607*T607</f>
      </c>
      <c r="W607" s="99" t="str">
        <f>S607*T607</f>
      </c>
      <c r="X607" t="n">
        <v>0</v>
      </c>
      <c r="Y607" s="100" t="n">
        <v>2017</v>
      </c>
      <c r="Z607" t="s">
        <v>389</v>
      </c>
      <c r="AA607" s="101" t="str">
        <f>IF(G607="shared-count-once",COUNTIFS($A$2:$A$807,A607,$B$2:$B$807,B607,$D$2:$D$807,D607),1)</f>
      </c>
    </row>
    <row r="608">
      <c r="A608" t="s">
        <v>76</v>
      </c>
      <c r="B608" s="79" t="n">
        <v>2033</v>
      </c>
      <c r="C608" t="s">
        <v>219</v>
      </c>
      <c r="D608" s="80" t="s">
        <v>399</v>
      </c>
      <c r="E608" s="81" t="s">
        <v>400</v>
      </c>
      <c r="F608" s="82" t="s">
        <v>222</v>
      </c>
      <c r="G608" s="83" t="s">
        <v>395</v>
      </c>
      <c r="H608" s="84" t="s">
        <v>386</v>
      </c>
      <c r="I608" s="85" t="n">
        <v>1</v>
      </c>
      <c r="J608" s="86" t="n">
        <v>1</v>
      </c>
      <c r="K608" s="87" t="n">
        <v>0.008775</v>
      </c>
      <c r="L608" s="88" t="n">
        <v>303726787.443174</v>
      </c>
      <c r="M608" s="89" t="n">
        <v>303701035.202051</v>
      </c>
      <c r="N608" s="90" t="str">
        <f>MIN(MAX((B608-'Calculation_Assumptions'!$B$5+1)/'Calculation_Assumptions'!$B$7,0),1)</f>
      </c>
      <c r="O608" s="91" t="str">
        <f>L608*I608</f>
      </c>
      <c r="P608" s="92" t="str">
        <f>M608*I608</f>
      </c>
      <c r="Q608" s="93" t="str">
        <f>P608*'Calculation_Assumptions'!$B$14*J608*K608</f>
      </c>
      <c r="R608" s="94" t="str">
        <f>O608*N608*J608*K608</f>
      </c>
      <c r="S608" s="95" t="str">
        <f>R608-Q608</f>
      </c>
      <c r="T608" s="96" t="str">
        <f>1/(1+'Calculation_Assumptions'!$B$8)^(B608-'Calculation_Assumptions'!$B$2)</f>
      </c>
      <c r="U608" s="97" t="str">
        <f>Q608*T608</f>
      </c>
      <c r="V608" s="98" t="str">
        <f>R608*T608</f>
      </c>
      <c r="W608" s="99" t="str">
        <f>S608*T608</f>
      </c>
      <c r="X608" t="n">
        <v>0</v>
      </c>
      <c r="Y608" s="100" t="n">
        <v>2017</v>
      </c>
      <c r="Z608" t="s">
        <v>389</v>
      </c>
      <c r="AA608" s="101" t="str">
        <f>IF(G608="shared-count-once",COUNTIFS($A$2:$A$807,A608,$B$2:$B$807,B608,$D$2:$D$807,D608),1)</f>
      </c>
    </row>
    <row r="609">
      <c r="A609" t="s">
        <v>76</v>
      </c>
      <c r="B609" s="79" t="n">
        <v>2034</v>
      </c>
      <c r="C609" t="s">
        <v>219</v>
      </c>
      <c r="D609" s="80" t="s">
        <v>399</v>
      </c>
      <c r="E609" s="81" t="s">
        <v>400</v>
      </c>
      <c r="F609" s="82" t="s">
        <v>222</v>
      </c>
      <c r="G609" s="83" t="s">
        <v>395</v>
      </c>
      <c r="H609" s="84" t="s">
        <v>386</v>
      </c>
      <c r="I609" s="85" t="n">
        <v>1</v>
      </c>
      <c r="J609" s="86" t="n">
        <v>1</v>
      </c>
      <c r="K609" s="87" t="n">
        <v>0.008775</v>
      </c>
      <c r="L609" s="88" t="n">
        <v>305436022.714483</v>
      </c>
      <c r="M609" s="89" t="n">
        <v>305377998.093319</v>
      </c>
      <c r="N609" s="90" t="str">
        <f>MIN(MAX((B609-'Calculation_Assumptions'!$B$5+1)/'Calculation_Assumptions'!$B$7,0),1)</f>
      </c>
      <c r="O609" s="91" t="str">
        <f>L609*I609</f>
      </c>
      <c r="P609" s="92" t="str">
        <f>M609*I609</f>
      </c>
      <c r="Q609" s="93" t="str">
        <f>P609*'Calculation_Assumptions'!$B$14*J609*K609</f>
      </c>
      <c r="R609" s="94" t="str">
        <f>O609*N609*J609*K609</f>
      </c>
      <c r="S609" s="95" t="str">
        <f>R609-Q609</f>
      </c>
      <c r="T609" s="96" t="str">
        <f>1/(1+'Calculation_Assumptions'!$B$8)^(B609-'Calculation_Assumptions'!$B$2)</f>
      </c>
      <c r="U609" s="97" t="str">
        <f>Q609*T609</f>
      </c>
      <c r="V609" s="98" t="str">
        <f>R609*T609</f>
      </c>
      <c r="W609" s="99" t="str">
        <f>S609*T609</f>
      </c>
      <c r="X609" t="n">
        <v>0</v>
      </c>
      <c r="Y609" s="100" t="n">
        <v>2017</v>
      </c>
      <c r="Z609" t="s">
        <v>389</v>
      </c>
      <c r="AA609" s="101" t="str">
        <f>IF(G609="shared-count-once",COUNTIFS($A$2:$A$807,A609,$B$2:$B$807,B609,$D$2:$D$807,D609),1)</f>
      </c>
    </row>
    <row r="610">
      <c r="A610" t="s">
        <v>76</v>
      </c>
      <c r="B610" s="79" t="n">
        <v>2035</v>
      </c>
      <c r="C610" t="s">
        <v>219</v>
      </c>
      <c r="D610" s="80" t="s">
        <v>399</v>
      </c>
      <c r="E610" s="81" t="s">
        <v>400</v>
      </c>
      <c r="F610" s="82" t="s">
        <v>222</v>
      </c>
      <c r="G610" s="83" t="s">
        <v>395</v>
      </c>
      <c r="H610" s="84" t="s">
        <v>386</v>
      </c>
      <c r="I610" s="85" t="n">
        <v>1</v>
      </c>
      <c r="J610" s="86" t="n">
        <v>1</v>
      </c>
      <c r="K610" s="87" t="n">
        <v>0.008775</v>
      </c>
      <c r="L610" s="88" t="n">
        <v>307084503.869544</v>
      </c>
      <c r="M610" s="89" t="n">
        <v>306989258.29407</v>
      </c>
      <c r="N610" s="90" t="str">
        <f>MIN(MAX((B610-'Calculation_Assumptions'!$B$5+1)/'Calculation_Assumptions'!$B$7,0),1)</f>
      </c>
      <c r="O610" s="91" t="str">
        <f>L610*I610</f>
      </c>
      <c r="P610" s="92" t="str">
        <f>M610*I610</f>
      </c>
      <c r="Q610" s="93" t="str">
        <f>P610*'Calculation_Assumptions'!$B$14*J610*K610</f>
      </c>
      <c r="R610" s="94" t="str">
        <f>O610*N610*J610*K610</f>
      </c>
      <c r="S610" s="95" t="str">
        <f>R610-Q610</f>
      </c>
      <c r="T610" s="96" t="str">
        <f>1/(1+'Calculation_Assumptions'!$B$8)^(B610-'Calculation_Assumptions'!$B$2)</f>
      </c>
      <c r="U610" s="97" t="str">
        <f>Q610*T610</f>
      </c>
      <c r="V610" s="98" t="str">
        <f>R610*T610</f>
      </c>
      <c r="W610" s="99" t="str">
        <f>S610*T610</f>
      </c>
      <c r="X610" t="n">
        <v>0</v>
      </c>
      <c r="Y610" s="100" t="n">
        <v>2017</v>
      </c>
      <c r="Z610" t="s">
        <v>389</v>
      </c>
      <c r="AA610" s="101" t="str">
        <f>IF(G610="shared-count-once",COUNTIFS($A$2:$A$807,A610,$B$2:$B$807,B610,$D$2:$D$807,D610),1)</f>
      </c>
    </row>
    <row r="611">
      <c r="A611" t="s">
        <v>76</v>
      </c>
      <c r="B611" s="79" t="n">
        <v>2036</v>
      </c>
      <c r="C611" t="s">
        <v>219</v>
      </c>
      <c r="D611" s="80" t="s">
        <v>399</v>
      </c>
      <c r="E611" s="81" t="s">
        <v>400</v>
      </c>
      <c r="F611" s="82" t="s">
        <v>222</v>
      </c>
      <c r="G611" s="83" t="s">
        <v>395</v>
      </c>
      <c r="H611" s="84" t="s">
        <v>386</v>
      </c>
      <c r="I611" s="85" t="n">
        <v>1</v>
      </c>
      <c r="J611" s="86" t="n">
        <v>1</v>
      </c>
      <c r="K611" s="87" t="n">
        <v>0.008775</v>
      </c>
      <c r="L611" s="88" t="n">
        <v>308674578.680747</v>
      </c>
      <c r="M611" s="89" t="n">
        <v>308537399.672094</v>
      </c>
      <c r="N611" s="90" t="str">
        <f>MIN(MAX((B611-'Calculation_Assumptions'!$B$5+1)/'Calculation_Assumptions'!$B$7,0),1)</f>
      </c>
      <c r="O611" s="91" t="str">
        <f>L611*I611</f>
      </c>
      <c r="P611" s="92" t="str">
        <f>M611*I611</f>
      </c>
      <c r="Q611" s="93" t="str">
        <f>P611*'Calculation_Assumptions'!$B$14*J611*K611</f>
      </c>
      <c r="R611" s="94" t="str">
        <f>O611*N611*J611*K611</f>
      </c>
      <c r="S611" s="95" t="str">
        <f>R611-Q611</f>
      </c>
      <c r="T611" s="96" t="str">
        <f>1/(1+'Calculation_Assumptions'!$B$8)^(B611-'Calculation_Assumptions'!$B$2)</f>
      </c>
      <c r="U611" s="97" t="str">
        <f>Q611*T611</f>
      </c>
      <c r="V611" s="98" t="str">
        <f>R611*T611</f>
      </c>
      <c r="W611" s="99" t="str">
        <f>S611*T611</f>
      </c>
      <c r="X611" t="n">
        <v>0</v>
      </c>
      <c r="Y611" s="100" t="n">
        <v>2017</v>
      </c>
      <c r="Z611" t="s">
        <v>389</v>
      </c>
      <c r="AA611" s="101" t="str">
        <f>IF(G611="shared-count-once",COUNTIFS($A$2:$A$807,A611,$B$2:$B$807,B611,$D$2:$D$807,D611),1)</f>
      </c>
    </row>
    <row r="612">
      <c r="A612" t="s">
        <v>76</v>
      </c>
      <c r="B612" s="79" t="n">
        <v>2037</v>
      </c>
      <c r="C612" t="s">
        <v>219</v>
      </c>
      <c r="D612" s="80" t="s">
        <v>399</v>
      </c>
      <c r="E612" s="81" t="s">
        <v>400</v>
      </c>
      <c r="F612" s="82" t="s">
        <v>222</v>
      </c>
      <c r="G612" s="83" t="s">
        <v>395</v>
      </c>
      <c r="H612" s="84" t="s">
        <v>386</v>
      </c>
      <c r="I612" s="85" t="n">
        <v>1</v>
      </c>
      <c r="J612" s="86" t="n">
        <v>1</v>
      </c>
      <c r="K612" s="87" t="n">
        <v>0.008775</v>
      </c>
      <c r="L612" s="88" t="n">
        <v>310206624.908372</v>
      </c>
      <c r="M612" s="89" t="n">
        <v>310023120.393472</v>
      </c>
      <c r="N612" s="90" t="str">
        <f>MIN(MAX((B612-'Calculation_Assumptions'!$B$5+1)/'Calculation_Assumptions'!$B$7,0),1)</f>
      </c>
      <c r="O612" s="91" t="str">
        <f>L612*I612</f>
      </c>
      <c r="P612" s="92" t="str">
        <f>M612*I612</f>
      </c>
      <c r="Q612" s="93" t="str">
        <f>P612*'Calculation_Assumptions'!$B$14*J612*K612</f>
      </c>
      <c r="R612" s="94" t="str">
        <f>O612*N612*J612*K612</f>
      </c>
      <c r="S612" s="95" t="str">
        <f>R612-Q612</f>
      </c>
      <c r="T612" s="96" t="str">
        <f>1/(1+'Calculation_Assumptions'!$B$8)^(B612-'Calculation_Assumptions'!$B$2)</f>
      </c>
      <c r="U612" s="97" t="str">
        <f>Q612*T612</f>
      </c>
      <c r="V612" s="98" t="str">
        <f>R612*T612</f>
      </c>
      <c r="W612" s="99" t="str">
        <f>S612*T612</f>
      </c>
      <c r="X612" t="n">
        <v>0</v>
      </c>
      <c r="Y612" s="100" t="n">
        <v>2017</v>
      </c>
      <c r="Z612" t="s">
        <v>389</v>
      </c>
      <c r="AA612" s="101" t="str">
        <f>IF(G612="shared-count-once",COUNTIFS($A$2:$A$807,A612,$B$2:$B$807,B612,$D$2:$D$807,D612),1)</f>
      </c>
    </row>
    <row r="613">
      <c r="A613" t="s">
        <v>76</v>
      </c>
      <c r="B613" s="79" t="n">
        <v>2038</v>
      </c>
      <c r="C613" t="s">
        <v>219</v>
      </c>
      <c r="D613" s="80" t="s">
        <v>399</v>
      </c>
      <c r="E613" s="81" t="s">
        <v>400</v>
      </c>
      <c r="F613" s="82" t="s">
        <v>222</v>
      </c>
      <c r="G613" s="83" t="s">
        <v>395</v>
      </c>
      <c r="H613" s="84" t="s">
        <v>386</v>
      </c>
      <c r="I613" s="85" t="n">
        <v>1</v>
      </c>
      <c r="J613" s="86" t="n">
        <v>1</v>
      </c>
      <c r="K613" s="87" t="n">
        <v>0.008775</v>
      </c>
      <c r="L613" s="88" t="n">
        <v>311680372.519886</v>
      </c>
      <c r="M613" s="89" t="n">
        <v>311445837.134625</v>
      </c>
      <c r="N613" s="90" t="str">
        <f>MIN(MAX((B613-'Calculation_Assumptions'!$B$5+1)/'Calculation_Assumptions'!$B$7,0),1)</f>
      </c>
      <c r="O613" s="91" t="str">
        <f>L613*I613</f>
      </c>
      <c r="P613" s="92" t="str">
        <f>M613*I613</f>
      </c>
      <c r="Q613" s="93" t="str">
        <f>P613*'Calculation_Assumptions'!$B$14*J613*K613</f>
      </c>
      <c r="R613" s="94" t="str">
        <f>O613*N613*J613*K613</f>
      </c>
      <c r="S613" s="95" t="str">
        <f>R613-Q613</f>
      </c>
      <c r="T613" s="96" t="str">
        <f>1/(1+'Calculation_Assumptions'!$B$8)^(B613-'Calculation_Assumptions'!$B$2)</f>
      </c>
      <c r="U613" s="97" t="str">
        <f>Q613*T613</f>
      </c>
      <c r="V613" s="98" t="str">
        <f>R613*T613</f>
      </c>
      <c r="W613" s="99" t="str">
        <f>S613*T613</f>
      </c>
      <c r="X613" t="n">
        <v>0</v>
      </c>
      <c r="Y613" s="100" t="n">
        <v>2017</v>
      </c>
      <c r="Z613" t="s">
        <v>389</v>
      </c>
      <c r="AA613" s="101" t="str">
        <f>IF(G613="shared-count-once",COUNTIFS($A$2:$A$807,A613,$B$2:$B$807,B613,$D$2:$D$807,D613),1)</f>
      </c>
    </row>
    <row r="614">
      <c r="A614" t="s">
        <v>76</v>
      </c>
      <c r="B614" s="79" t="n">
        <v>2039</v>
      </c>
      <c r="C614" t="s">
        <v>219</v>
      </c>
      <c r="D614" s="80" t="s">
        <v>399</v>
      </c>
      <c r="E614" s="81" t="s">
        <v>400</v>
      </c>
      <c r="F614" s="82" t="s">
        <v>222</v>
      </c>
      <c r="G614" s="83" t="s">
        <v>395</v>
      </c>
      <c r="H614" s="84" t="s">
        <v>386</v>
      </c>
      <c r="I614" s="85" t="n">
        <v>1</v>
      </c>
      <c r="J614" s="86" t="n">
        <v>1</v>
      </c>
      <c r="K614" s="87" t="n">
        <v>0.008775</v>
      </c>
      <c r="L614" s="88" t="n">
        <v>313096760.631209</v>
      </c>
      <c r="M614" s="89" t="n">
        <v>312806989.715685</v>
      </c>
      <c r="N614" s="90" t="str">
        <f>MIN(MAX((B614-'Calculation_Assumptions'!$B$5+1)/'Calculation_Assumptions'!$B$7,0),1)</f>
      </c>
      <c r="O614" s="91" t="str">
        <f>L614*I614</f>
      </c>
      <c r="P614" s="92" t="str">
        <f>M614*I614</f>
      </c>
      <c r="Q614" s="93" t="str">
        <f>P614*'Calculation_Assumptions'!$B$14*J614*K614</f>
      </c>
      <c r="R614" s="94" t="str">
        <f>O614*N614*J614*K614</f>
      </c>
      <c r="S614" s="95" t="str">
        <f>R614-Q614</f>
      </c>
      <c r="T614" s="96" t="str">
        <f>1/(1+'Calculation_Assumptions'!$B$8)^(B614-'Calculation_Assumptions'!$B$2)</f>
      </c>
      <c r="U614" s="97" t="str">
        <f>Q614*T614</f>
      </c>
      <c r="V614" s="98" t="str">
        <f>R614*T614</f>
      </c>
      <c r="W614" s="99" t="str">
        <f>S614*T614</f>
      </c>
      <c r="X614" t="n">
        <v>0</v>
      </c>
      <c r="Y614" s="100" t="n">
        <v>2017</v>
      </c>
      <c r="Z614" t="s">
        <v>389</v>
      </c>
      <c r="AA614" s="101" t="str">
        <f>IF(G614="shared-count-once",COUNTIFS($A$2:$A$807,A614,$B$2:$B$807,B614,$D$2:$D$807,D614),1)</f>
      </c>
    </row>
    <row r="615">
      <c r="A615" t="s">
        <v>76</v>
      </c>
      <c r="B615" s="79" t="n">
        <v>2040</v>
      </c>
      <c r="C615" t="s">
        <v>219</v>
      </c>
      <c r="D615" s="80" t="s">
        <v>399</v>
      </c>
      <c r="E615" s="81" t="s">
        <v>400</v>
      </c>
      <c r="F615" s="82" t="s">
        <v>222</v>
      </c>
      <c r="G615" s="83" t="s">
        <v>395</v>
      </c>
      <c r="H615" s="84" t="s">
        <v>386</v>
      </c>
      <c r="I615" s="85" t="n">
        <v>1</v>
      </c>
      <c r="J615" s="86" t="n">
        <v>1</v>
      </c>
      <c r="K615" s="87" t="n">
        <v>0.008775</v>
      </c>
      <c r="L615" s="88" t="n">
        <v>314457822.69727</v>
      </c>
      <c r="M615" s="89" t="n">
        <v>314109251.582649</v>
      </c>
      <c r="N615" s="90" t="str">
        <f>MIN(MAX((B615-'Calculation_Assumptions'!$B$5+1)/'Calculation_Assumptions'!$B$7,0),1)</f>
      </c>
      <c r="O615" s="91" t="str">
        <f>L615*I615</f>
      </c>
      <c r="P615" s="92" t="str">
        <f>M615*I615</f>
      </c>
      <c r="Q615" s="93" t="str">
        <f>P615*'Calculation_Assumptions'!$B$14*J615*K615</f>
      </c>
      <c r="R615" s="94" t="str">
        <f>O615*N615*J615*K615</f>
      </c>
      <c r="S615" s="95" t="str">
        <f>R615-Q615</f>
      </c>
      <c r="T615" s="96" t="str">
        <f>1/(1+'Calculation_Assumptions'!$B$8)^(B615-'Calculation_Assumptions'!$B$2)</f>
      </c>
      <c r="U615" s="97" t="str">
        <f>Q615*T615</f>
      </c>
      <c r="V615" s="98" t="str">
        <f>R615*T615</f>
      </c>
      <c r="W615" s="99" t="str">
        <f>S615*T615</f>
      </c>
      <c r="X615" t="n">
        <v>0</v>
      </c>
      <c r="Y615" s="100" t="n">
        <v>2017</v>
      </c>
      <c r="Z615" t="s">
        <v>389</v>
      </c>
      <c r="AA615" s="101" t="str">
        <f>IF(G615="shared-count-once",COUNTIFS($A$2:$A$807,A615,$B$2:$B$807,B615,$D$2:$D$807,D615),1)</f>
      </c>
    </row>
    <row r="616">
      <c r="A616" t="s">
        <v>76</v>
      </c>
      <c r="B616" s="79" t="n">
        <v>2041</v>
      </c>
      <c r="C616" t="s">
        <v>219</v>
      </c>
      <c r="D616" s="80" t="s">
        <v>399</v>
      </c>
      <c r="E616" s="81" t="s">
        <v>400</v>
      </c>
      <c r="F616" s="82" t="s">
        <v>222</v>
      </c>
      <c r="G616" s="83" t="s">
        <v>395</v>
      </c>
      <c r="H616" s="84" t="s">
        <v>386</v>
      </c>
      <c r="I616" s="85" t="n">
        <v>1</v>
      </c>
      <c r="J616" s="86" t="n">
        <v>1</v>
      </c>
      <c r="K616" s="87" t="n">
        <v>0.008775</v>
      </c>
      <c r="L616" s="88" t="n">
        <v>315762299.651562</v>
      </c>
      <c r="M616" s="89" t="n">
        <v>315352079.812423</v>
      </c>
      <c r="N616" s="90" t="str">
        <f>MIN(MAX((B616-'Calculation_Assumptions'!$B$5+1)/'Calculation_Assumptions'!$B$7,0),1)</f>
      </c>
      <c r="O616" s="91" t="str">
        <f>L616*I616</f>
      </c>
      <c r="P616" s="92" t="str">
        <f>M616*I616</f>
      </c>
      <c r="Q616" s="93" t="str">
        <f>P616*'Calculation_Assumptions'!$B$14*J616*K616</f>
      </c>
      <c r="R616" s="94" t="str">
        <f>O616*N616*J616*K616</f>
      </c>
      <c r="S616" s="95" t="str">
        <f>R616-Q616</f>
      </c>
      <c r="T616" s="96" t="str">
        <f>1/(1+'Calculation_Assumptions'!$B$8)^(B616-'Calculation_Assumptions'!$B$2)</f>
      </c>
      <c r="U616" s="97" t="str">
        <f>Q616*T616</f>
      </c>
      <c r="V616" s="98" t="str">
        <f>R616*T616</f>
      </c>
      <c r="W616" s="99" t="str">
        <f>S616*T616</f>
      </c>
      <c r="X616" t="n">
        <v>0</v>
      </c>
      <c r="Y616" s="100" t="n">
        <v>2017</v>
      </c>
      <c r="Z616" t="s">
        <v>389</v>
      </c>
      <c r="AA616" s="101" t="str">
        <f>IF(G616="shared-count-once",COUNTIFS($A$2:$A$807,A616,$B$2:$B$807,B616,$D$2:$D$807,D616),1)</f>
      </c>
    </row>
    <row r="617">
      <c r="A617" t="s">
        <v>76</v>
      </c>
      <c r="B617" s="79" t="n">
        <v>2042</v>
      </c>
      <c r="C617" t="s">
        <v>219</v>
      </c>
      <c r="D617" s="80" t="s">
        <v>399</v>
      </c>
      <c r="E617" s="81" t="s">
        <v>400</v>
      </c>
      <c r="F617" s="82" t="s">
        <v>222</v>
      </c>
      <c r="G617" s="83" t="s">
        <v>395</v>
      </c>
      <c r="H617" s="84" t="s">
        <v>386</v>
      </c>
      <c r="I617" s="85" t="n">
        <v>1</v>
      </c>
      <c r="J617" s="86" t="n">
        <v>1</v>
      </c>
      <c r="K617" s="87" t="n">
        <v>0.008775</v>
      </c>
      <c r="L617" s="88" t="n">
        <v>317010735.77488</v>
      </c>
      <c r="M617" s="89" t="n">
        <v>316395286.312016</v>
      </c>
      <c r="N617" s="90" t="str">
        <f>MIN(MAX((B617-'Calculation_Assumptions'!$B$5+1)/'Calculation_Assumptions'!$B$7,0),1)</f>
      </c>
      <c r="O617" s="91" t="str">
        <f>L617*I617</f>
      </c>
      <c r="P617" s="92" t="str">
        <f>M617*I617</f>
      </c>
      <c r="Q617" s="93" t="str">
        <f>P617*'Calculation_Assumptions'!$B$14*J617*K617</f>
      </c>
      <c r="R617" s="94" t="str">
        <f>O617*N617*J617*K617</f>
      </c>
      <c r="S617" s="95" t="str">
        <f>R617-Q617</f>
      </c>
      <c r="T617" s="96" t="str">
        <f>1/(1+'Calculation_Assumptions'!$B$8)^(B617-'Calculation_Assumptions'!$B$2)</f>
      </c>
      <c r="U617" s="97" t="str">
        <f>Q617*T617</f>
      </c>
      <c r="V617" s="98" t="str">
        <f>R617*T617</f>
      </c>
      <c r="W617" s="99" t="str">
        <f>S617*T617</f>
      </c>
      <c r="X617" t="n">
        <v>0</v>
      </c>
      <c r="Y617" s="100" t="n">
        <v>2017</v>
      </c>
      <c r="Z617" t="s">
        <v>389</v>
      </c>
      <c r="AA617" s="101" t="str">
        <f>IF(G617="shared-count-once",COUNTIFS($A$2:$A$807,A617,$B$2:$B$807,B617,$D$2:$D$807,D617),1)</f>
      </c>
    </row>
    <row r="618">
      <c r="A618" t="s">
        <v>76</v>
      </c>
      <c r="B618" s="79" t="n">
        <v>2043</v>
      </c>
      <c r="C618" t="s">
        <v>219</v>
      </c>
      <c r="D618" s="80" t="s">
        <v>399</v>
      </c>
      <c r="E618" s="81" t="s">
        <v>400</v>
      </c>
      <c r="F618" s="82" t="s">
        <v>222</v>
      </c>
      <c r="G618" s="83" t="s">
        <v>395</v>
      </c>
      <c r="H618" s="84" t="s">
        <v>386</v>
      </c>
      <c r="I618" s="85" t="n">
        <v>1</v>
      </c>
      <c r="J618" s="86" t="n">
        <v>1</v>
      </c>
      <c r="K618" s="87" t="n">
        <v>0.008775</v>
      </c>
      <c r="L618" s="88" t="n">
        <v>318158750.005661</v>
      </c>
      <c r="M618" s="89" t="n">
        <v>317619735.688289</v>
      </c>
      <c r="N618" s="90" t="str">
        <f>MIN(MAX((B618-'Calculation_Assumptions'!$B$5+1)/'Calculation_Assumptions'!$B$7,0),1)</f>
      </c>
      <c r="O618" s="91" t="str">
        <f>L618*I618</f>
      </c>
      <c r="P618" s="92" t="str">
        <f>M618*I618</f>
      </c>
      <c r="Q618" s="93" t="str">
        <f>P618*'Calculation_Assumptions'!$B$14*J618*K618</f>
      </c>
      <c r="R618" s="94" t="str">
        <f>O618*N618*J618*K618</f>
      </c>
      <c r="S618" s="95" t="str">
        <f>R618-Q618</f>
      </c>
      <c r="T618" s="96" t="str">
        <f>1/(1+'Calculation_Assumptions'!$B$8)^(B618-'Calculation_Assumptions'!$B$2)</f>
      </c>
      <c r="U618" s="97" t="str">
        <f>Q618*T618</f>
      </c>
      <c r="V618" s="98" t="str">
        <f>R618*T618</f>
      </c>
      <c r="W618" s="99" t="str">
        <f>S618*T618</f>
      </c>
      <c r="X618" t="n">
        <v>0</v>
      </c>
      <c r="Y618" s="100" t="n">
        <v>2017</v>
      </c>
      <c r="Z618" t="s">
        <v>389</v>
      </c>
      <c r="AA618" s="101" t="str">
        <f>IF(G618="shared-count-once",COUNTIFS($A$2:$A$807,A618,$B$2:$B$807,B618,$D$2:$D$807,D618),1)</f>
      </c>
    </row>
    <row r="619">
      <c r="A619" t="s">
        <v>76</v>
      </c>
      <c r="B619" s="79" t="n">
        <v>2044</v>
      </c>
      <c r="C619" t="s">
        <v>219</v>
      </c>
      <c r="D619" s="80" t="s">
        <v>399</v>
      </c>
      <c r="E619" s="81" t="s">
        <v>400</v>
      </c>
      <c r="F619" s="82" t="s">
        <v>222</v>
      </c>
      <c r="G619" s="83" t="s">
        <v>395</v>
      </c>
      <c r="H619" s="84" t="s">
        <v>386</v>
      </c>
      <c r="I619" s="85" t="n">
        <v>1</v>
      </c>
      <c r="J619" s="86" t="n">
        <v>1</v>
      </c>
      <c r="K619" s="87" t="n">
        <v>0.008775</v>
      </c>
      <c r="L619" s="88" t="n">
        <v>319305078.475065</v>
      </c>
      <c r="M619" s="89" t="n">
        <v>318697135.863652</v>
      </c>
      <c r="N619" s="90" t="str">
        <f>MIN(MAX((B619-'Calculation_Assumptions'!$B$5+1)/'Calculation_Assumptions'!$B$7,0),1)</f>
      </c>
      <c r="O619" s="91" t="str">
        <f>L619*I619</f>
      </c>
      <c r="P619" s="92" t="str">
        <f>M619*I619</f>
      </c>
      <c r="Q619" s="93" t="str">
        <f>P619*'Calculation_Assumptions'!$B$14*J619*K619</f>
      </c>
      <c r="R619" s="94" t="str">
        <f>O619*N619*J619*K619</f>
      </c>
      <c r="S619" s="95" t="str">
        <f>R619-Q619</f>
      </c>
      <c r="T619" s="96" t="str">
        <f>1/(1+'Calculation_Assumptions'!$B$8)^(B619-'Calculation_Assumptions'!$B$2)</f>
      </c>
      <c r="U619" s="97" t="str">
        <f>Q619*T619</f>
      </c>
      <c r="V619" s="98" t="str">
        <f>R619*T619</f>
      </c>
      <c r="W619" s="99" t="str">
        <f>S619*T619</f>
      </c>
      <c r="X619" t="n">
        <v>0</v>
      </c>
      <c r="Y619" s="100" t="n">
        <v>2017</v>
      </c>
      <c r="Z619" t="s">
        <v>389</v>
      </c>
      <c r="AA619" s="101" t="str">
        <f>IF(G619="shared-count-once",COUNTIFS($A$2:$A$807,A619,$B$2:$B$807,B619,$D$2:$D$807,D619),1)</f>
      </c>
    </row>
    <row r="620">
      <c r="A620" t="s">
        <v>76</v>
      </c>
      <c r="B620" s="79" t="n">
        <v>2045</v>
      </c>
      <c r="C620" t="s">
        <v>219</v>
      </c>
      <c r="D620" s="80" t="s">
        <v>399</v>
      </c>
      <c r="E620" s="81" t="s">
        <v>400</v>
      </c>
      <c r="F620" s="82" t="s">
        <v>222</v>
      </c>
      <c r="G620" s="83" t="s">
        <v>395</v>
      </c>
      <c r="H620" s="84" t="s">
        <v>386</v>
      </c>
      <c r="I620" s="85" t="n">
        <v>1</v>
      </c>
      <c r="J620" s="86" t="n">
        <v>1</v>
      </c>
      <c r="K620" s="87" t="n">
        <v>0.008775</v>
      </c>
      <c r="L620" s="88" t="n">
        <v>320395460.874147</v>
      </c>
      <c r="M620" s="89" t="n">
        <v>319717840.85179</v>
      </c>
      <c r="N620" s="90" t="str">
        <f>MIN(MAX((B620-'Calculation_Assumptions'!$B$5+1)/'Calculation_Assumptions'!$B$7,0),1)</f>
      </c>
      <c r="O620" s="91" t="str">
        <f>L620*I620</f>
      </c>
      <c r="P620" s="92" t="str">
        <f>M620*I620</f>
      </c>
      <c r="Q620" s="93" t="str">
        <f>P620*'Calculation_Assumptions'!$B$14*J620*K620</f>
      </c>
      <c r="R620" s="94" t="str">
        <f>O620*N620*J620*K620</f>
      </c>
      <c r="S620" s="95" t="str">
        <f>R620-Q620</f>
      </c>
      <c r="T620" s="96" t="str">
        <f>1/(1+'Calculation_Assumptions'!$B$8)^(B620-'Calculation_Assumptions'!$B$2)</f>
      </c>
      <c r="U620" s="97" t="str">
        <f>Q620*T620</f>
      </c>
      <c r="V620" s="98" t="str">
        <f>R620*T620</f>
      </c>
      <c r="W620" s="99" t="str">
        <f>S620*T620</f>
      </c>
      <c r="X620" t="n">
        <v>0</v>
      </c>
      <c r="Y620" s="100" t="n">
        <v>2017</v>
      </c>
      <c r="Z620" t="s">
        <v>389</v>
      </c>
      <c r="AA620" s="101" t="str">
        <f>IF(G620="shared-count-once",COUNTIFS($A$2:$A$807,A620,$B$2:$B$807,B620,$D$2:$D$807,D620),1)</f>
      </c>
    </row>
    <row r="621">
      <c r="A621" t="s">
        <v>76</v>
      </c>
      <c r="B621" s="79" t="n">
        <v>2046</v>
      </c>
      <c r="C621" t="s">
        <v>219</v>
      </c>
      <c r="D621" s="80" t="s">
        <v>399</v>
      </c>
      <c r="E621" s="81" t="s">
        <v>400</v>
      </c>
      <c r="F621" s="82" t="s">
        <v>222</v>
      </c>
      <c r="G621" s="83" t="s">
        <v>395</v>
      </c>
      <c r="H621" s="84" t="s">
        <v>386</v>
      </c>
      <c r="I621" s="85" t="n">
        <v>1</v>
      </c>
      <c r="J621" s="86" t="n">
        <v>1</v>
      </c>
      <c r="K621" s="87" t="n">
        <v>0.008775</v>
      </c>
      <c r="L621" s="88" t="n">
        <v>321430558.971018</v>
      </c>
      <c r="M621" s="89" t="n">
        <v>320683879.806276</v>
      </c>
      <c r="N621" s="90" t="str">
        <f>MIN(MAX((B621-'Calculation_Assumptions'!$B$5+1)/'Calculation_Assumptions'!$B$7,0),1)</f>
      </c>
      <c r="O621" s="91" t="str">
        <f>L621*I621</f>
      </c>
      <c r="P621" s="92" t="str">
        <f>M621*I621</f>
      </c>
      <c r="Q621" s="93" t="str">
        <f>P621*'Calculation_Assumptions'!$B$14*J621*K621</f>
      </c>
      <c r="R621" s="94" t="str">
        <f>O621*N621*J621*K621</f>
      </c>
      <c r="S621" s="95" t="str">
        <f>R621-Q621</f>
      </c>
      <c r="T621" s="96" t="str">
        <f>1/(1+'Calculation_Assumptions'!$B$8)^(B621-'Calculation_Assumptions'!$B$2)</f>
      </c>
      <c r="U621" s="97" t="str">
        <f>Q621*T621</f>
      </c>
      <c r="V621" s="98" t="str">
        <f>R621*T621</f>
      </c>
      <c r="W621" s="99" t="str">
        <f>S621*T621</f>
      </c>
      <c r="X621" t="n">
        <v>0</v>
      </c>
      <c r="Y621" s="100" t="n">
        <v>2017</v>
      </c>
      <c r="Z621" t="s">
        <v>389</v>
      </c>
      <c r="AA621" s="101" t="str">
        <f>IF(G621="shared-count-once",COUNTIFS($A$2:$A$807,A621,$B$2:$B$807,B621,$D$2:$D$807,D621),1)</f>
      </c>
    </row>
    <row r="622">
      <c r="A622" t="s">
        <v>76</v>
      </c>
      <c r="B622" s="79" t="n">
        <v>2047</v>
      </c>
      <c r="C622" t="s">
        <v>219</v>
      </c>
      <c r="D622" s="80" t="s">
        <v>399</v>
      </c>
      <c r="E622" s="81" t="s">
        <v>400</v>
      </c>
      <c r="F622" s="82" t="s">
        <v>222</v>
      </c>
      <c r="G622" s="83" t="s">
        <v>395</v>
      </c>
      <c r="H622" s="84" t="s">
        <v>386</v>
      </c>
      <c r="I622" s="85" t="n">
        <v>1</v>
      </c>
      <c r="J622" s="86" t="n">
        <v>1</v>
      </c>
      <c r="K622" s="87" t="n">
        <v>0.008775</v>
      </c>
      <c r="L622" s="88" t="n">
        <v>322411096.713551</v>
      </c>
      <c r="M622" s="89" t="n">
        <v>321595541.389526</v>
      </c>
      <c r="N622" s="90" t="str">
        <f>MIN(MAX((B622-'Calculation_Assumptions'!$B$5+1)/'Calculation_Assumptions'!$B$7,0),1)</f>
      </c>
      <c r="O622" s="91" t="str">
        <f>L622*I622</f>
      </c>
      <c r="P622" s="92" t="str">
        <f>M622*I622</f>
      </c>
      <c r="Q622" s="93" t="str">
        <f>P622*'Calculation_Assumptions'!$B$14*J622*K622</f>
      </c>
      <c r="R622" s="94" t="str">
        <f>O622*N622*J622*K622</f>
      </c>
      <c r="S622" s="95" t="str">
        <f>R622-Q622</f>
      </c>
      <c r="T622" s="96" t="str">
        <f>1/(1+'Calculation_Assumptions'!$B$8)^(B622-'Calculation_Assumptions'!$B$2)</f>
      </c>
      <c r="U622" s="97" t="str">
        <f>Q622*T622</f>
      </c>
      <c r="V622" s="98" t="str">
        <f>R622*T622</f>
      </c>
      <c r="W622" s="99" t="str">
        <f>S622*T622</f>
      </c>
      <c r="X622" t="n">
        <v>0</v>
      </c>
      <c r="Y622" s="100" t="n">
        <v>2017</v>
      </c>
      <c r="Z622" t="s">
        <v>389</v>
      </c>
      <c r="AA622" s="101" t="str">
        <f>IF(G622="shared-count-once",COUNTIFS($A$2:$A$807,A622,$B$2:$B$807,B622,$D$2:$D$807,D622),1)</f>
      </c>
    </row>
    <row r="623">
      <c r="A623" t="s">
        <v>76</v>
      </c>
      <c r="B623" s="79" t="n">
        <v>2048</v>
      </c>
      <c r="C623" t="s">
        <v>219</v>
      </c>
      <c r="D623" s="80" t="s">
        <v>399</v>
      </c>
      <c r="E623" s="81" t="s">
        <v>400</v>
      </c>
      <c r="F623" s="82" t="s">
        <v>222</v>
      </c>
      <c r="G623" s="83" t="s">
        <v>395</v>
      </c>
      <c r="H623" s="84" t="s">
        <v>386</v>
      </c>
      <c r="I623" s="85" t="n">
        <v>1</v>
      </c>
      <c r="J623" s="86" t="n">
        <v>1</v>
      </c>
      <c r="K623" s="87" t="n">
        <v>0.008775</v>
      </c>
      <c r="L623" s="88" t="n">
        <v>323337875.603966</v>
      </c>
      <c r="M623" s="89" t="n">
        <v>322453622.669464</v>
      </c>
      <c r="N623" s="90" t="str">
        <f>MIN(MAX((B623-'Calculation_Assumptions'!$B$5+1)/'Calculation_Assumptions'!$B$7,0),1)</f>
      </c>
      <c r="O623" s="91" t="str">
        <f>L623*I623</f>
      </c>
      <c r="P623" s="92" t="str">
        <f>M623*I623</f>
      </c>
      <c r="Q623" s="93" t="str">
        <f>P623*'Calculation_Assumptions'!$B$14*J623*K623</f>
      </c>
      <c r="R623" s="94" t="str">
        <f>O623*N623*J623*K623</f>
      </c>
      <c r="S623" s="95" t="str">
        <f>R623-Q623</f>
      </c>
      <c r="T623" s="96" t="str">
        <f>1/(1+'Calculation_Assumptions'!$B$8)^(B623-'Calculation_Assumptions'!$B$2)</f>
      </c>
      <c r="U623" s="97" t="str">
        <f>Q623*T623</f>
      </c>
      <c r="V623" s="98" t="str">
        <f>R623*T623</f>
      </c>
      <c r="W623" s="99" t="str">
        <f>S623*T623</f>
      </c>
      <c r="X623" t="n">
        <v>0</v>
      </c>
      <c r="Y623" s="100" t="n">
        <v>2017</v>
      </c>
      <c r="Z623" t="s">
        <v>389</v>
      </c>
      <c r="AA623" s="101" t="str">
        <f>IF(G623="shared-count-once",COUNTIFS($A$2:$A$807,A623,$B$2:$B$807,B623,$D$2:$D$807,D623),1)</f>
      </c>
    </row>
    <row r="624">
      <c r="A624" t="s">
        <v>76</v>
      </c>
      <c r="B624" s="79" t="n">
        <v>2049</v>
      </c>
      <c r="C624" t="s">
        <v>219</v>
      </c>
      <c r="D624" s="80" t="s">
        <v>399</v>
      </c>
      <c r="E624" s="81" t="s">
        <v>400</v>
      </c>
      <c r="F624" s="82" t="s">
        <v>222</v>
      </c>
      <c r="G624" s="83" t="s">
        <v>395</v>
      </c>
      <c r="H624" s="84" t="s">
        <v>386</v>
      </c>
      <c r="I624" s="85" t="n">
        <v>1</v>
      </c>
      <c r="J624" s="86" t="n">
        <v>1</v>
      </c>
      <c r="K624" s="87" t="n">
        <v>0.008775</v>
      </c>
      <c r="L624" s="88" t="n">
        <v>324211859.675226</v>
      </c>
      <c r="M624" s="89" t="n">
        <v>323259246.716719</v>
      </c>
      <c r="N624" s="90" t="str">
        <f>MIN(MAX((B624-'Calculation_Assumptions'!$B$5+1)/'Calculation_Assumptions'!$B$7,0),1)</f>
      </c>
      <c r="O624" s="91" t="str">
        <f>L624*I624</f>
      </c>
      <c r="P624" s="92" t="str">
        <f>M624*I624</f>
      </c>
      <c r="Q624" s="93" t="str">
        <f>P624*'Calculation_Assumptions'!$B$14*J624*K624</f>
      </c>
      <c r="R624" s="94" t="str">
        <f>O624*N624*J624*K624</f>
      </c>
      <c r="S624" s="95" t="str">
        <f>R624-Q624</f>
      </c>
      <c r="T624" s="96" t="str">
        <f>1/(1+'Calculation_Assumptions'!$B$8)^(B624-'Calculation_Assumptions'!$B$2)</f>
      </c>
      <c r="U624" s="97" t="str">
        <f>Q624*T624</f>
      </c>
      <c r="V624" s="98" t="str">
        <f>R624*T624</f>
      </c>
      <c r="W624" s="99" t="str">
        <f>S624*T624</f>
      </c>
      <c r="X624" t="n">
        <v>0</v>
      </c>
      <c r="Y624" s="100" t="n">
        <v>2017</v>
      </c>
      <c r="Z624" t="s">
        <v>389</v>
      </c>
      <c r="AA624" s="101" t="str">
        <f>IF(G624="shared-count-once",COUNTIFS($A$2:$A$807,A624,$B$2:$B$807,B624,$D$2:$D$807,D624),1)</f>
      </c>
    </row>
    <row r="625">
      <c r="A625" t="s">
        <v>76</v>
      </c>
      <c r="B625" s="79" t="n">
        <v>2050</v>
      </c>
      <c r="C625" t="s">
        <v>219</v>
      </c>
      <c r="D625" s="80" t="s">
        <v>399</v>
      </c>
      <c r="E625" s="81" t="s">
        <v>400</v>
      </c>
      <c r="F625" s="82" t="s">
        <v>222</v>
      </c>
      <c r="G625" s="83" t="s">
        <v>395</v>
      </c>
      <c r="H625" s="84" t="s">
        <v>386</v>
      </c>
      <c r="I625" s="85" t="n">
        <v>1</v>
      </c>
      <c r="J625" s="86" t="n">
        <v>1</v>
      </c>
      <c r="K625" s="87" t="n">
        <v>0.008775</v>
      </c>
      <c r="L625" s="88" t="n">
        <v>325034214.935484</v>
      </c>
      <c r="M625" s="89" t="n">
        <v>324013738.182479</v>
      </c>
      <c r="N625" s="90" t="str">
        <f>MIN(MAX((B625-'Calculation_Assumptions'!$B$5+1)/'Calculation_Assumptions'!$B$7,0),1)</f>
      </c>
      <c r="O625" s="91" t="str">
        <f>L625*I625</f>
      </c>
      <c r="P625" s="92" t="str">
        <f>M625*I625</f>
      </c>
      <c r="Q625" s="93" t="str">
        <f>P625*'Calculation_Assumptions'!$B$14*J625*K625</f>
      </c>
      <c r="R625" s="94" t="str">
        <f>O625*N625*J625*K625</f>
      </c>
      <c r="S625" s="95" t="str">
        <f>R625-Q625</f>
      </c>
      <c r="T625" s="96" t="str">
        <f>1/(1+'Calculation_Assumptions'!$B$8)^(B625-'Calculation_Assumptions'!$B$2)</f>
      </c>
      <c r="U625" s="97" t="str">
        <f>Q625*T625</f>
      </c>
      <c r="V625" s="98" t="str">
        <f>R625*T625</f>
      </c>
      <c r="W625" s="99" t="str">
        <f>S625*T625</f>
      </c>
      <c r="X625" t="n">
        <v>0</v>
      </c>
      <c r="Y625" s="100" t="n">
        <v>2017</v>
      </c>
      <c r="Z625" t="s">
        <v>389</v>
      </c>
      <c r="AA625" s="101" t="str">
        <f>IF(G625="shared-count-once",COUNTIFS($A$2:$A$807,A625,$B$2:$B$807,B625,$D$2:$D$807,D625),1)</f>
      </c>
    </row>
    <row r="626">
      <c r="A626" t="s">
        <v>76</v>
      </c>
      <c r="B626" s="79" t="n">
        <v>2025</v>
      </c>
      <c r="C626" t="s">
        <v>226</v>
      </c>
      <c r="D626" s="80" t="s">
        <v>401</v>
      </c>
      <c r="E626" s="81" t="s">
        <v>402</v>
      </c>
      <c r="F626" s="82" t="s">
        <v>229</v>
      </c>
      <c r="G626" s="83" t="s">
        <v>395</v>
      </c>
      <c r="H626" s="84" t="s">
        <v>386</v>
      </c>
      <c r="I626" s="85" t="n">
        <v>1</v>
      </c>
      <c r="J626" s="86" t="n">
        <v>1</v>
      </c>
      <c r="K626" s="87" t="n">
        <v>0.008775</v>
      </c>
      <c r="L626" s="88" t="n">
        <v>288000821.106462</v>
      </c>
      <c r="M626" s="89" t="n">
        <v>288000821.106462</v>
      </c>
      <c r="N626" s="90" t="str">
        <f>MIN(MAX((B626-'Calculation_Assumptions'!$B$5+1)/'Calculation_Assumptions'!$B$7,0),1)</f>
      </c>
      <c r="O626" s="91" t="str">
        <f>L626*I626</f>
      </c>
      <c r="P626" s="92" t="str">
        <f>M626*I626</f>
      </c>
      <c r="Q626" s="93" t="str">
        <f>P626*'Calculation_Assumptions'!$B$14*J626*K626</f>
      </c>
      <c r="R626" s="94" t="str">
        <f>O626*N626*J626*K626</f>
      </c>
      <c r="S626" s="95" t="str">
        <f>R626-Q626</f>
      </c>
      <c r="T626" s="96" t="str">
        <f>1/(1+'Calculation_Assumptions'!$B$8)^(B626-'Calculation_Assumptions'!$B$2)</f>
      </c>
      <c r="U626" s="97" t="str">
        <f>Q626*T626</f>
      </c>
      <c r="V626" s="98" t="str">
        <f>R626*T626</f>
      </c>
      <c r="W626" s="99" t="str">
        <f>S626*T626</f>
      </c>
      <c r="X626" t="n">
        <v>0</v>
      </c>
      <c r="Y626" s="100" t="n">
        <v>2017</v>
      </c>
      <c r="Z626" t="s">
        <v>389</v>
      </c>
      <c r="AA626" s="101" t="str">
        <f>IF(G626="shared-count-once",COUNTIFS($A$2:$A$807,A626,$B$2:$B$807,B626,$D$2:$D$807,D626),1)</f>
      </c>
    </row>
    <row r="627">
      <c r="A627" t="s">
        <v>76</v>
      </c>
      <c r="B627" s="79" t="n">
        <v>2026</v>
      </c>
      <c r="C627" t="s">
        <v>226</v>
      </c>
      <c r="D627" s="80" t="s">
        <v>401</v>
      </c>
      <c r="E627" s="81" t="s">
        <v>402</v>
      </c>
      <c r="F627" s="82" t="s">
        <v>229</v>
      </c>
      <c r="G627" s="83" t="s">
        <v>395</v>
      </c>
      <c r="H627" s="84" t="s">
        <v>386</v>
      </c>
      <c r="I627" s="85" t="n">
        <v>1</v>
      </c>
      <c r="J627" s="86" t="n">
        <v>1</v>
      </c>
      <c r="K627" s="87" t="n">
        <v>0.008775</v>
      </c>
      <c r="L627" s="88" t="n">
        <v>290123496.103219</v>
      </c>
      <c r="M627" s="89" t="n">
        <v>290123496.103219</v>
      </c>
      <c r="N627" s="90" t="str">
        <f>MIN(MAX((B627-'Calculation_Assumptions'!$B$5+1)/'Calculation_Assumptions'!$B$7,0),1)</f>
      </c>
      <c r="O627" s="91" t="str">
        <f>L627*I627</f>
      </c>
      <c r="P627" s="92" t="str">
        <f>M627*I627</f>
      </c>
      <c r="Q627" s="93" t="str">
        <f>P627*'Calculation_Assumptions'!$B$14*J627*K627</f>
      </c>
      <c r="R627" s="94" t="str">
        <f>O627*N627*J627*K627</f>
      </c>
      <c r="S627" s="95" t="str">
        <f>R627-Q627</f>
      </c>
      <c r="T627" s="96" t="str">
        <f>1/(1+'Calculation_Assumptions'!$B$8)^(B627-'Calculation_Assumptions'!$B$2)</f>
      </c>
      <c r="U627" s="97" t="str">
        <f>Q627*T627</f>
      </c>
      <c r="V627" s="98" t="str">
        <f>R627*T627</f>
      </c>
      <c r="W627" s="99" t="str">
        <f>S627*T627</f>
      </c>
      <c r="X627" t="n">
        <v>0</v>
      </c>
      <c r="Y627" s="100" t="n">
        <v>2017</v>
      </c>
      <c r="Z627" t="s">
        <v>389</v>
      </c>
      <c r="AA627" s="101" t="str">
        <f>IF(G627="shared-count-once",COUNTIFS($A$2:$A$807,A627,$B$2:$B$807,B627,$D$2:$D$807,D627),1)</f>
      </c>
    </row>
    <row r="628">
      <c r="A628" t="s">
        <v>76</v>
      </c>
      <c r="B628" s="79" t="n">
        <v>2027</v>
      </c>
      <c r="C628" t="s">
        <v>226</v>
      </c>
      <c r="D628" s="80" t="s">
        <v>401</v>
      </c>
      <c r="E628" s="81" t="s">
        <v>402</v>
      </c>
      <c r="F628" s="82" t="s">
        <v>229</v>
      </c>
      <c r="G628" s="83" t="s">
        <v>395</v>
      </c>
      <c r="H628" s="84" t="s">
        <v>386</v>
      </c>
      <c r="I628" s="85" t="n">
        <v>1</v>
      </c>
      <c r="J628" s="86" t="n">
        <v>1</v>
      </c>
      <c r="K628" s="87" t="n">
        <v>0.008775</v>
      </c>
      <c r="L628" s="88" t="n">
        <v>292252895.096956</v>
      </c>
      <c r="M628" s="89" t="n">
        <v>292252895.096956</v>
      </c>
      <c r="N628" s="90" t="str">
        <f>MIN(MAX((B628-'Calculation_Assumptions'!$B$5+1)/'Calculation_Assumptions'!$B$7,0),1)</f>
      </c>
      <c r="O628" s="91" t="str">
        <f>L628*I628</f>
      </c>
      <c r="P628" s="92" t="str">
        <f>M628*I628</f>
      </c>
      <c r="Q628" s="93" t="str">
        <f>P628*'Calculation_Assumptions'!$B$14*J628*K628</f>
      </c>
      <c r="R628" s="94" t="str">
        <f>O628*N628*J628*K628</f>
      </c>
      <c r="S628" s="95" t="str">
        <f>R628-Q628</f>
      </c>
      <c r="T628" s="96" t="str">
        <f>1/(1+'Calculation_Assumptions'!$B$8)^(B628-'Calculation_Assumptions'!$B$2)</f>
      </c>
      <c r="U628" s="97" t="str">
        <f>Q628*T628</f>
      </c>
      <c r="V628" s="98" t="str">
        <f>R628*T628</f>
      </c>
      <c r="W628" s="99" t="str">
        <f>S628*T628</f>
      </c>
      <c r="X628" t="n">
        <v>0</v>
      </c>
      <c r="Y628" s="100" t="n">
        <v>2017</v>
      </c>
      <c r="Z628" t="s">
        <v>389</v>
      </c>
      <c r="AA628" s="101" t="str">
        <f>IF(G628="shared-count-once",COUNTIFS($A$2:$A$807,A628,$B$2:$B$807,B628,$D$2:$D$807,D628),1)</f>
      </c>
    </row>
    <row r="629">
      <c r="A629" t="s">
        <v>76</v>
      </c>
      <c r="B629" s="79" t="n">
        <v>2028</v>
      </c>
      <c r="C629" t="s">
        <v>226</v>
      </c>
      <c r="D629" s="80" t="s">
        <v>401</v>
      </c>
      <c r="E629" s="81" t="s">
        <v>402</v>
      </c>
      <c r="F629" s="82" t="s">
        <v>229</v>
      </c>
      <c r="G629" s="83" t="s">
        <v>395</v>
      </c>
      <c r="H629" s="84" t="s">
        <v>386</v>
      </c>
      <c r="I629" s="85" t="n">
        <v>1</v>
      </c>
      <c r="J629" s="86" t="n">
        <v>1</v>
      </c>
      <c r="K629" s="87" t="n">
        <v>0.008775</v>
      </c>
      <c r="L629" s="88" t="n">
        <v>294317373.248038</v>
      </c>
      <c r="M629" s="89" t="n">
        <v>294314895.305465</v>
      </c>
      <c r="N629" s="90" t="str">
        <f>MIN(MAX((B629-'Calculation_Assumptions'!$B$5+1)/'Calculation_Assumptions'!$B$7,0),1)</f>
      </c>
      <c r="O629" s="91" t="str">
        <f>L629*I629</f>
      </c>
      <c r="P629" s="92" t="str">
        <f>M629*I629</f>
      </c>
      <c r="Q629" s="93" t="str">
        <f>P629*'Calculation_Assumptions'!$B$14*J629*K629</f>
      </c>
      <c r="R629" s="94" t="str">
        <f>O629*N629*J629*K629</f>
      </c>
      <c r="S629" s="95" t="str">
        <f>R629-Q629</f>
      </c>
      <c r="T629" s="96" t="str">
        <f>1/(1+'Calculation_Assumptions'!$B$8)^(B629-'Calculation_Assumptions'!$B$2)</f>
      </c>
      <c r="U629" s="97" t="str">
        <f>Q629*T629</f>
      </c>
      <c r="V629" s="98" t="str">
        <f>R629*T629</f>
      </c>
      <c r="W629" s="99" t="str">
        <f>S629*T629</f>
      </c>
      <c r="X629" t="n">
        <v>0</v>
      </c>
      <c r="Y629" s="100" t="n">
        <v>2017</v>
      </c>
      <c r="Z629" t="s">
        <v>389</v>
      </c>
      <c r="AA629" s="101" t="str">
        <f>IF(G629="shared-count-once",COUNTIFS($A$2:$A$807,A629,$B$2:$B$807,B629,$D$2:$D$807,D629),1)</f>
      </c>
    </row>
    <row r="630">
      <c r="A630" t="s">
        <v>76</v>
      </c>
      <c r="B630" s="79" t="n">
        <v>2029</v>
      </c>
      <c r="C630" t="s">
        <v>226</v>
      </c>
      <c r="D630" s="80" t="s">
        <v>401</v>
      </c>
      <c r="E630" s="81" t="s">
        <v>402</v>
      </c>
      <c r="F630" s="82" t="s">
        <v>229</v>
      </c>
      <c r="G630" s="83" t="s">
        <v>395</v>
      </c>
      <c r="H630" s="84" t="s">
        <v>386</v>
      </c>
      <c r="I630" s="85" t="n">
        <v>1</v>
      </c>
      <c r="J630" s="86" t="n">
        <v>1</v>
      </c>
      <c r="K630" s="87" t="n">
        <v>0.008775</v>
      </c>
      <c r="L630" s="88" t="n">
        <v>296300392.819394</v>
      </c>
      <c r="M630" s="89" t="n">
        <v>296341062.542853</v>
      </c>
      <c r="N630" s="90" t="str">
        <f>MIN(MAX((B630-'Calculation_Assumptions'!$B$5+1)/'Calculation_Assumptions'!$B$7,0),1)</f>
      </c>
      <c r="O630" s="91" t="str">
        <f>L630*I630</f>
      </c>
      <c r="P630" s="92" t="str">
        <f>M630*I630</f>
      </c>
      <c r="Q630" s="93" t="str">
        <f>P630*'Calculation_Assumptions'!$B$14*J630*K630</f>
      </c>
      <c r="R630" s="94" t="str">
        <f>O630*N630*J630*K630</f>
      </c>
      <c r="S630" s="95" t="str">
        <f>R630-Q630</f>
      </c>
      <c r="T630" s="96" t="str">
        <f>1/(1+'Calculation_Assumptions'!$B$8)^(B630-'Calculation_Assumptions'!$B$2)</f>
      </c>
      <c r="U630" s="97" t="str">
        <f>Q630*T630</f>
      </c>
      <c r="V630" s="98" t="str">
        <f>R630*T630</f>
      </c>
      <c r="W630" s="99" t="str">
        <f>S630*T630</f>
      </c>
      <c r="X630" t="n">
        <v>0</v>
      </c>
      <c r="Y630" s="100" t="n">
        <v>2017</v>
      </c>
      <c r="Z630" t="s">
        <v>389</v>
      </c>
      <c r="AA630" s="101" t="str">
        <f>IF(G630="shared-count-once",COUNTIFS($A$2:$A$807,A630,$B$2:$B$807,B630,$D$2:$D$807,D630),1)</f>
      </c>
    </row>
    <row r="631">
      <c r="A631" t="s">
        <v>76</v>
      </c>
      <c r="B631" s="79" t="n">
        <v>2030</v>
      </c>
      <c r="C631" t="s">
        <v>226</v>
      </c>
      <c r="D631" s="80" t="s">
        <v>401</v>
      </c>
      <c r="E631" s="81" t="s">
        <v>402</v>
      </c>
      <c r="F631" s="82" t="s">
        <v>229</v>
      </c>
      <c r="G631" s="83" t="s">
        <v>395</v>
      </c>
      <c r="H631" s="84" t="s">
        <v>386</v>
      </c>
      <c r="I631" s="85" t="n">
        <v>1</v>
      </c>
      <c r="J631" s="86" t="n">
        <v>1</v>
      </c>
      <c r="K631" s="87" t="n">
        <v>0.008775</v>
      </c>
      <c r="L631" s="88" t="n">
        <v>298303185.826537</v>
      </c>
      <c r="M631" s="89" t="n">
        <v>298280286.057263</v>
      </c>
      <c r="N631" s="90" t="str">
        <f>MIN(MAX((B631-'Calculation_Assumptions'!$B$5+1)/'Calculation_Assumptions'!$B$7,0),1)</f>
      </c>
      <c r="O631" s="91" t="str">
        <f>L631*I631</f>
      </c>
      <c r="P631" s="92" t="str">
        <f>M631*I631</f>
      </c>
      <c r="Q631" s="93" t="str">
        <f>P631*'Calculation_Assumptions'!$B$14*J631*K631</f>
      </c>
      <c r="R631" s="94" t="str">
        <f>O631*N631*J631*K631</f>
      </c>
      <c r="S631" s="95" t="str">
        <f>R631-Q631</f>
      </c>
      <c r="T631" s="96" t="str">
        <f>1/(1+'Calculation_Assumptions'!$B$8)^(B631-'Calculation_Assumptions'!$B$2)</f>
      </c>
      <c r="U631" s="97" t="str">
        <f>Q631*T631</f>
      </c>
      <c r="V631" s="98" t="str">
        <f>R631*T631</f>
      </c>
      <c r="W631" s="99" t="str">
        <f>S631*T631</f>
      </c>
      <c r="X631" t="n">
        <v>0</v>
      </c>
      <c r="Y631" s="100" t="n">
        <v>2017</v>
      </c>
      <c r="Z631" t="s">
        <v>389</v>
      </c>
      <c r="AA631" s="101" t="str">
        <f>IF(G631="shared-count-once",COUNTIFS($A$2:$A$807,A631,$B$2:$B$807,B631,$D$2:$D$807,D631),1)</f>
      </c>
    </row>
    <row r="632">
      <c r="A632" t="s">
        <v>76</v>
      </c>
      <c r="B632" s="79" t="n">
        <v>2031</v>
      </c>
      <c r="C632" t="s">
        <v>226</v>
      </c>
      <c r="D632" s="80" t="s">
        <v>401</v>
      </c>
      <c r="E632" s="81" t="s">
        <v>402</v>
      </c>
      <c r="F632" s="82" t="s">
        <v>229</v>
      </c>
      <c r="G632" s="83" t="s">
        <v>395</v>
      </c>
      <c r="H632" s="84" t="s">
        <v>386</v>
      </c>
      <c r="I632" s="85" t="n">
        <v>1</v>
      </c>
      <c r="J632" s="86" t="n">
        <v>1</v>
      </c>
      <c r="K632" s="87" t="n">
        <v>0.008775</v>
      </c>
      <c r="L632" s="88" t="n">
        <v>300196273.385416</v>
      </c>
      <c r="M632" s="89" t="n">
        <v>300152603.254782</v>
      </c>
      <c r="N632" s="90" t="str">
        <f>MIN(MAX((B632-'Calculation_Assumptions'!$B$5+1)/'Calculation_Assumptions'!$B$7,0),1)</f>
      </c>
      <c r="O632" s="91" t="str">
        <f>L632*I632</f>
      </c>
      <c r="P632" s="92" t="str">
        <f>M632*I632</f>
      </c>
      <c r="Q632" s="93" t="str">
        <f>P632*'Calculation_Assumptions'!$B$14*J632*K632</f>
      </c>
      <c r="R632" s="94" t="str">
        <f>O632*N632*J632*K632</f>
      </c>
      <c r="S632" s="95" t="str">
        <f>R632-Q632</f>
      </c>
      <c r="T632" s="96" t="str">
        <f>1/(1+'Calculation_Assumptions'!$B$8)^(B632-'Calculation_Assumptions'!$B$2)</f>
      </c>
      <c r="U632" s="97" t="str">
        <f>Q632*T632</f>
      </c>
      <c r="V632" s="98" t="str">
        <f>R632*T632</f>
      </c>
      <c r="W632" s="99" t="str">
        <f>S632*T632</f>
      </c>
      <c r="X632" t="n">
        <v>0</v>
      </c>
      <c r="Y632" s="100" t="n">
        <v>2017</v>
      </c>
      <c r="Z632" t="s">
        <v>389</v>
      </c>
      <c r="AA632" s="101" t="str">
        <f>IF(G632="shared-count-once",COUNTIFS($A$2:$A$807,A632,$B$2:$B$807,B632,$D$2:$D$807,D632),1)</f>
      </c>
    </row>
    <row r="633">
      <c r="A633" t="s">
        <v>76</v>
      </c>
      <c r="B633" s="79" t="n">
        <v>2032</v>
      </c>
      <c r="C633" t="s">
        <v>226</v>
      </c>
      <c r="D633" s="80" t="s">
        <v>401</v>
      </c>
      <c r="E633" s="81" t="s">
        <v>402</v>
      </c>
      <c r="F633" s="82" t="s">
        <v>229</v>
      </c>
      <c r="G633" s="83" t="s">
        <v>395</v>
      </c>
      <c r="H633" s="84" t="s">
        <v>386</v>
      </c>
      <c r="I633" s="85" t="n">
        <v>1</v>
      </c>
      <c r="J633" s="86" t="n">
        <v>1</v>
      </c>
      <c r="K633" s="87" t="n">
        <v>0.008775</v>
      </c>
      <c r="L633" s="88" t="n">
        <v>301958259.790884</v>
      </c>
      <c r="M633" s="89" t="n">
        <v>301959399.633888</v>
      </c>
      <c r="N633" s="90" t="str">
        <f>MIN(MAX((B633-'Calculation_Assumptions'!$B$5+1)/'Calculation_Assumptions'!$B$7,0),1)</f>
      </c>
      <c r="O633" s="91" t="str">
        <f>L633*I633</f>
      </c>
      <c r="P633" s="92" t="str">
        <f>M633*I633</f>
      </c>
      <c r="Q633" s="93" t="str">
        <f>P633*'Calculation_Assumptions'!$B$14*J633*K633</f>
      </c>
      <c r="R633" s="94" t="str">
        <f>O633*N633*J633*K633</f>
      </c>
      <c r="S633" s="95" t="str">
        <f>R633-Q633</f>
      </c>
      <c r="T633" s="96" t="str">
        <f>1/(1+'Calculation_Assumptions'!$B$8)^(B633-'Calculation_Assumptions'!$B$2)</f>
      </c>
      <c r="U633" s="97" t="str">
        <f>Q633*T633</f>
      </c>
      <c r="V633" s="98" t="str">
        <f>R633*T633</f>
      </c>
      <c r="W633" s="99" t="str">
        <f>S633*T633</f>
      </c>
      <c r="X633" t="n">
        <v>0</v>
      </c>
      <c r="Y633" s="100" t="n">
        <v>2017</v>
      </c>
      <c r="Z633" t="s">
        <v>389</v>
      </c>
      <c r="AA633" s="101" t="str">
        <f>IF(G633="shared-count-once",COUNTIFS($A$2:$A$807,A633,$B$2:$B$807,B633,$D$2:$D$807,D633),1)</f>
      </c>
    </row>
    <row r="634">
      <c r="A634" t="s">
        <v>76</v>
      </c>
      <c r="B634" s="79" t="n">
        <v>2033</v>
      </c>
      <c r="C634" t="s">
        <v>226</v>
      </c>
      <c r="D634" s="80" t="s">
        <v>401</v>
      </c>
      <c r="E634" s="81" t="s">
        <v>402</v>
      </c>
      <c r="F634" s="82" t="s">
        <v>229</v>
      </c>
      <c r="G634" s="83" t="s">
        <v>395</v>
      </c>
      <c r="H634" s="84" t="s">
        <v>386</v>
      </c>
      <c r="I634" s="85" t="n">
        <v>1</v>
      </c>
      <c r="J634" s="86" t="n">
        <v>1</v>
      </c>
      <c r="K634" s="87" t="n">
        <v>0.008775</v>
      </c>
      <c r="L634" s="88" t="n">
        <v>303726787.443174</v>
      </c>
      <c r="M634" s="89" t="n">
        <v>303701035.202051</v>
      </c>
      <c r="N634" s="90" t="str">
        <f>MIN(MAX((B634-'Calculation_Assumptions'!$B$5+1)/'Calculation_Assumptions'!$B$7,0),1)</f>
      </c>
      <c r="O634" s="91" t="str">
        <f>L634*I634</f>
      </c>
      <c r="P634" s="92" t="str">
        <f>M634*I634</f>
      </c>
      <c r="Q634" s="93" t="str">
        <f>P634*'Calculation_Assumptions'!$B$14*J634*K634</f>
      </c>
      <c r="R634" s="94" t="str">
        <f>O634*N634*J634*K634</f>
      </c>
      <c r="S634" s="95" t="str">
        <f>R634-Q634</f>
      </c>
      <c r="T634" s="96" t="str">
        <f>1/(1+'Calculation_Assumptions'!$B$8)^(B634-'Calculation_Assumptions'!$B$2)</f>
      </c>
      <c r="U634" s="97" t="str">
        <f>Q634*T634</f>
      </c>
      <c r="V634" s="98" t="str">
        <f>R634*T634</f>
      </c>
      <c r="W634" s="99" t="str">
        <f>S634*T634</f>
      </c>
      <c r="X634" t="n">
        <v>0</v>
      </c>
      <c r="Y634" s="100" t="n">
        <v>2017</v>
      </c>
      <c r="Z634" t="s">
        <v>389</v>
      </c>
      <c r="AA634" s="101" t="str">
        <f>IF(G634="shared-count-once",COUNTIFS($A$2:$A$807,A634,$B$2:$B$807,B634,$D$2:$D$807,D634),1)</f>
      </c>
    </row>
    <row r="635">
      <c r="A635" t="s">
        <v>76</v>
      </c>
      <c r="B635" s="79" t="n">
        <v>2034</v>
      </c>
      <c r="C635" t="s">
        <v>226</v>
      </c>
      <c r="D635" s="80" t="s">
        <v>401</v>
      </c>
      <c r="E635" s="81" t="s">
        <v>402</v>
      </c>
      <c r="F635" s="82" t="s">
        <v>229</v>
      </c>
      <c r="G635" s="83" t="s">
        <v>395</v>
      </c>
      <c r="H635" s="84" t="s">
        <v>386</v>
      </c>
      <c r="I635" s="85" t="n">
        <v>1</v>
      </c>
      <c r="J635" s="86" t="n">
        <v>1</v>
      </c>
      <c r="K635" s="87" t="n">
        <v>0.008775</v>
      </c>
      <c r="L635" s="88" t="n">
        <v>305436022.714483</v>
      </c>
      <c r="M635" s="89" t="n">
        <v>305377998.093319</v>
      </c>
      <c r="N635" s="90" t="str">
        <f>MIN(MAX((B635-'Calculation_Assumptions'!$B$5+1)/'Calculation_Assumptions'!$B$7,0),1)</f>
      </c>
      <c r="O635" s="91" t="str">
        <f>L635*I635</f>
      </c>
      <c r="P635" s="92" t="str">
        <f>M635*I635</f>
      </c>
      <c r="Q635" s="93" t="str">
        <f>P635*'Calculation_Assumptions'!$B$14*J635*K635</f>
      </c>
      <c r="R635" s="94" t="str">
        <f>O635*N635*J635*K635</f>
      </c>
      <c r="S635" s="95" t="str">
        <f>R635-Q635</f>
      </c>
      <c r="T635" s="96" t="str">
        <f>1/(1+'Calculation_Assumptions'!$B$8)^(B635-'Calculation_Assumptions'!$B$2)</f>
      </c>
      <c r="U635" s="97" t="str">
        <f>Q635*T635</f>
      </c>
      <c r="V635" s="98" t="str">
        <f>R635*T635</f>
      </c>
      <c r="W635" s="99" t="str">
        <f>S635*T635</f>
      </c>
      <c r="X635" t="n">
        <v>0</v>
      </c>
      <c r="Y635" s="100" t="n">
        <v>2017</v>
      </c>
      <c r="Z635" t="s">
        <v>389</v>
      </c>
      <c r="AA635" s="101" t="str">
        <f>IF(G635="shared-count-once",COUNTIFS($A$2:$A$807,A635,$B$2:$B$807,B635,$D$2:$D$807,D635),1)</f>
      </c>
    </row>
    <row r="636">
      <c r="A636" t="s">
        <v>76</v>
      </c>
      <c r="B636" s="79" t="n">
        <v>2035</v>
      </c>
      <c r="C636" t="s">
        <v>226</v>
      </c>
      <c r="D636" s="80" t="s">
        <v>401</v>
      </c>
      <c r="E636" s="81" t="s">
        <v>402</v>
      </c>
      <c r="F636" s="82" t="s">
        <v>229</v>
      </c>
      <c r="G636" s="83" t="s">
        <v>395</v>
      </c>
      <c r="H636" s="84" t="s">
        <v>386</v>
      </c>
      <c r="I636" s="85" t="n">
        <v>1</v>
      </c>
      <c r="J636" s="86" t="n">
        <v>1</v>
      </c>
      <c r="K636" s="87" t="n">
        <v>0.008775</v>
      </c>
      <c r="L636" s="88" t="n">
        <v>307084503.869544</v>
      </c>
      <c r="M636" s="89" t="n">
        <v>306989258.29407</v>
      </c>
      <c r="N636" s="90" t="str">
        <f>MIN(MAX((B636-'Calculation_Assumptions'!$B$5+1)/'Calculation_Assumptions'!$B$7,0),1)</f>
      </c>
      <c r="O636" s="91" t="str">
        <f>L636*I636</f>
      </c>
      <c r="P636" s="92" t="str">
        <f>M636*I636</f>
      </c>
      <c r="Q636" s="93" t="str">
        <f>P636*'Calculation_Assumptions'!$B$14*J636*K636</f>
      </c>
      <c r="R636" s="94" t="str">
        <f>O636*N636*J636*K636</f>
      </c>
      <c r="S636" s="95" t="str">
        <f>R636-Q636</f>
      </c>
      <c r="T636" s="96" t="str">
        <f>1/(1+'Calculation_Assumptions'!$B$8)^(B636-'Calculation_Assumptions'!$B$2)</f>
      </c>
      <c r="U636" s="97" t="str">
        <f>Q636*T636</f>
      </c>
      <c r="V636" s="98" t="str">
        <f>R636*T636</f>
      </c>
      <c r="W636" s="99" t="str">
        <f>S636*T636</f>
      </c>
      <c r="X636" t="n">
        <v>0</v>
      </c>
      <c r="Y636" s="100" t="n">
        <v>2017</v>
      </c>
      <c r="Z636" t="s">
        <v>389</v>
      </c>
      <c r="AA636" s="101" t="str">
        <f>IF(G636="shared-count-once",COUNTIFS($A$2:$A$807,A636,$B$2:$B$807,B636,$D$2:$D$807,D636),1)</f>
      </c>
    </row>
    <row r="637">
      <c r="A637" t="s">
        <v>76</v>
      </c>
      <c r="B637" s="79" t="n">
        <v>2036</v>
      </c>
      <c r="C637" t="s">
        <v>226</v>
      </c>
      <c r="D637" s="80" t="s">
        <v>401</v>
      </c>
      <c r="E637" s="81" t="s">
        <v>402</v>
      </c>
      <c r="F637" s="82" t="s">
        <v>229</v>
      </c>
      <c r="G637" s="83" t="s">
        <v>395</v>
      </c>
      <c r="H637" s="84" t="s">
        <v>386</v>
      </c>
      <c r="I637" s="85" t="n">
        <v>1</v>
      </c>
      <c r="J637" s="86" t="n">
        <v>1</v>
      </c>
      <c r="K637" s="87" t="n">
        <v>0.008775</v>
      </c>
      <c r="L637" s="88" t="n">
        <v>308674578.680747</v>
      </c>
      <c r="M637" s="89" t="n">
        <v>308537399.672094</v>
      </c>
      <c r="N637" s="90" t="str">
        <f>MIN(MAX((B637-'Calculation_Assumptions'!$B$5+1)/'Calculation_Assumptions'!$B$7,0),1)</f>
      </c>
      <c r="O637" s="91" t="str">
        <f>L637*I637</f>
      </c>
      <c r="P637" s="92" t="str">
        <f>M637*I637</f>
      </c>
      <c r="Q637" s="93" t="str">
        <f>P637*'Calculation_Assumptions'!$B$14*J637*K637</f>
      </c>
      <c r="R637" s="94" t="str">
        <f>O637*N637*J637*K637</f>
      </c>
      <c r="S637" s="95" t="str">
        <f>R637-Q637</f>
      </c>
      <c r="T637" s="96" t="str">
        <f>1/(1+'Calculation_Assumptions'!$B$8)^(B637-'Calculation_Assumptions'!$B$2)</f>
      </c>
      <c r="U637" s="97" t="str">
        <f>Q637*T637</f>
      </c>
      <c r="V637" s="98" t="str">
        <f>R637*T637</f>
      </c>
      <c r="W637" s="99" t="str">
        <f>S637*T637</f>
      </c>
      <c r="X637" t="n">
        <v>0</v>
      </c>
      <c r="Y637" s="100" t="n">
        <v>2017</v>
      </c>
      <c r="Z637" t="s">
        <v>389</v>
      </c>
      <c r="AA637" s="101" t="str">
        <f>IF(G637="shared-count-once",COUNTIFS($A$2:$A$807,A637,$B$2:$B$807,B637,$D$2:$D$807,D637),1)</f>
      </c>
    </row>
    <row r="638">
      <c r="A638" t="s">
        <v>76</v>
      </c>
      <c r="B638" s="79" t="n">
        <v>2037</v>
      </c>
      <c r="C638" t="s">
        <v>226</v>
      </c>
      <c r="D638" s="80" t="s">
        <v>401</v>
      </c>
      <c r="E638" s="81" t="s">
        <v>402</v>
      </c>
      <c r="F638" s="82" t="s">
        <v>229</v>
      </c>
      <c r="G638" s="83" t="s">
        <v>395</v>
      </c>
      <c r="H638" s="84" t="s">
        <v>386</v>
      </c>
      <c r="I638" s="85" t="n">
        <v>1</v>
      </c>
      <c r="J638" s="86" t="n">
        <v>1</v>
      </c>
      <c r="K638" s="87" t="n">
        <v>0.008775</v>
      </c>
      <c r="L638" s="88" t="n">
        <v>310206624.908372</v>
      </c>
      <c r="M638" s="89" t="n">
        <v>310023120.393472</v>
      </c>
      <c r="N638" s="90" t="str">
        <f>MIN(MAX((B638-'Calculation_Assumptions'!$B$5+1)/'Calculation_Assumptions'!$B$7,0),1)</f>
      </c>
      <c r="O638" s="91" t="str">
        <f>L638*I638</f>
      </c>
      <c r="P638" s="92" t="str">
        <f>M638*I638</f>
      </c>
      <c r="Q638" s="93" t="str">
        <f>P638*'Calculation_Assumptions'!$B$14*J638*K638</f>
      </c>
      <c r="R638" s="94" t="str">
        <f>O638*N638*J638*K638</f>
      </c>
      <c r="S638" s="95" t="str">
        <f>R638-Q638</f>
      </c>
      <c r="T638" s="96" t="str">
        <f>1/(1+'Calculation_Assumptions'!$B$8)^(B638-'Calculation_Assumptions'!$B$2)</f>
      </c>
      <c r="U638" s="97" t="str">
        <f>Q638*T638</f>
      </c>
      <c r="V638" s="98" t="str">
        <f>R638*T638</f>
      </c>
      <c r="W638" s="99" t="str">
        <f>S638*T638</f>
      </c>
      <c r="X638" t="n">
        <v>0</v>
      </c>
      <c r="Y638" s="100" t="n">
        <v>2017</v>
      </c>
      <c r="Z638" t="s">
        <v>389</v>
      </c>
      <c r="AA638" s="101" t="str">
        <f>IF(G638="shared-count-once",COUNTIFS($A$2:$A$807,A638,$B$2:$B$807,B638,$D$2:$D$807,D638),1)</f>
      </c>
    </row>
    <row r="639">
      <c r="A639" t="s">
        <v>76</v>
      </c>
      <c r="B639" s="79" t="n">
        <v>2038</v>
      </c>
      <c r="C639" t="s">
        <v>226</v>
      </c>
      <c r="D639" s="80" t="s">
        <v>401</v>
      </c>
      <c r="E639" s="81" t="s">
        <v>402</v>
      </c>
      <c r="F639" s="82" t="s">
        <v>229</v>
      </c>
      <c r="G639" s="83" t="s">
        <v>395</v>
      </c>
      <c r="H639" s="84" t="s">
        <v>386</v>
      </c>
      <c r="I639" s="85" t="n">
        <v>1</v>
      </c>
      <c r="J639" s="86" t="n">
        <v>1</v>
      </c>
      <c r="K639" s="87" t="n">
        <v>0.008775</v>
      </c>
      <c r="L639" s="88" t="n">
        <v>311680372.519886</v>
      </c>
      <c r="M639" s="89" t="n">
        <v>311445837.134625</v>
      </c>
      <c r="N639" s="90" t="str">
        <f>MIN(MAX((B639-'Calculation_Assumptions'!$B$5+1)/'Calculation_Assumptions'!$B$7,0),1)</f>
      </c>
      <c r="O639" s="91" t="str">
        <f>L639*I639</f>
      </c>
      <c r="P639" s="92" t="str">
        <f>M639*I639</f>
      </c>
      <c r="Q639" s="93" t="str">
        <f>P639*'Calculation_Assumptions'!$B$14*J639*K639</f>
      </c>
      <c r="R639" s="94" t="str">
        <f>O639*N639*J639*K639</f>
      </c>
      <c r="S639" s="95" t="str">
        <f>R639-Q639</f>
      </c>
      <c r="T639" s="96" t="str">
        <f>1/(1+'Calculation_Assumptions'!$B$8)^(B639-'Calculation_Assumptions'!$B$2)</f>
      </c>
      <c r="U639" s="97" t="str">
        <f>Q639*T639</f>
      </c>
      <c r="V639" s="98" t="str">
        <f>R639*T639</f>
      </c>
      <c r="W639" s="99" t="str">
        <f>S639*T639</f>
      </c>
      <c r="X639" t="n">
        <v>0</v>
      </c>
      <c r="Y639" s="100" t="n">
        <v>2017</v>
      </c>
      <c r="Z639" t="s">
        <v>389</v>
      </c>
      <c r="AA639" s="101" t="str">
        <f>IF(G639="shared-count-once",COUNTIFS($A$2:$A$807,A639,$B$2:$B$807,B639,$D$2:$D$807,D639),1)</f>
      </c>
    </row>
    <row r="640">
      <c r="A640" t="s">
        <v>76</v>
      </c>
      <c r="B640" s="79" t="n">
        <v>2039</v>
      </c>
      <c r="C640" t="s">
        <v>226</v>
      </c>
      <c r="D640" s="80" t="s">
        <v>401</v>
      </c>
      <c r="E640" s="81" t="s">
        <v>402</v>
      </c>
      <c r="F640" s="82" t="s">
        <v>229</v>
      </c>
      <c r="G640" s="83" t="s">
        <v>395</v>
      </c>
      <c r="H640" s="84" t="s">
        <v>386</v>
      </c>
      <c r="I640" s="85" t="n">
        <v>1</v>
      </c>
      <c r="J640" s="86" t="n">
        <v>1</v>
      </c>
      <c r="K640" s="87" t="n">
        <v>0.008775</v>
      </c>
      <c r="L640" s="88" t="n">
        <v>313096760.631209</v>
      </c>
      <c r="M640" s="89" t="n">
        <v>312806989.715685</v>
      </c>
      <c r="N640" s="90" t="str">
        <f>MIN(MAX((B640-'Calculation_Assumptions'!$B$5+1)/'Calculation_Assumptions'!$B$7,0),1)</f>
      </c>
      <c r="O640" s="91" t="str">
        <f>L640*I640</f>
      </c>
      <c r="P640" s="92" t="str">
        <f>M640*I640</f>
      </c>
      <c r="Q640" s="93" t="str">
        <f>P640*'Calculation_Assumptions'!$B$14*J640*K640</f>
      </c>
      <c r="R640" s="94" t="str">
        <f>O640*N640*J640*K640</f>
      </c>
      <c r="S640" s="95" t="str">
        <f>R640-Q640</f>
      </c>
      <c r="T640" s="96" t="str">
        <f>1/(1+'Calculation_Assumptions'!$B$8)^(B640-'Calculation_Assumptions'!$B$2)</f>
      </c>
      <c r="U640" s="97" t="str">
        <f>Q640*T640</f>
      </c>
      <c r="V640" s="98" t="str">
        <f>R640*T640</f>
      </c>
      <c r="W640" s="99" t="str">
        <f>S640*T640</f>
      </c>
      <c r="X640" t="n">
        <v>0</v>
      </c>
      <c r="Y640" s="100" t="n">
        <v>2017</v>
      </c>
      <c r="Z640" t="s">
        <v>389</v>
      </c>
      <c r="AA640" s="101" t="str">
        <f>IF(G640="shared-count-once",COUNTIFS($A$2:$A$807,A640,$B$2:$B$807,B640,$D$2:$D$807,D640),1)</f>
      </c>
    </row>
    <row r="641">
      <c r="A641" t="s">
        <v>76</v>
      </c>
      <c r="B641" s="79" t="n">
        <v>2040</v>
      </c>
      <c r="C641" t="s">
        <v>226</v>
      </c>
      <c r="D641" s="80" t="s">
        <v>401</v>
      </c>
      <c r="E641" s="81" t="s">
        <v>402</v>
      </c>
      <c r="F641" s="82" t="s">
        <v>229</v>
      </c>
      <c r="G641" s="83" t="s">
        <v>395</v>
      </c>
      <c r="H641" s="84" t="s">
        <v>386</v>
      </c>
      <c r="I641" s="85" t="n">
        <v>1</v>
      </c>
      <c r="J641" s="86" t="n">
        <v>1</v>
      </c>
      <c r="K641" s="87" t="n">
        <v>0.008775</v>
      </c>
      <c r="L641" s="88" t="n">
        <v>314457822.69727</v>
      </c>
      <c r="M641" s="89" t="n">
        <v>314109251.582649</v>
      </c>
      <c r="N641" s="90" t="str">
        <f>MIN(MAX((B641-'Calculation_Assumptions'!$B$5+1)/'Calculation_Assumptions'!$B$7,0),1)</f>
      </c>
      <c r="O641" s="91" t="str">
        <f>L641*I641</f>
      </c>
      <c r="P641" s="92" t="str">
        <f>M641*I641</f>
      </c>
      <c r="Q641" s="93" t="str">
        <f>P641*'Calculation_Assumptions'!$B$14*J641*K641</f>
      </c>
      <c r="R641" s="94" t="str">
        <f>O641*N641*J641*K641</f>
      </c>
      <c r="S641" s="95" t="str">
        <f>R641-Q641</f>
      </c>
      <c r="T641" s="96" t="str">
        <f>1/(1+'Calculation_Assumptions'!$B$8)^(B641-'Calculation_Assumptions'!$B$2)</f>
      </c>
      <c r="U641" s="97" t="str">
        <f>Q641*T641</f>
      </c>
      <c r="V641" s="98" t="str">
        <f>R641*T641</f>
      </c>
      <c r="W641" s="99" t="str">
        <f>S641*T641</f>
      </c>
      <c r="X641" t="n">
        <v>0</v>
      </c>
      <c r="Y641" s="100" t="n">
        <v>2017</v>
      </c>
      <c r="Z641" t="s">
        <v>389</v>
      </c>
      <c r="AA641" s="101" t="str">
        <f>IF(G641="shared-count-once",COUNTIFS($A$2:$A$807,A641,$B$2:$B$807,B641,$D$2:$D$807,D641),1)</f>
      </c>
    </row>
    <row r="642">
      <c r="A642" t="s">
        <v>76</v>
      </c>
      <c r="B642" s="79" t="n">
        <v>2041</v>
      </c>
      <c r="C642" t="s">
        <v>226</v>
      </c>
      <c r="D642" s="80" t="s">
        <v>401</v>
      </c>
      <c r="E642" s="81" t="s">
        <v>402</v>
      </c>
      <c r="F642" s="82" t="s">
        <v>229</v>
      </c>
      <c r="G642" s="83" t="s">
        <v>395</v>
      </c>
      <c r="H642" s="84" t="s">
        <v>386</v>
      </c>
      <c r="I642" s="85" t="n">
        <v>1</v>
      </c>
      <c r="J642" s="86" t="n">
        <v>1</v>
      </c>
      <c r="K642" s="87" t="n">
        <v>0.008775</v>
      </c>
      <c r="L642" s="88" t="n">
        <v>315762299.651562</v>
      </c>
      <c r="M642" s="89" t="n">
        <v>315352079.812423</v>
      </c>
      <c r="N642" s="90" t="str">
        <f>MIN(MAX((B642-'Calculation_Assumptions'!$B$5+1)/'Calculation_Assumptions'!$B$7,0),1)</f>
      </c>
      <c r="O642" s="91" t="str">
        <f>L642*I642</f>
      </c>
      <c r="P642" s="92" t="str">
        <f>M642*I642</f>
      </c>
      <c r="Q642" s="93" t="str">
        <f>P642*'Calculation_Assumptions'!$B$14*J642*K642</f>
      </c>
      <c r="R642" s="94" t="str">
        <f>O642*N642*J642*K642</f>
      </c>
      <c r="S642" s="95" t="str">
        <f>R642-Q642</f>
      </c>
      <c r="T642" s="96" t="str">
        <f>1/(1+'Calculation_Assumptions'!$B$8)^(B642-'Calculation_Assumptions'!$B$2)</f>
      </c>
      <c r="U642" s="97" t="str">
        <f>Q642*T642</f>
      </c>
      <c r="V642" s="98" t="str">
        <f>R642*T642</f>
      </c>
      <c r="W642" s="99" t="str">
        <f>S642*T642</f>
      </c>
      <c r="X642" t="n">
        <v>0</v>
      </c>
      <c r="Y642" s="100" t="n">
        <v>2017</v>
      </c>
      <c r="Z642" t="s">
        <v>389</v>
      </c>
      <c r="AA642" s="101" t="str">
        <f>IF(G642="shared-count-once",COUNTIFS($A$2:$A$807,A642,$B$2:$B$807,B642,$D$2:$D$807,D642),1)</f>
      </c>
    </row>
    <row r="643">
      <c r="A643" t="s">
        <v>76</v>
      </c>
      <c r="B643" s="79" t="n">
        <v>2042</v>
      </c>
      <c r="C643" t="s">
        <v>226</v>
      </c>
      <c r="D643" s="80" t="s">
        <v>401</v>
      </c>
      <c r="E643" s="81" t="s">
        <v>402</v>
      </c>
      <c r="F643" s="82" t="s">
        <v>229</v>
      </c>
      <c r="G643" s="83" t="s">
        <v>395</v>
      </c>
      <c r="H643" s="84" t="s">
        <v>386</v>
      </c>
      <c r="I643" s="85" t="n">
        <v>1</v>
      </c>
      <c r="J643" s="86" t="n">
        <v>1</v>
      </c>
      <c r="K643" s="87" t="n">
        <v>0.008775</v>
      </c>
      <c r="L643" s="88" t="n">
        <v>317010735.77488</v>
      </c>
      <c r="M643" s="89" t="n">
        <v>316395286.312016</v>
      </c>
      <c r="N643" s="90" t="str">
        <f>MIN(MAX((B643-'Calculation_Assumptions'!$B$5+1)/'Calculation_Assumptions'!$B$7,0),1)</f>
      </c>
      <c r="O643" s="91" t="str">
        <f>L643*I643</f>
      </c>
      <c r="P643" s="92" t="str">
        <f>M643*I643</f>
      </c>
      <c r="Q643" s="93" t="str">
        <f>P643*'Calculation_Assumptions'!$B$14*J643*K643</f>
      </c>
      <c r="R643" s="94" t="str">
        <f>O643*N643*J643*K643</f>
      </c>
      <c r="S643" s="95" t="str">
        <f>R643-Q643</f>
      </c>
      <c r="T643" s="96" t="str">
        <f>1/(1+'Calculation_Assumptions'!$B$8)^(B643-'Calculation_Assumptions'!$B$2)</f>
      </c>
      <c r="U643" s="97" t="str">
        <f>Q643*T643</f>
      </c>
      <c r="V643" s="98" t="str">
        <f>R643*T643</f>
      </c>
      <c r="W643" s="99" t="str">
        <f>S643*T643</f>
      </c>
      <c r="X643" t="n">
        <v>0</v>
      </c>
      <c r="Y643" s="100" t="n">
        <v>2017</v>
      </c>
      <c r="Z643" t="s">
        <v>389</v>
      </c>
      <c r="AA643" s="101" t="str">
        <f>IF(G643="shared-count-once",COUNTIFS($A$2:$A$807,A643,$B$2:$B$807,B643,$D$2:$D$807,D643),1)</f>
      </c>
    </row>
    <row r="644">
      <c r="A644" t="s">
        <v>76</v>
      </c>
      <c r="B644" s="79" t="n">
        <v>2043</v>
      </c>
      <c r="C644" t="s">
        <v>226</v>
      </c>
      <c r="D644" s="80" t="s">
        <v>401</v>
      </c>
      <c r="E644" s="81" t="s">
        <v>402</v>
      </c>
      <c r="F644" s="82" t="s">
        <v>229</v>
      </c>
      <c r="G644" s="83" t="s">
        <v>395</v>
      </c>
      <c r="H644" s="84" t="s">
        <v>386</v>
      </c>
      <c r="I644" s="85" t="n">
        <v>1</v>
      </c>
      <c r="J644" s="86" t="n">
        <v>1</v>
      </c>
      <c r="K644" s="87" t="n">
        <v>0.008775</v>
      </c>
      <c r="L644" s="88" t="n">
        <v>318158750.005661</v>
      </c>
      <c r="M644" s="89" t="n">
        <v>317619735.688289</v>
      </c>
      <c r="N644" s="90" t="str">
        <f>MIN(MAX((B644-'Calculation_Assumptions'!$B$5+1)/'Calculation_Assumptions'!$B$7,0),1)</f>
      </c>
      <c r="O644" s="91" t="str">
        <f>L644*I644</f>
      </c>
      <c r="P644" s="92" t="str">
        <f>M644*I644</f>
      </c>
      <c r="Q644" s="93" t="str">
        <f>P644*'Calculation_Assumptions'!$B$14*J644*K644</f>
      </c>
      <c r="R644" s="94" t="str">
        <f>O644*N644*J644*K644</f>
      </c>
      <c r="S644" s="95" t="str">
        <f>R644-Q644</f>
      </c>
      <c r="T644" s="96" t="str">
        <f>1/(1+'Calculation_Assumptions'!$B$8)^(B644-'Calculation_Assumptions'!$B$2)</f>
      </c>
      <c r="U644" s="97" t="str">
        <f>Q644*T644</f>
      </c>
      <c r="V644" s="98" t="str">
        <f>R644*T644</f>
      </c>
      <c r="W644" s="99" t="str">
        <f>S644*T644</f>
      </c>
      <c r="X644" t="n">
        <v>0</v>
      </c>
      <c r="Y644" s="100" t="n">
        <v>2017</v>
      </c>
      <c r="Z644" t="s">
        <v>389</v>
      </c>
      <c r="AA644" s="101" t="str">
        <f>IF(G644="shared-count-once",COUNTIFS($A$2:$A$807,A644,$B$2:$B$807,B644,$D$2:$D$807,D644),1)</f>
      </c>
    </row>
    <row r="645">
      <c r="A645" t="s">
        <v>76</v>
      </c>
      <c r="B645" s="79" t="n">
        <v>2044</v>
      </c>
      <c r="C645" t="s">
        <v>226</v>
      </c>
      <c r="D645" s="80" t="s">
        <v>401</v>
      </c>
      <c r="E645" s="81" t="s">
        <v>402</v>
      </c>
      <c r="F645" s="82" t="s">
        <v>229</v>
      </c>
      <c r="G645" s="83" t="s">
        <v>395</v>
      </c>
      <c r="H645" s="84" t="s">
        <v>386</v>
      </c>
      <c r="I645" s="85" t="n">
        <v>1</v>
      </c>
      <c r="J645" s="86" t="n">
        <v>1</v>
      </c>
      <c r="K645" s="87" t="n">
        <v>0.008775</v>
      </c>
      <c r="L645" s="88" t="n">
        <v>319305078.475065</v>
      </c>
      <c r="M645" s="89" t="n">
        <v>318697135.863652</v>
      </c>
      <c r="N645" s="90" t="str">
        <f>MIN(MAX((B645-'Calculation_Assumptions'!$B$5+1)/'Calculation_Assumptions'!$B$7,0),1)</f>
      </c>
      <c r="O645" s="91" t="str">
        <f>L645*I645</f>
      </c>
      <c r="P645" s="92" t="str">
        <f>M645*I645</f>
      </c>
      <c r="Q645" s="93" t="str">
        <f>P645*'Calculation_Assumptions'!$B$14*J645*K645</f>
      </c>
      <c r="R645" s="94" t="str">
        <f>O645*N645*J645*K645</f>
      </c>
      <c r="S645" s="95" t="str">
        <f>R645-Q645</f>
      </c>
      <c r="T645" s="96" t="str">
        <f>1/(1+'Calculation_Assumptions'!$B$8)^(B645-'Calculation_Assumptions'!$B$2)</f>
      </c>
      <c r="U645" s="97" t="str">
        <f>Q645*T645</f>
      </c>
      <c r="V645" s="98" t="str">
        <f>R645*T645</f>
      </c>
      <c r="W645" s="99" t="str">
        <f>S645*T645</f>
      </c>
      <c r="X645" t="n">
        <v>0</v>
      </c>
      <c r="Y645" s="100" t="n">
        <v>2017</v>
      </c>
      <c r="Z645" t="s">
        <v>389</v>
      </c>
      <c r="AA645" s="101" t="str">
        <f>IF(G645="shared-count-once",COUNTIFS($A$2:$A$807,A645,$B$2:$B$807,B645,$D$2:$D$807,D645),1)</f>
      </c>
    </row>
    <row r="646">
      <c r="A646" t="s">
        <v>76</v>
      </c>
      <c r="B646" s="79" t="n">
        <v>2045</v>
      </c>
      <c r="C646" t="s">
        <v>226</v>
      </c>
      <c r="D646" s="80" t="s">
        <v>401</v>
      </c>
      <c r="E646" s="81" t="s">
        <v>402</v>
      </c>
      <c r="F646" s="82" t="s">
        <v>229</v>
      </c>
      <c r="G646" s="83" t="s">
        <v>395</v>
      </c>
      <c r="H646" s="84" t="s">
        <v>386</v>
      </c>
      <c r="I646" s="85" t="n">
        <v>1</v>
      </c>
      <c r="J646" s="86" t="n">
        <v>1</v>
      </c>
      <c r="K646" s="87" t="n">
        <v>0.008775</v>
      </c>
      <c r="L646" s="88" t="n">
        <v>320395460.874147</v>
      </c>
      <c r="M646" s="89" t="n">
        <v>319717840.85179</v>
      </c>
      <c r="N646" s="90" t="str">
        <f>MIN(MAX((B646-'Calculation_Assumptions'!$B$5+1)/'Calculation_Assumptions'!$B$7,0),1)</f>
      </c>
      <c r="O646" s="91" t="str">
        <f>L646*I646</f>
      </c>
      <c r="P646" s="92" t="str">
        <f>M646*I646</f>
      </c>
      <c r="Q646" s="93" t="str">
        <f>P646*'Calculation_Assumptions'!$B$14*J646*K646</f>
      </c>
      <c r="R646" s="94" t="str">
        <f>O646*N646*J646*K646</f>
      </c>
      <c r="S646" s="95" t="str">
        <f>R646-Q646</f>
      </c>
      <c r="T646" s="96" t="str">
        <f>1/(1+'Calculation_Assumptions'!$B$8)^(B646-'Calculation_Assumptions'!$B$2)</f>
      </c>
      <c r="U646" s="97" t="str">
        <f>Q646*T646</f>
      </c>
      <c r="V646" s="98" t="str">
        <f>R646*T646</f>
      </c>
      <c r="W646" s="99" t="str">
        <f>S646*T646</f>
      </c>
      <c r="X646" t="n">
        <v>0</v>
      </c>
      <c r="Y646" s="100" t="n">
        <v>2017</v>
      </c>
      <c r="Z646" t="s">
        <v>389</v>
      </c>
      <c r="AA646" s="101" t="str">
        <f>IF(G646="shared-count-once",COUNTIFS($A$2:$A$807,A646,$B$2:$B$807,B646,$D$2:$D$807,D646),1)</f>
      </c>
    </row>
    <row r="647">
      <c r="A647" t="s">
        <v>76</v>
      </c>
      <c r="B647" s="79" t="n">
        <v>2046</v>
      </c>
      <c r="C647" t="s">
        <v>226</v>
      </c>
      <c r="D647" s="80" t="s">
        <v>401</v>
      </c>
      <c r="E647" s="81" t="s">
        <v>402</v>
      </c>
      <c r="F647" s="82" t="s">
        <v>229</v>
      </c>
      <c r="G647" s="83" t="s">
        <v>395</v>
      </c>
      <c r="H647" s="84" t="s">
        <v>386</v>
      </c>
      <c r="I647" s="85" t="n">
        <v>1</v>
      </c>
      <c r="J647" s="86" t="n">
        <v>1</v>
      </c>
      <c r="K647" s="87" t="n">
        <v>0.008775</v>
      </c>
      <c r="L647" s="88" t="n">
        <v>321430558.971018</v>
      </c>
      <c r="M647" s="89" t="n">
        <v>320683879.806276</v>
      </c>
      <c r="N647" s="90" t="str">
        <f>MIN(MAX((B647-'Calculation_Assumptions'!$B$5+1)/'Calculation_Assumptions'!$B$7,0),1)</f>
      </c>
      <c r="O647" s="91" t="str">
        <f>L647*I647</f>
      </c>
      <c r="P647" s="92" t="str">
        <f>M647*I647</f>
      </c>
      <c r="Q647" s="93" t="str">
        <f>P647*'Calculation_Assumptions'!$B$14*J647*K647</f>
      </c>
      <c r="R647" s="94" t="str">
        <f>O647*N647*J647*K647</f>
      </c>
      <c r="S647" s="95" t="str">
        <f>R647-Q647</f>
      </c>
      <c r="T647" s="96" t="str">
        <f>1/(1+'Calculation_Assumptions'!$B$8)^(B647-'Calculation_Assumptions'!$B$2)</f>
      </c>
      <c r="U647" s="97" t="str">
        <f>Q647*T647</f>
      </c>
      <c r="V647" s="98" t="str">
        <f>R647*T647</f>
      </c>
      <c r="W647" s="99" t="str">
        <f>S647*T647</f>
      </c>
      <c r="X647" t="n">
        <v>0</v>
      </c>
      <c r="Y647" s="100" t="n">
        <v>2017</v>
      </c>
      <c r="Z647" t="s">
        <v>389</v>
      </c>
      <c r="AA647" s="101" t="str">
        <f>IF(G647="shared-count-once",COUNTIFS($A$2:$A$807,A647,$B$2:$B$807,B647,$D$2:$D$807,D647),1)</f>
      </c>
    </row>
    <row r="648">
      <c r="A648" t="s">
        <v>76</v>
      </c>
      <c r="B648" s="79" t="n">
        <v>2047</v>
      </c>
      <c r="C648" t="s">
        <v>226</v>
      </c>
      <c r="D648" s="80" t="s">
        <v>401</v>
      </c>
      <c r="E648" s="81" t="s">
        <v>402</v>
      </c>
      <c r="F648" s="82" t="s">
        <v>229</v>
      </c>
      <c r="G648" s="83" t="s">
        <v>395</v>
      </c>
      <c r="H648" s="84" t="s">
        <v>386</v>
      </c>
      <c r="I648" s="85" t="n">
        <v>1</v>
      </c>
      <c r="J648" s="86" t="n">
        <v>1</v>
      </c>
      <c r="K648" s="87" t="n">
        <v>0.008775</v>
      </c>
      <c r="L648" s="88" t="n">
        <v>322411096.713551</v>
      </c>
      <c r="M648" s="89" t="n">
        <v>321595541.389526</v>
      </c>
      <c r="N648" s="90" t="str">
        <f>MIN(MAX((B648-'Calculation_Assumptions'!$B$5+1)/'Calculation_Assumptions'!$B$7,0),1)</f>
      </c>
      <c r="O648" s="91" t="str">
        <f>L648*I648</f>
      </c>
      <c r="P648" s="92" t="str">
        <f>M648*I648</f>
      </c>
      <c r="Q648" s="93" t="str">
        <f>P648*'Calculation_Assumptions'!$B$14*J648*K648</f>
      </c>
      <c r="R648" s="94" t="str">
        <f>O648*N648*J648*K648</f>
      </c>
      <c r="S648" s="95" t="str">
        <f>R648-Q648</f>
      </c>
      <c r="T648" s="96" t="str">
        <f>1/(1+'Calculation_Assumptions'!$B$8)^(B648-'Calculation_Assumptions'!$B$2)</f>
      </c>
      <c r="U648" s="97" t="str">
        <f>Q648*T648</f>
      </c>
      <c r="V648" s="98" t="str">
        <f>R648*T648</f>
      </c>
      <c r="W648" s="99" t="str">
        <f>S648*T648</f>
      </c>
      <c r="X648" t="n">
        <v>0</v>
      </c>
      <c r="Y648" s="100" t="n">
        <v>2017</v>
      </c>
      <c r="Z648" t="s">
        <v>389</v>
      </c>
      <c r="AA648" s="101" t="str">
        <f>IF(G648="shared-count-once",COUNTIFS($A$2:$A$807,A648,$B$2:$B$807,B648,$D$2:$D$807,D648),1)</f>
      </c>
    </row>
    <row r="649">
      <c r="A649" t="s">
        <v>76</v>
      </c>
      <c r="B649" s="79" t="n">
        <v>2048</v>
      </c>
      <c r="C649" t="s">
        <v>226</v>
      </c>
      <c r="D649" s="80" t="s">
        <v>401</v>
      </c>
      <c r="E649" s="81" t="s">
        <v>402</v>
      </c>
      <c r="F649" s="82" t="s">
        <v>229</v>
      </c>
      <c r="G649" s="83" t="s">
        <v>395</v>
      </c>
      <c r="H649" s="84" t="s">
        <v>386</v>
      </c>
      <c r="I649" s="85" t="n">
        <v>1</v>
      </c>
      <c r="J649" s="86" t="n">
        <v>1</v>
      </c>
      <c r="K649" s="87" t="n">
        <v>0.008775</v>
      </c>
      <c r="L649" s="88" t="n">
        <v>323337875.603966</v>
      </c>
      <c r="M649" s="89" t="n">
        <v>322453622.669464</v>
      </c>
      <c r="N649" s="90" t="str">
        <f>MIN(MAX((B649-'Calculation_Assumptions'!$B$5+1)/'Calculation_Assumptions'!$B$7,0),1)</f>
      </c>
      <c r="O649" s="91" t="str">
        <f>L649*I649</f>
      </c>
      <c r="P649" s="92" t="str">
        <f>M649*I649</f>
      </c>
      <c r="Q649" s="93" t="str">
        <f>P649*'Calculation_Assumptions'!$B$14*J649*K649</f>
      </c>
      <c r="R649" s="94" t="str">
        <f>O649*N649*J649*K649</f>
      </c>
      <c r="S649" s="95" t="str">
        <f>R649-Q649</f>
      </c>
      <c r="T649" s="96" t="str">
        <f>1/(1+'Calculation_Assumptions'!$B$8)^(B649-'Calculation_Assumptions'!$B$2)</f>
      </c>
      <c r="U649" s="97" t="str">
        <f>Q649*T649</f>
      </c>
      <c r="V649" s="98" t="str">
        <f>R649*T649</f>
      </c>
      <c r="W649" s="99" t="str">
        <f>S649*T649</f>
      </c>
      <c r="X649" t="n">
        <v>0</v>
      </c>
      <c r="Y649" s="100" t="n">
        <v>2017</v>
      </c>
      <c r="Z649" t="s">
        <v>389</v>
      </c>
      <c r="AA649" s="101" t="str">
        <f>IF(G649="shared-count-once",COUNTIFS($A$2:$A$807,A649,$B$2:$B$807,B649,$D$2:$D$807,D649),1)</f>
      </c>
    </row>
    <row r="650">
      <c r="A650" t="s">
        <v>76</v>
      </c>
      <c r="B650" s="79" t="n">
        <v>2049</v>
      </c>
      <c r="C650" t="s">
        <v>226</v>
      </c>
      <c r="D650" s="80" t="s">
        <v>401</v>
      </c>
      <c r="E650" s="81" t="s">
        <v>402</v>
      </c>
      <c r="F650" s="82" t="s">
        <v>229</v>
      </c>
      <c r="G650" s="83" t="s">
        <v>395</v>
      </c>
      <c r="H650" s="84" t="s">
        <v>386</v>
      </c>
      <c r="I650" s="85" t="n">
        <v>1</v>
      </c>
      <c r="J650" s="86" t="n">
        <v>1</v>
      </c>
      <c r="K650" s="87" t="n">
        <v>0.008775</v>
      </c>
      <c r="L650" s="88" t="n">
        <v>324211859.675226</v>
      </c>
      <c r="M650" s="89" t="n">
        <v>323259246.716719</v>
      </c>
      <c r="N650" s="90" t="str">
        <f>MIN(MAX((B650-'Calculation_Assumptions'!$B$5+1)/'Calculation_Assumptions'!$B$7,0),1)</f>
      </c>
      <c r="O650" s="91" t="str">
        <f>L650*I650</f>
      </c>
      <c r="P650" s="92" t="str">
        <f>M650*I650</f>
      </c>
      <c r="Q650" s="93" t="str">
        <f>P650*'Calculation_Assumptions'!$B$14*J650*K650</f>
      </c>
      <c r="R650" s="94" t="str">
        <f>O650*N650*J650*K650</f>
      </c>
      <c r="S650" s="95" t="str">
        <f>R650-Q650</f>
      </c>
      <c r="T650" s="96" t="str">
        <f>1/(1+'Calculation_Assumptions'!$B$8)^(B650-'Calculation_Assumptions'!$B$2)</f>
      </c>
      <c r="U650" s="97" t="str">
        <f>Q650*T650</f>
      </c>
      <c r="V650" s="98" t="str">
        <f>R650*T650</f>
      </c>
      <c r="W650" s="99" t="str">
        <f>S650*T650</f>
      </c>
      <c r="X650" t="n">
        <v>0</v>
      </c>
      <c r="Y650" s="100" t="n">
        <v>2017</v>
      </c>
      <c r="Z650" t="s">
        <v>389</v>
      </c>
      <c r="AA650" s="101" t="str">
        <f>IF(G650="shared-count-once",COUNTIFS($A$2:$A$807,A650,$B$2:$B$807,B650,$D$2:$D$807,D650),1)</f>
      </c>
    </row>
    <row r="651">
      <c r="A651" t="s">
        <v>76</v>
      </c>
      <c r="B651" s="79" t="n">
        <v>2050</v>
      </c>
      <c r="C651" t="s">
        <v>226</v>
      </c>
      <c r="D651" s="80" t="s">
        <v>401</v>
      </c>
      <c r="E651" s="81" t="s">
        <v>402</v>
      </c>
      <c r="F651" s="82" t="s">
        <v>229</v>
      </c>
      <c r="G651" s="83" t="s">
        <v>395</v>
      </c>
      <c r="H651" s="84" t="s">
        <v>386</v>
      </c>
      <c r="I651" s="85" t="n">
        <v>1</v>
      </c>
      <c r="J651" s="86" t="n">
        <v>1</v>
      </c>
      <c r="K651" s="87" t="n">
        <v>0.008775</v>
      </c>
      <c r="L651" s="88" t="n">
        <v>325034214.935484</v>
      </c>
      <c r="M651" s="89" t="n">
        <v>324013738.182479</v>
      </c>
      <c r="N651" s="90" t="str">
        <f>MIN(MAX((B651-'Calculation_Assumptions'!$B$5+1)/'Calculation_Assumptions'!$B$7,0),1)</f>
      </c>
      <c r="O651" s="91" t="str">
        <f>L651*I651</f>
      </c>
      <c r="P651" s="92" t="str">
        <f>M651*I651</f>
      </c>
      <c r="Q651" s="93" t="str">
        <f>P651*'Calculation_Assumptions'!$B$14*J651*K651</f>
      </c>
      <c r="R651" s="94" t="str">
        <f>O651*N651*J651*K651</f>
      </c>
      <c r="S651" s="95" t="str">
        <f>R651-Q651</f>
      </c>
      <c r="T651" s="96" t="str">
        <f>1/(1+'Calculation_Assumptions'!$B$8)^(B651-'Calculation_Assumptions'!$B$2)</f>
      </c>
      <c r="U651" s="97" t="str">
        <f>Q651*T651</f>
      </c>
      <c r="V651" s="98" t="str">
        <f>R651*T651</f>
      </c>
      <c r="W651" s="99" t="str">
        <f>S651*T651</f>
      </c>
      <c r="X651" t="n">
        <v>0</v>
      </c>
      <c r="Y651" s="100" t="n">
        <v>2017</v>
      </c>
      <c r="Z651" t="s">
        <v>389</v>
      </c>
      <c r="AA651" s="101" t="str">
        <f>IF(G651="shared-count-once",COUNTIFS($A$2:$A$807,A651,$B$2:$B$807,B651,$D$2:$D$807,D651),1)</f>
      </c>
    </row>
    <row r="652">
      <c r="A652" t="s">
        <v>76</v>
      </c>
      <c r="B652" s="79" t="n">
        <v>2025</v>
      </c>
      <c r="C652" t="s">
        <v>233</v>
      </c>
      <c r="D652" s="80" t="s">
        <v>403</v>
      </c>
      <c r="E652" s="81" t="s">
        <v>404</v>
      </c>
      <c r="F652" s="82" t="s">
        <v>239</v>
      </c>
      <c r="G652" s="83" t="s">
        <v>384</v>
      </c>
      <c r="H652" s="84" t="s">
        <v>386</v>
      </c>
      <c r="I652" s="85" t="n">
        <v>1</v>
      </c>
      <c r="J652" s="86" t="n">
        <v>1</v>
      </c>
      <c r="K652" s="87" t="n">
        <v>0.004</v>
      </c>
      <c r="L652" s="88" t="n">
        <v>288000821.106462</v>
      </c>
      <c r="M652" s="89" t="n">
        <v>288000821.106462</v>
      </c>
      <c r="N652" s="90" t="str">
        <f>MIN(MAX((B652-'Calculation_Assumptions'!$B$5+1)/'Calculation_Assumptions'!$B$7,0),1)</f>
      </c>
      <c r="O652" s="91" t="str">
        <f>L652*I652</f>
      </c>
      <c r="P652" s="92" t="str">
        <f>M652*I652</f>
      </c>
      <c r="Q652" s="93" t="str">
        <f>P652*'Calculation_Assumptions'!$B$14*J652*K652</f>
      </c>
      <c r="R652" s="94" t="str">
        <f>O652*N652*J652*K652</f>
      </c>
      <c r="S652" s="95" t="str">
        <f>R652-Q652</f>
      </c>
      <c r="T652" s="96" t="str">
        <f>1/(1+'Calculation_Assumptions'!$B$8)^(B652-'Calculation_Assumptions'!$B$2)</f>
      </c>
      <c r="U652" s="97" t="str">
        <f>Q652*T652</f>
      </c>
      <c r="V652" s="98" t="str">
        <f>R652*T652</f>
      </c>
      <c r="W652" s="99" t="str">
        <f>S652*T652</f>
      </c>
      <c r="X652" t="n">
        <v>0</v>
      </c>
      <c r="Y652" s="100" t="n">
        <v>2017</v>
      </c>
      <c r="Z652" t="s">
        <v>389</v>
      </c>
      <c r="AA652" s="101" t="str">
        <f>IF(G652="shared-count-once",COUNTIFS($A$2:$A$807,A652,$B$2:$B$807,B652,$D$2:$D$807,D652),1)</f>
      </c>
    </row>
    <row r="653">
      <c r="A653" t="s">
        <v>76</v>
      </c>
      <c r="B653" s="79" t="n">
        <v>2026</v>
      </c>
      <c r="C653" t="s">
        <v>233</v>
      </c>
      <c r="D653" s="80" t="s">
        <v>403</v>
      </c>
      <c r="E653" s="81" t="s">
        <v>404</v>
      </c>
      <c r="F653" s="82" t="s">
        <v>239</v>
      </c>
      <c r="G653" s="83" t="s">
        <v>384</v>
      </c>
      <c r="H653" s="84" t="s">
        <v>386</v>
      </c>
      <c r="I653" s="85" t="n">
        <v>1</v>
      </c>
      <c r="J653" s="86" t="n">
        <v>1</v>
      </c>
      <c r="K653" s="87" t="n">
        <v>0.004</v>
      </c>
      <c r="L653" s="88" t="n">
        <v>290123496.103219</v>
      </c>
      <c r="M653" s="89" t="n">
        <v>290123496.103219</v>
      </c>
      <c r="N653" s="90" t="str">
        <f>MIN(MAX((B653-'Calculation_Assumptions'!$B$5+1)/'Calculation_Assumptions'!$B$7,0),1)</f>
      </c>
      <c r="O653" s="91" t="str">
        <f>L653*I653</f>
      </c>
      <c r="P653" s="92" t="str">
        <f>M653*I653</f>
      </c>
      <c r="Q653" s="93" t="str">
        <f>P653*'Calculation_Assumptions'!$B$14*J653*K653</f>
      </c>
      <c r="R653" s="94" t="str">
        <f>O653*N653*J653*K653</f>
      </c>
      <c r="S653" s="95" t="str">
        <f>R653-Q653</f>
      </c>
      <c r="T653" s="96" t="str">
        <f>1/(1+'Calculation_Assumptions'!$B$8)^(B653-'Calculation_Assumptions'!$B$2)</f>
      </c>
      <c r="U653" s="97" t="str">
        <f>Q653*T653</f>
      </c>
      <c r="V653" s="98" t="str">
        <f>R653*T653</f>
      </c>
      <c r="W653" s="99" t="str">
        <f>S653*T653</f>
      </c>
      <c r="X653" t="n">
        <v>0</v>
      </c>
      <c r="Y653" s="100" t="n">
        <v>2017</v>
      </c>
      <c r="Z653" t="s">
        <v>389</v>
      </c>
      <c r="AA653" s="101" t="str">
        <f>IF(G653="shared-count-once",COUNTIFS($A$2:$A$807,A653,$B$2:$B$807,B653,$D$2:$D$807,D653),1)</f>
      </c>
    </row>
    <row r="654">
      <c r="A654" t="s">
        <v>76</v>
      </c>
      <c r="B654" s="79" t="n">
        <v>2027</v>
      </c>
      <c r="C654" t="s">
        <v>233</v>
      </c>
      <c r="D654" s="80" t="s">
        <v>403</v>
      </c>
      <c r="E654" s="81" t="s">
        <v>404</v>
      </c>
      <c r="F654" s="82" t="s">
        <v>239</v>
      </c>
      <c r="G654" s="83" t="s">
        <v>384</v>
      </c>
      <c r="H654" s="84" t="s">
        <v>386</v>
      </c>
      <c r="I654" s="85" t="n">
        <v>1</v>
      </c>
      <c r="J654" s="86" t="n">
        <v>1</v>
      </c>
      <c r="K654" s="87" t="n">
        <v>0.004</v>
      </c>
      <c r="L654" s="88" t="n">
        <v>292252895.096956</v>
      </c>
      <c r="M654" s="89" t="n">
        <v>292252895.096956</v>
      </c>
      <c r="N654" s="90" t="str">
        <f>MIN(MAX((B654-'Calculation_Assumptions'!$B$5+1)/'Calculation_Assumptions'!$B$7,0),1)</f>
      </c>
      <c r="O654" s="91" t="str">
        <f>L654*I654</f>
      </c>
      <c r="P654" s="92" t="str">
        <f>M654*I654</f>
      </c>
      <c r="Q654" s="93" t="str">
        <f>P654*'Calculation_Assumptions'!$B$14*J654*K654</f>
      </c>
      <c r="R654" s="94" t="str">
        <f>O654*N654*J654*K654</f>
      </c>
      <c r="S654" s="95" t="str">
        <f>R654-Q654</f>
      </c>
      <c r="T654" s="96" t="str">
        <f>1/(1+'Calculation_Assumptions'!$B$8)^(B654-'Calculation_Assumptions'!$B$2)</f>
      </c>
      <c r="U654" s="97" t="str">
        <f>Q654*T654</f>
      </c>
      <c r="V654" s="98" t="str">
        <f>R654*T654</f>
      </c>
      <c r="W654" s="99" t="str">
        <f>S654*T654</f>
      </c>
      <c r="X654" t="n">
        <v>0</v>
      </c>
      <c r="Y654" s="100" t="n">
        <v>2017</v>
      </c>
      <c r="Z654" t="s">
        <v>389</v>
      </c>
      <c r="AA654" s="101" t="str">
        <f>IF(G654="shared-count-once",COUNTIFS($A$2:$A$807,A654,$B$2:$B$807,B654,$D$2:$D$807,D654),1)</f>
      </c>
    </row>
    <row r="655">
      <c r="A655" t="s">
        <v>76</v>
      </c>
      <c r="B655" s="79" t="n">
        <v>2028</v>
      </c>
      <c r="C655" t="s">
        <v>233</v>
      </c>
      <c r="D655" s="80" t="s">
        <v>403</v>
      </c>
      <c r="E655" s="81" t="s">
        <v>404</v>
      </c>
      <c r="F655" s="82" t="s">
        <v>239</v>
      </c>
      <c r="G655" s="83" t="s">
        <v>384</v>
      </c>
      <c r="H655" s="84" t="s">
        <v>386</v>
      </c>
      <c r="I655" s="85" t="n">
        <v>1</v>
      </c>
      <c r="J655" s="86" t="n">
        <v>1</v>
      </c>
      <c r="K655" s="87" t="n">
        <v>0.004</v>
      </c>
      <c r="L655" s="88" t="n">
        <v>294317373.248038</v>
      </c>
      <c r="M655" s="89" t="n">
        <v>294314895.305465</v>
      </c>
      <c r="N655" s="90" t="str">
        <f>MIN(MAX((B655-'Calculation_Assumptions'!$B$5+1)/'Calculation_Assumptions'!$B$7,0),1)</f>
      </c>
      <c r="O655" s="91" t="str">
        <f>L655*I655</f>
      </c>
      <c r="P655" s="92" t="str">
        <f>M655*I655</f>
      </c>
      <c r="Q655" s="93" t="str">
        <f>P655*'Calculation_Assumptions'!$B$14*J655*K655</f>
      </c>
      <c r="R655" s="94" t="str">
        <f>O655*N655*J655*K655</f>
      </c>
      <c r="S655" s="95" t="str">
        <f>R655-Q655</f>
      </c>
      <c r="T655" s="96" t="str">
        <f>1/(1+'Calculation_Assumptions'!$B$8)^(B655-'Calculation_Assumptions'!$B$2)</f>
      </c>
      <c r="U655" s="97" t="str">
        <f>Q655*T655</f>
      </c>
      <c r="V655" s="98" t="str">
        <f>R655*T655</f>
      </c>
      <c r="W655" s="99" t="str">
        <f>S655*T655</f>
      </c>
      <c r="X655" t="n">
        <v>0</v>
      </c>
      <c r="Y655" s="100" t="n">
        <v>2017</v>
      </c>
      <c r="Z655" t="s">
        <v>389</v>
      </c>
      <c r="AA655" s="101" t="str">
        <f>IF(G655="shared-count-once",COUNTIFS($A$2:$A$807,A655,$B$2:$B$807,B655,$D$2:$D$807,D655),1)</f>
      </c>
    </row>
    <row r="656">
      <c r="A656" t="s">
        <v>76</v>
      </c>
      <c r="B656" s="79" t="n">
        <v>2029</v>
      </c>
      <c r="C656" t="s">
        <v>233</v>
      </c>
      <c r="D656" s="80" t="s">
        <v>403</v>
      </c>
      <c r="E656" s="81" t="s">
        <v>404</v>
      </c>
      <c r="F656" s="82" t="s">
        <v>239</v>
      </c>
      <c r="G656" s="83" t="s">
        <v>384</v>
      </c>
      <c r="H656" s="84" t="s">
        <v>386</v>
      </c>
      <c r="I656" s="85" t="n">
        <v>1</v>
      </c>
      <c r="J656" s="86" t="n">
        <v>1</v>
      </c>
      <c r="K656" s="87" t="n">
        <v>0.004</v>
      </c>
      <c r="L656" s="88" t="n">
        <v>296300392.819394</v>
      </c>
      <c r="M656" s="89" t="n">
        <v>296341062.542853</v>
      </c>
      <c r="N656" s="90" t="str">
        <f>MIN(MAX((B656-'Calculation_Assumptions'!$B$5+1)/'Calculation_Assumptions'!$B$7,0),1)</f>
      </c>
      <c r="O656" s="91" t="str">
        <f>L656*I656</f>
      </c>
      <c r="P656" s="92" t="str">
        <f>M656*I656</f>
      </c>
      <c r="Q656" s="93" t="str">
        <f>P656*'Calculation_Assumptions'!$B$14*J656*K656</f>
      </c>
      <c r="R656" s="94" t="str">
        <f>O656*N656*J656*K656</f>
      </c>
      <c r="S656" s="95" t="str">
        <f>R656-Q656</f>
      </c>
      <c r="T656" s="96" t="str">
        <f>1/(1+'Calculation_Assumptions'!$B$8)^(B656-'Calculation_Assumptions'!$B$2)</f>
      </c>
      <c r="U656" s="97" t="str">
        <f>Q656*T656</f>
      </c>
      <c r="V656" s="98" t="str">
        <f>R656*T656</f>
      </c>
      <c r="W656" s="99" t="str">
        <f>S656*T656</f>
      </c>
      <c r="X656" t="n">
        <v>0</v>
      </c>
      <c r="Y656" s="100" t="n">
        <v>2017</v>
      </c>
      <c r="Z656" t="s">
        <v>389</v>
      </c>
      <c r="AA656" s="101" t="str">
        <f>IF(G656="shared-count-once",COUNTIFS($A$2:$A$807,A656,$B$2:$B$807,B656,$D$2:$D$807,D656),1)</f>
      </c>
    </row>
    <row r="657">
      <c r="A657" t="s">
        <v>76</v>
      </c>
      <c r="B657" s="79" t="n">
        <v>2030</v>
      </c>
      <c r="C657" t="s">
        <v>233</v>
      </c>
      <c r="D657" s="80" t="s">
        <v>403</v>
      </c>
      <c r="E657" s="81" t="s">
        <v>404</v>
      </c>
      <c r="F657" s="82" t="s">
        <v>239</v>
      </c>
      <c r="G657" s="83" t="s">
        <v>384</v>
      </c>
      <c r="H657" s="84" t="s">
        <v>386</v>
      </c>
      <c r="I657" s="85" t="n">
        <v>1</v>
      </c>
      <c r="J657" s="86" t="n">
        <v>1</v>
      </c>
      <c r="K657" s="87" t="n">
        <v>0.004</v>
      </c>
      <c r="L657" s="88" t="n">
        <v>298303185.826537</v>
      </c>
      <c r="M657" s="89" t="n">
        <v>298280286.057263</v>
      </c>
      <c r="N657" s="90" t="str">
        <f>MIN(MAX((B657-'Calculation_Assumptions'!$B$5+1)/'Calculation_Assumptions'!$B$7,0),1)</f>
      </c>
      <c r="O657" s="91" t="str">
        <f>L657*I657</f>
      </c>
      <c r="P657" s="92" t="str">
        <f>M657*I657</f>
      </c>
      <c r="Q657" s="93" t="str">
        <f>P657*'Calculation_Assumptions'!$B$14*J657*K657</f>
      </c>
      <c r="R657" s="94" t="str">
        <f>O657*N657*J657*K657</f>
      </c>
      <c r="S657" s="95" t="str">
        <f>R657-Q657</f>
      </c>
      <c r="T657" s="96" t="str">
        <f>1/(1+'Calculation_Assumptions'!$B$8)^(B657-'Calculation_Assumptions'!$B$2)</f>
      </c>
      <c r="U657" s="97" t="str">
        <f>Q657*T657</f>
      </c>
      <c r="V657" s="98" t="str">
        <f>R657*T657</f>
      </c>
      <c r="W657" s="99" t="str">
        <f>S657*T657</f>
      </c>
      <c r="X657" t="n">
        <v>0</v>
      </c>
      <c r="Y657" s="100" t="n">
        <v>2017</v>
      </c>
      <c r="Z657" t="s">
        <v>389</v>
      </c>
      <c r="AA657" s="101" t="str">
        <f>IF(G657="shared-count-once",COUNTIFS($A$2:$A$807,A657,$B$2:$B$807,B657,$D$2:$D$807,D657),1)</f>
      </c>
    </row>
    <row r="658">
      <c r="A658" t="s">
        <v>76</v>
      </c>
      <c r="B658" s="79" t="n">
        <v>2031</v>
      </c>
      <c r="C658" t="s">
        <v>233</v>
      </c>
      <c r="D658" s="80" t="s">
        <v>403</v>
      </c>
      <c r="E658" s="81" t="s">
        <v>404</v>
      </c>
      <c r="F658" s="82" t="s">
        <v>239</v>
      </c>
      <c r="G658" s="83" t="s">
        <v>384</v>
      </c>
      <c r="H658" s="84" t="s">
        <v>386</v>
      </c>
      <c r="I658" s="85" t="n">
        <v>1</v>
      </c>
      <c r="J658" s="86" t="n">
        <v>1</v>
      </c>
      <c r="K658" s="87" t="n">
        <v>0.004</v>
      </c>
      <c r="L658" s="88" t="n">
        <v>300196273.385416</v>
      </c>
      <c r="M658" s="89" t="n">
        <v>300152603.254782</v>
      </c>
      <c r="N658" s="90" t="str">
        <f>MIN(MAX((B658-'Calculation_Assumptions'!$B$5+1)/'Calculation_Assumptions'!$B$7,0),1)</f>
      </c>
      <c r="O658" s="91" t="str">
        <f>L658*I658</f>
      </c>
      <c r="P658" s="92" t="str">
        <f>M658*I658</f>
      </c>
      <c r="Q658" s="93" t="str">
        <f>P658*'Calculation_Assumptions'!$B$14*J658*K658</f>
      </c>
      <c r="R658" s="94" t="str">
        <f>O658*N658*J658*K658</f>
      </c>
      <c r="S658" s="95" t="str">
        <f>R658-Q658</f>
      </c>
      <c r="T658" s="96" t="str">
        <f>1/(1+'Calculation_Assumptions'!$B$8)^(B658-'Calculation_Assumptions'!$B$2)</f>
      </c>
      <c r="U658" s="97" t="str">
        <f>Q658*T658</f>
      </c>
      <c r="V658" s="98" t="str">
        <f>R658*T658</f>
      </c>
      <c r="W658" s="99" t="str">
        <f>S658*T658</f>
      </c>
      <c r="X658" t="n">
        <v>0</v>
      </c>
      <c r="Y658" s="100" t="n">
        <v>2017</v>
      </c>
      <c r="Z658" t="s">
        <v>389</v>
      </c>
      <c r="AA658" s="101" t="str">
        <f>IF(G658="shared-count-once",COUNTIFS($A$2:$A$807,A658,$B$2:$B$807,B658,$D$2:$D$807,D658),1)</f>
      </c>
    </row>
    <row r="659">
      <c r="A659" t="s">
        <v>76</v>
      </c>
      <c r="B659" s="79" t="n">
        <v>2032</v>
      </c>
      <c r="C659" t="s">
        <v>233</v>
      </c>
      <c r="D659" s="80" t="s">
        <v>403</v>
      </c>
      <c r="E659" s="81" t="s">
        <v>404</v>
      </c>
      <c r="F659" s="82" t="s">
        <v>239</v>
      </c>
      <c r="G659" s="83" t="s">
        <v>384</v>
      </c>
      <c r="H659" s="84" t="s">
        <v>386</v>
      </c>
      <c r="I659" s="85" t="n">
        <v>1</v>
      </c>
      <c r="J659" s="86" t="n">
        <v>1</v>
      </c>
      <c r="K659" s="87" t="n">
        <v>0.004</v>
      </c>
      <c r="L659" s="88" t="n">
        <v>301958259.790884</v>
      </c>
      <c r="M659" s="89" t="n">
        <v>301959399.633888</v>
      </c>
      <c r="N659" s="90" t="str">
        <f>MIN(MAX((B659-'Calculation_Assumptions'!$B$5+1)/'Calculation_Assumptions'!$B$7,0),1)</f>
      </c>
      <c r="O659" s="91" t="str">
        <f>L659*I659</f>
      </c>
      <c r="P659" s="92" t="str">
        <f>M659*I659</f>
      </c>
      <c r="Q659" s="93" t="str">
        <f>P659*'Calculation_Assumptions'!$B$14*J659*K659</f>
      </c>
      <c r="R659" s="94" t="str">
        <f>O659*N659*J659*K659</f>
      </c>
      <c r="S659" s="95" t="str">
        <f>R659-Q659</f>
      </c>
      <c r="T659" s="96" t="str">
        <f>1/(1+'Calculation_Assumptions'!$B$8)^(B659-'Calculation_Assumptions'!$B$2)</f>
      </c>
      <c r="U659" s="97" t="str">
        <f>Q659*T659</f>
      </c>
      <c r="V659" s="98" t="str">
        <f>R659*T659</f>
      </c>
      <c r="W659" s="99" t="str">
        <f>S659*T659</f>
      </c>
      <c r="X659" t="n">
        <v>0</v>
      </c>
      <c r="Y659" s="100" t="n">
        <v>2017</v>
      </c>
      <c r="Z659" t="s">
        <v>389</v>
      </c>
      <c r="AA659" s="101" t="str">
        <f>IF(G659="shared-count-once",COUNTIFS($A$2:$A$807,A659,$B$2:$B$807,B659,$D$2:$D$807,D659),1)</f>
      </c>
    </row>
    <row r="660">
      <c r="A660" t="s">
        <v>76</v>
      </c>
      <c r="B660" s="79" t="n">
        <v>2033</v>
      </c>
      <c r="C660" t="s">
        <v>233</v>
      </c>
      <c r="D660" s="80" t="s">
        <v>403</v>
      </c>
      <c r="E660" s="81" t="s">
        <v>404</v>
      </c>
      <c r="F660" s="82" t="s">
        <v>239</v>
      </c>
      <c r="G660" s="83" t="s">
        <v>384</v>
      </c>
      <c r="H660" s="84" t="s">
        <v>386</v>
      </c>
      <c r="I660" s="85" t="n">
        <v>1</v>
      </c>
      <c r="J660" s="86" t="n">
        <v>1</v>
      </c>
      <c r="K660" s="87" t="n">
        <v>0.004</v>
      </c>
      <c r="L660" s="88" t="n">
        <v>303726787.443174</v>
      </c>
      <c r="M660" s="89" t="n">
        <v>303701035.202051</v>
      </c>
      <c r="N660" s="90" t="str">
        <f>MIN(MAX((B660-'Calculation_Assumptions'!$B$5+1)/'Calculation_Assumptions'!$B$7,0),1)</f>
      </c>
      <c r="O660" s="91" t="str">
        <f>L660*I660</f>
      </c>
      <c r="P660" s="92" t="str">
        <f>M660*I660</f>
      </c>
      <c r="Q660" s="93" t="str">
        <f>P660*'Calculation_Assumptions'!$B$14*J660*K660</f>
      </c>
      <c r="R660" s="94" t="str">
        <f>O660*N660*J660*K660</f>
      </c>
      <c r="S660" s="95" t="str">
        <f>R660-Q660</f>
      </c>
      <c r="T660" s="96" t="str">
        <f>1/(1+'Calculation_Assumptions'!$B$8)^(B660-'Calculation_Assumptions'!$B$2)</f>
      </c>
      <c r="U660" s="97" t="str">
        <f>Q660*T660</f>
      </c>
      <c r="V660" s="98" t="str">
        <f>R660*T660</f>
      </c>
      <c r="W660" s="99" t="str">
        <f>S660*T660</f>
      </c>
      <c r="X660" t="n">
        <v>0</v>
      </c>
      <c r="Y660" s="100" t="n">
        <v>2017</v>
      </c>
      <c r="Z660" t="s">
        <v>389</v>
      </c>
      <c r="AA660" s="101" t="str">
        <f>IF(G660="shared-count-once",COUNTIFS($A$2:$A$807,A660,$B$2:$B$807,B660,$D$2:$D$807,D660),1)</f>
      </c>
    </row>
    <row r="661">
      <c r="A661" t="s">
        <v>76</v>
      </c>
      <c r="B661" s="79" t="n">
        <v>2034</v>
      </c>
      <c r="C661" t="s">
        <v>233</v>
      </c>
      <c r="D661" s="80" t="s">
        <v>403</v>
      </c>
      <c r="E661" s="81" t="s">
        <v>404</v>
      </c>
      <c r="F661" s="82" t="s">
        <v>239</v>
      </c>
      <c r="G661" s="83" t="s">
        <v>384</v>
      </c>
      <c r="H661" s="84" t="s">
        <v>386</v>
      </c>
      <c r="I661" s="85" t="n">
        <v>1</v>
      </c>
      <c r="J661" s="86" t="n">
        <v>1</v>
      </c>
      <c r="K661" s="87" t="n">
        <v>0.004</v>
      </c>
      <c r="L661" s="88" t="n">
        <v>305436022.714483</v>
      </c>
      <c r="M661" s="89" t="n">
        <v>305377998.093319</v>
      </c>
      <c r="N661" s="90" t="str">
        <f>MIN(MAX((B661-'Calculation_Assumptions'!$B$5+1)/'Calculation_Assumptions'!$B$7,0),1)</f>
      </c>
      <c r="O661" s="91" t="str">
        <f>L661*I661</f>
      </c>
      <c r="P661" s="92" t="str">
        <f>M661*I661</f>
      </c>
      <c r="Q661" s="93" t="str">
        <f>P661*'Calculation_Assumptions'!$B$14*J661*K661</f>
      </c>
      <c r="R661" s="94" t="str">
        <f>O661*N661*J661*K661</f>
      </c>
      <c r="S661" s="95" t="str">
        <f>R661-Q661</f>
      </c>
      <c r="T661" s="96" t="str">
        <f>1/(1+'Calculation_Assumptions'!$B$8)^(B661-'Calculation_Assumptions'!$B$2)</f>
      </c>
      <c r="U661" s="97" t="str">
        <f>Q661*T661</f>
      </c>
      <c r="V661" s="98" t="str">
        <f>R661*T661</f>
      </c>
      <c r="W661" s="99" t="str">
        <f>S661*T661</f>
      </c>
      <c r="X661" t="n">
        <v>0</v>
      </c>
      <c r="Y661" s="100" t="n">
        <v>2017</v>
      </c>
      <c r="Z661" t="s">
        <v>389</v>
      </c>
      <c r="AA661" s="101" t="str">
        <f>IF(G661="shared-count-once",COUNTIFS($A$2:$A$807,A661,$B$2:$B$807,B661,$D$2:$D$807,D661),1)</f>
      </c>
    </row>
    <row r="662">
      <c r="A662" t="s">
        <v>76</v>
      </c>
      <c r="B662" s="79" t="n">
        <v>2035</v>
      </c>
      <c r="C662" t="s">
        <v>233</v>
      </c>
      <c r="D662" s="80" t="s">
        <v>403</v>
      </c>
      <c r="E662" s="81" t="s">
        <v>404</v>
      </c>
      <c r="F662" s="82" t="s">
        <v>239</v>
      </c>
      <c r="G662" s="83" t="s">
        <v>384</v>
      </c>
      <c r="H662" s="84" t="s">
        <v>386</v>
      </c>
      <c r="I662" s="85" t="n">
        <v>1</v>
      </c>
      <c r="J662" s="86" t="n">
        <v>1</v>
      </c>
      <c r="K662" s="87" t="n">
        <v>0.004</v>
      </c>
      <c r="L662" s="88" t="n">
        <v>307084503.869544</v>
      </c>
      <c r="M662" s="89" t="n">
        <v>306989258.29407</v>
      </c>
      <c r="N662" s="90" t="str">
        <f>MIN(MAX((B662-'Calculation_Assumptions'!$B$5+1)/'Calculation_Assumptions'!$B$7,0),1)</f>
      </c>
      <c r="O662" s="91" t="str">
        <f>L662*I662</f>
      </c>
      <c r="P662" s="92" t="str">
        <f>M662*I662</f>
      </c>
      <c r="Q662" s="93" t="str">
        <f>P662*'Calculation_Assumptions'!$B$14*J662*K662</f>
      </c>
      <c r="R662" s="94" t="str">
        <f>O662*N662*J662*K662</f>
      </c>
      <c r="S662" s="95" t="str">
        <f>R662-Q662</f>
      </c>
      <c r="T662" s="96" t="str">
        <f>1/(1+'Calculation_Assumptions'!$B$8)^(B662-'Calculation_Assumptions'!$B$2)</f>
      </c>
      <c r="U662" s="97" t="str">
        <f>Q662*T662</f>
      </c>
      <c r="V662" s="98" t="str">
        <f>R662*T662</f>
      </c>
      <c r="W662" s="99" t="str">
        <f>S662*T662</f>
      </c>
      <c r="X662" t="n">
        <v>0</v>
      </c>
      <c r="Y662" s="100" t="n">
        <v>2017</v>
      </c>
      <c r="Z662" t="s">
        <v>389</v>
      </c>
      <c r="AA662" s="101" t="str">
        <f>IF(G662="shared-count-once",COUNTIFS($A$2:$A$807,A662,$B$2:$B$807,B662,$D$2:$D$807,D662),1)</f>
      </c>
    </row>
    <row r="663">
      <c r="A663" t="s">
        <v>76</v>
      </c>
      <c r="B663" s="79" t="n">
        <v>2036</v>
      </c>
      <c r="C663" t="s">
        <v>233</v>
      </c>
      <c r="D663" s="80" t="s">
        <v>403</v>
      </c>
      <c r="E663" s="81" t="s">
        <v>404</v>
      </c>
      <c r="F663" s="82" t="s">
        <v>239</v>
      </c>
      <c r="G663" s="83" t="s">
        <v>384</v>
      </c>
      <c r="H663" s="84" t="s">
        <v>386</v>
      </c>
      <c r="I663" s="85" t="n">
        <v>1</v>
      </c>
      <c r="J663" s="86" t="n">
        <v>1</v>
      </c>
      <c r="K663" s="87" t="n">
        <v>0.004</v>
      </c>
      <c r="L663" s="88" t="n">
        <v>308674578.680747</v>
      </c>
      <c r="M663" s="89" t="n">
        <v>308537399.672094</v>
      </c>
      <c r="N663" s="90" t="str">
        <f>MIN(MAX((B663-'Calculation_Assumptions'!$B$5+1)/'Calculation_Assumptions'!$B$7,0),1)</f>
      </c>
      <c r="O663" s="91" t="str">
        <f>L663*I663</f>
      </c>
      <c r="P663" s="92" t="str">
        <f>M663*I663</f>
      </c>
      <c r="Q663" s="93" t="str">
        <f>P663*'Calculation_Assumptions'!$B$14*J663*K663</f>
      </c>
      <c r="R663" s="94" t="str">
        <f>O663*N663*J663*K663</f>
      </c>
      <c r="S663" s="95" t="str">
        <f>R663-Q663</f>
      </c>
      <c r="T663" s="96" t="str">
        <f>1/(1+'Calculation_Assumptions'!$B$8)^(B663-'Calculation_Assumptions'!$B$2)</f>
      </c>
      <c r="U663" s="97" t="str">
        <f>Q663*T663</f>
      </c>
      <c r="V663" s="98" t="str">
        <f>R663*T663</f>
      </c>
      <c r="W663" s="99" t="str">
        <f>S663*T663</f>
      </c>
      <c r="X663" t="n">
        <v>0</v>
      </c>
      <c r="Y663" s="100" t="n">
        <v>2017</v>
      </c>
      <c r="Z663" t="s">
        <v>389</v>
      </c>
      <c r="AA663" s="101" t="str">
        <f>IF(G663="shared-count-once",COUNTIFS($A$2:$A$807,A663,$B$2:$B$807,B663,$D$2:$D$807,D663),1)</f>
      </c>
    </row>
    <row r="664">
      <c r="A664" t="s">
        <v>76</v>
      </c>
      <c r="B664" s="79" t="n">
        <v>2037</v>
      </c>
      <c r="C664" t="s">
        <v>233</v>
      </c>
      <c r="D664" s="80" t="s">
        <v>403</v>
      </c>
      <c r="E664" s="81" t="s">
        <v>404</v>
      </c>
      <c r="F664" s="82" t="s">
        <v>239</v>
      </c>
      <c r="G664" s="83" t="s">
        <v>384</v>
      </c>
      <c r="H664" s="84" t="s">
        <v>386</v>
      </c>
      <c r="I664" s="85" t="n">
        <v>1</v>
      </c>
      <c r="J664" s="86" t="n">
        <v>1</v>
      </c>
      <c r="K664" s="87" t="n">
        <v>0.004</v>
      </c>
      <c r="L664" s="88" t="n">
        <v>310206624.908372</v>
      </c>
      <c r="M664" s="89" t="n">
        <v>310023120.393472</v>
      </c>
      <c r="N664" s="90" t="str">
        <f>MIN(MAX((B664-'Calculation_Assumptions'!$B$5+1)/'Calculation_Assumptions'!$B$7,0),1)</f>
      </c>
      <c r="O664" s="91" t="str">
        <f>L664*I664</f>
      </c>
      <c r="P664" s="92" t="str">
        <f>M664*I664</f>
      </c>
      <c r="Q664" s="93" t="str">
        <f>P664*'Calculation_Assumptions'!$B$14*J664*K664</f>
      </c>
      <c r="R664" s="94" t="str">
        <f>O664*N664*J664*K664</f>
      </c>
      <c r="S664" s="95" t="str">
        <f>R664-Q664</f>
      </c>
      <c r="T664" s="96" t="str">
        <f>1/(1+'Calculation_Assumptions'!$B$8)^(B664-'Calculation_Assumptions'!$B$2)</f>
      </c>
      <c r="U664" s="97" t="str">
        <f>Q664*T664</f>
      </c>
      <c r="V664" s="98" t="str">
        <f>R664*T664</f>
      </c>
      <c r="W664" s="99" t="str">
        <f>S664*T664</f>
      </c>
      <c r="X664" t="n">
        <v>0</v>
      </c>
      <c r="Y664" s="100" t="n">
        <v>2017</v>
      </c>
      <c r="Z664" t="s">
        <v>389</v>
      </c>
      <c r="AA664" s="101" t="str">
        <f>IF(G664="shared-count-once",COUNTIFS($A$2:$A$807,A664,$B$2:$B$807,B664,$D$2:$D$807,D664),1)</f>
      </c>
    </row>
    <row r="665">
      <c r="A665" t="s">
        <v>76</v>
      </c>
      <c r="B665" s="79" t="n">
        <v>2038</v>
      </c>
      <c r="C665" t="s">
        <v>233</v>
      </c>
      <c r="D665" s="80" t="s">
        <v>403</v>
      </c>
      <c r="E665" s="81" t="s">
        <v>404</v>
      </c>
      <c r="F665" s="82" t="s">
        <v>239</v>
      </c>
      <c r="G665" s="83" t="s">
        <v>384</v>
      </c>
      <c r="H665" s="84" t="s">
        <v>386</v>
      </c>
      <c r="I665" s="85" t="n">
        <v>1</v>
      </c>
      <c r="J665" s="86" t="n">
        <v>1</v>
      </c>
      <c r="K665" s="87" t="n">
        <v>0.004</v>
      </c>
      <c r="L665" s="88" t="n">
        <v>311680372.519886</v>
      </c>
      <c r="M665" s="89" t="n">
        <v>311445837.134625</v>
      </c>
      <c r="N665" s="90" t="str">
        <f>MIN(MAX((B665-'Calculation_Assumptions'!$B$5+1)/'Calculation_Assumptions'!$B$7,0),1)</f>
      </c>
      <c r="O665" s="91" t="str">
        <f>L665*I665</f>
      </c>
      <c r="P665" s="92" t="str">
        <f>M665*I665</f>
      </c>
      <c r="Q665" s="93" t="str">
        <f>P665*'Calculation_Assumptions'!$B$14*J665*K665</f>
      </c>
      <c r="R665" s="94" t="str">
        <f>O665*N665*J665*K665</f>
      </c>
      <c r="S665" s="95" t="str">
        <f>R665-Q665</f>
      </c>
      <c r="T665" s="96" t="str">
        <f>1/(1+'Calculation_Assumptions'!$B$8)^(B665-'Calculation_Assumptions'!$B$2)</f>
      </c>
      <c r="U665" s="97" t="str">
        <f>Q665*T665</f>
      </c>
      <c r="V665" s="98" t="str">
        <f>R665*T665</f>
      </c>
      <c r="W665" s="99" t="str">
        <f>S665*T665</f>
      </c>
      <c r="X665" t="n">
        <v>0</v>
      </c>
      <c r="Y665" s="100" t="n">
        <v>2017</v>
      </c>
      <c r="Z665" t="s">
        <v>389</v>
      </c>
      <c r="AA665" s="101" t="str">
        <f>IF(G665="shared-count-once",COUNTIFS($A$2:$A$807,A665,$B$2:$B$807,B665,$D$2:$D$807,D665),1)</f>
      </c>
    </row>
    <row r="666">
      <c r="A666" t="s">
        <v>76</v>
      </c>
      <c r="B666" s="79" t="n">
        <v>2039</v>
      </c>
      <c r="C666" t="s">
        <v>233</v>
      </c>
      <c r="D666" s="80" t="s">
        <v>403</v>
      </c>
      <c r="E666" s="81" t="s">
        <v>404</v>
      </c>
      <c r="F666" s="82" t="s">
        <v>239</v>
      </c>
      <c r="G666" s="83" t="s">
        <v>384</v>
      </c>
      <c r="H666" s="84" t="s">
        <v>386</v>
      </c>
      <c r="I666" s="85" t="n">
        <v>1</v>
      </c>
      <c r="J666" s="86" t="n">
        <v>1</v>
      </c>
      <c r="K666" s="87" t="n">
        <v>0.004</v>
      </c>
      <c r="L666" s="88" t="n">
        <v>313096760.631209</v>
      </c>
      <c r="M666" s="89" t="n">
        <v>312806989.715685</v>
      </c>
      <c r="N666" s="90" t="str">
        <f>MIN(MAX((B666-'Calculation_Assumptions'!$B$5+1)/'Calculation_Assumptions'!$B$7,0),1)</f>
      </c>
      <c r="O666" s="91" t="str">
        <f>L666*I666</f>
      </c>
      <c r="P666" s="92" t="str">
        <f>M666*I666</f>
      </c>
      <c r="Q666" s="93" t="str">
        <f>P666*'Calculation_Assumptions'!$B$14*J666*K666</f>
      </c>
      <c r="R666" s="94" t="str">
        <f>O666*N666*J666*K666</f>
      </c>
      <c r="S666" s="95" t="str">
        <f>R666-Q666</f>
      </c>
      <c r="T666" s="96" t="str">
        <f>1/(1+'Calculation_Assumptions'!$B$8)^(B666-'Calculation_Assumptions'!$B$2)</f>
      </c>
      <c r="U666" s="97" t="str">
        <f>Q666*T666</f>
      </c>
      <c r="V666" s="98" t="str">
        <f>R666*T666</f>
      </c>
      <c r="W666" s="99" t="str">
        <f>S666*T666</f>
      </c>
      <c r="X666" t="n">
        <v>0</v>
      </c>
      <c r="Y666" s="100" t="n">
        <v>2017</v>
      </c>
      <c r="Z666" t="s">
        <v>389</v>
      </c>
      <c r="AA666" s="101" t="str">
        <f>IF(G666="shared-count-once",COUNTIFS($A$2:$A$807,A666,$B$2:$B$807,B666,$D$2:$D$807,D666),1)</f>
      </c>
    </row>
    <row r="667">
      <c r="A667" t="s">
        <v>76</v>
      </c>
      <c r="B667" s="79" t="n">
        <v>2040</v>
      </c>
      <c r="C667" t="s">
        <v>233</v>
      </c>
      <c r="D667" s="80" t="s">
        <v>403</v>
      </c>
      <c r="E667" s="81" t="s">
        <v>404</v>
      </c>
      <c r="F667" s="82" t="s">
        <v>239</v>
      </c>
      <c r="G667" s="83" t="s">
        <v>384</v>
      </c>
      <c r="H667" s="84" t="s">
        <v>386</v>
      </c>
      <c r="I667" s="85" t="n">
        <v>1</v>
      </c>
      <c r="J667" s="86" t="n">
        <v>1</v>
      </c>
      <c r="K667" s="87" t="n">
        <v>0.004</v>
      </c>
      <c r="L667" s="88" t="n">
        <v>314457822.69727</v>
      </c>
      <c r="M667" s="89" t="n">
        <v>314109251.582649</v>
      </c>
      <c r="N667" s="90" t="str">
        <f>MIN(MAX((B667-'Calculation_Assumptions'!$B$5+1)/'Calculation_Assumptions'!$B$7,0),1)</f>
      </c>
      <c r="O667" s="91" t="str">
        <f>L667*I667</f>
      </c>
      <c r="P667" s="92" t="str">
        <f>M667*I667</f>
      </c>
      <c r="Q667" s="93" t="str">
        <f>P667*'Calculation_Assumptions'!$B$14*J667*K667</f>
      </c>
      <c r="R667" s="94" t="str">
        <f>O667*N667*J667*K667</f>
      </c>
      <c r="S667" s="95" t="str">
        <f>R667-Q667</f>
      </c>
      <c r="T667" s="96" t="str">
        <f>1/(1+'Calculation_Assumptions'!$B$8)^(B667-'Calculation_Assumptions'!$B$2)</f>
      </c>
      <c r="U667" s="97" t="str">
        <f>Q667*T667</f>
      </c>
      <c r="V667" s="98" t="str">
        <f>R667*T667</f>
      </c>
      <c r="W667" s="99" t="str">
        <f>S667*T667</f>
      </c>
      <c r="X667" t="n">
        <v>0</v>
      </c>
      <c r="Y667" s="100" t="n">
        <v>2017</v>
      </c>
      <c r="Z667" t="s">
        <v>389</v>
      </c>
      <c r="AA667" s="101" t="str">
        <f>IF(G667="shared-count-once",COUNTIFS($A$2:$A$807,A667,$B$2:$B$807,B667,$D$2:$D$807,D667),1)</f>
      </c>
    </row>
    <row r="668">
      <c r="A668" t="s">
        <v>76</v>
      </c>
      <c r="B668" s="79" t="n">
        <v>2041</v>
      </c>
      <c r="C668" t="s">
        <v>233</v>
      </c>
      <c r="D668" s="80" t="s">
        <v>403</v>
      </c>
      <c r="E668" s="81" t="s">
        <v>404</v>
      </c>
      <c r="F668" s="82" t="s">
        <v>239</v>
      </c>
      <c r="G668" s="83" t="s">
        <v>384</v>
      </c>
      <c r="H668" s="84" t="s">
        <v>386</v>
      </c>
      <c r="I668" s="85" t="n">
        <v>1</v>
      </c>
      <c r="J668" s="86" t="n">
        <v>1</v>
      </c>
      <c r="K668" s="87" t="n">
        <v>0.004</v>
      </c>
      <c r="L668" s="88" t="n">
        <v>315762299.651562</v>
      </c>
      <c r="M668" s="89" t="n">
        <v>315352079.812423</v>
      </c>
      <c r="N668" s="90" t="str">
        <f>MIN(MAX((B668-'Calculation_Assumptions'!$B$5+1)/'Calculation_Assumptions'!$B$7,0),1)</f>
      </c>
      <c r="O668" s="91" t="str">
        <f>L668*I668</f>
      </c>
      <c r="P668" s="92" t="str">
        <f>M668*I668</f>
      </c>
      <c r="Q668" s="93" t="str">
        <f>P668*'Calculation_Assumptions'!$B$14*J668*K668</f>
      </c>
      <c r="R668" s="94" t="str">
        <f>O668*N668*J668*K668</f>
      </c>
      <c r="S668" s="95" t="str">
        <f>R668-Q668</f>
      </c>
      <c r="T668" s="96" t="str">
        <f>1/(1+'Calculation_Assumptions'!$B$8)^(B668-'Calculation_Assumptions'!$B$2)</f>
      </c>
      <c r="U668" s="97" t="str">
        <f>Q668*T668</f>
      </c>
      <c r="V668" s="98" t="str">
        <f>R668*T668</f>
      </c>
      <c r="W668" s="99" t="str">
        <f>S668*T668</f>
      </c>
      <c r="X668" t="n">
        <v>0</v>
      </c>
      <c r="Y668" s="100" t="n">
        <v>2017</v>
      </c>
      <c r="Z668" t="s">
        <v>389</v>
      </c>
      <c r="AA668" s="101" t="str">
        <f>IF(G668="shared-count-once",COUNTIFS($A$2:$A$807,A668,$B$2:$B$807,B668,$D$2:$D$807,D668),1)</f>
      </c>
    </row>
    <row r="669">
      <c r="A669" t="s">
        <v>76</v>
      </c>
      <c r="B669" s="79" t="n">
        <v>2042</v>
      </c>
      <c r="C669" t="s">
        <v>233</v>
      </c>
      <c r="D669" s="80" t="s">
        <v>403</v>
      </c>
      <c r="E669" s="81" t="s">
        <v>404</v>
      </c>
      <c r="F669" s="82" t="s">
        <v>239</v>
      </c>
      <c r="G669" s="83" t="s">
        <v>384</v>
      </c>
      <c r="H669" s="84" t="s">
        <v>386</v>
      </c>
      <c r="I669" s="85" t="n">
        <v>1</v>
      </c>
      <c r="J669" s="86" t="n">
        <v>1</v>
      </c>
      <c r="K669" s="87" t="n">
        <v>0.004</v>
      </c>
      <c r="L669" s="88" t="n">
        <v>317010735.77488</v>
      </c>
      <c r="M669" s="89" t="n">
        <v>316395286.312016</v>
      </c>
      <c r="N669" s="90" t="str">
        <f>MIN(MAX((B669-'Calculation_Assumptions'!$B$5+1)/'Calculation_Assumptions'!$B$7,0),1)</f>
      </c>
      <c r="O669" s="91" t="str">
        <f>L669*I669</f>
      </c>
      <c r="P669" s="92" t="str">
        <f>M669*I669</f>
      </c>
      <c r="Q669" s="93" t="str">
        <f>P669*'Calculation_Assumptions'!$B$14*J669*K669</f>
      </c>
      <c r="R669" s="94" t="str">
        <f>O669*N669*J669*K669</f>
      </c>
      <c r="S669" s="95" t="str">
        <f>R669-Q669</f>
      </c>
      <c r="T669" s="96" t="str">
        <f>1/(1+'Calculation_Assumptions'!$B$8)^(B669-'Calculation_Assumptions'!$B$2)</f>
      </c>
      <c r="U669" s="97" t="str">
        <f>Q669*T669</f>
      </c>
      <c r="V669" s="98" t="str">
        <f>R669*T669</f>
      </c>
      <c r="W669" s="99" t="str">
        <f>S669*T669</f>
      </c>
      <c r="X669" t="n">
        <v>0</v>
      </c>
      <c r="Y669" s="100" t="n">
        <v>2017</v>
      </c>
      <c r="Z669" t="s">
        <v>389</v>
      </c>
      <c r="AA669" s="101" t="str">
        <f>IF(G669="shared-count-once",COUNTIFS($A$2:$A$807,A669,$B$2:$B$807,B669,$D$2:$D$807,D669),1)</f>
      </c>
    </row>
    <row r="670">
      <c r="A670" t="s">
        <v>76</v>
      </c>
      <c r="B670" s="79" t="n">
        <v>2043</v>
      </c>
      <c r="C670" t="s">
        <v>233</v>
      </c>
      <c r="D670" s="80" t="s">
        <v>403</v>
      </c>
      <c r="E670" s="81" t="s">
        <v>404</v>
      </c>
      <c r="F670" s="82" t="s">
        <v>239</v>
      </c>
      <c r="G670" s="83" t="s">
        <v>384</v>
      </c>
      <c r="H670" s="84" t="s">
        <v>386</v>
      </c>
      <c r="I670" s="85" t="n">
        <v>1</v>
      </c>
      <c r="J670" s="86" t="n">
        <v>1</v>
      </c>
      <c r="K670" s="87" t="n">
        <v>0.004</v>
      </c>
      <c r="L670" s="88" t="n">
        <v>318158750.005661</v>
      </c>
      <c r="M670" s="89" t="n">
        <v>317619735.688289</v>
      </c>
      <c r="N670" s="90" t="str">
        <f>MIN(MAX((B670-'Calculation_Assumptions'!$B$5+1)/'Calculation_Assumptions'!$B$7,0),1)</f>
      </c>
      <c r="O670" s="91" t="str">
        <f>L670*I670</f>
      </c>
      <c r="P670" s="92" t="str">
        <f>M670*I670</f>
      </c>
      <c r="Q670" s="93" t="str">
        <f>P670*'Calculation_Assumptions'!$B$14*J670*K670</f>
      </c>
      <c r="R670" s="94" t="str">
        <f>O670*N670*J670*K670</f>
      </c>
      <c r="S670" s="95" t="str">
        <f>R670-Q670</f>
      </c>
      <c r="T670" s="96" t="str">
        <f>1/(1+'Calculation_Assumptions'!$B$8)^(B670-'Calculation_Assumptions'!$B$2)</f>
      </c>
      <c r="U670" s="97" t="str">
        <f>Q670*T670</f>
      </c>
      <c r="V670" s="98" t="str">
        <f>R670*T670</f>
      </c>
      <c r="W670" s="99" t="str">
        <f>S670*T670</f>
      </c>
      <c r="X670" t="n">
        <v>0</v>
      </c>
      <c r="Y670" s="100" t="n">
        <v>2017</v>
      </c>
      <c r="Z670" t="s">
        <v>389</v>
      </c>
      <c r="AA670" s="101" t="str">
        <f>IF(G670="shared-count-once",COUNTIFS($A$2:$A$807,A670,$B$2:$B$807,B670,$D$2:$D$807,D670),1)</f>
      </c>
    </row>
    <row r="671">
      <c r="A671" t="s">
        <v>76</v>
      </c>
      <c r="B671" s="79" t="n">
        <v>2044</v>
      </c>
      <c r="C671" t="s">
        <v>233</v>
      </c>
      <c r="D671" s="80" t="s">
        <v>403</v>
      </c>
      <c r="E671" s="81" t="s">
        <v>404</v>
      </c>
      <c r="F671" s="82" t="s">
        <v>239</v>
      </c>
      <c r="G671" s="83" t="s">
        <v>384</v>
      </c>
      <c r="H671" s="84" t="s">
        <v>386</v>
      </c>
      <c r="I671" s="85" t="n">
        <v>1</v>
      </c>
      <c r="J671" s="86" t="n">
        <v>1</v>
      </c>
      <c r="K671" s="87" t="n">
        <v>0.004</v>
      </c>
      <c r="L671" s="88" t="n">
        <v>319305078.475065</v>
      </c>
      <c r="M671" s="89" t="n">
        <v>318697135.863652</v>
      </c>
      <c r="N671" s="90" t="str">
        <f>MIN(MAX((B671-'Calculation_Assumptions'!$B$5+1)/'Calculation_Assumptions'!$B$7,0),1)</f>
      </c>
      <c r="O671" s="91" t="str">
        <f>L671*I671</f>
      </c>
      <c r="P671" s="92" t="str">
        <f>M671*I671</f>
      </c>
      <c r="Q671" s="93" t="str">
        <f>P671*'Calculation_Assumptions'!$B$14*J671*K671</f>
      </c>
      <c r="R671" s="94" t="str">
        <f>O671*N671*J671*K671</f>
      </c>
      <c r="S671" s="95" t="str">
        <f>R671-Q671</f>
      </c>
      <c r="T671" s="96" t="str">
        <f>1/(1+'Calculation_Assumptions'!$B$8)^(B671-'Calculation_Assumptions'!$B$2)</f>
      </c>
      <c r="U671" s="97" t="str">
        <f>Q671*T671</f>
      </c>
      <c r="V671" s="98" t="str">
        <f>R671*T671</f>
      </c>
      <c r="W671" s="99" t="str">
        <f>S671*T671</f>
      </c>
      <c r="X671" t="n">
        <v>0</v>
      </c>
      <c r="Y671" s="100" t="n">
        <v>2017</v>
      </c>
      <c r="Z671" t="s">
        <v>389</v>
      </c>
      <c r="AA671" s="101" t="str">
        <f>IF(G671="shared-count-once",COUNTIFS($A$2:$A$807,A671,$B$2:$B$807,B671,$D$2:$D$807,D671),1)</f>
      </c>
    </row>
    <row r="672">
      <c r="A672" t="s">
        <v>76</v>
      </c>
      <c r="B672" s="79" t="n">
        <v>2045</v>
      </c>
      <c r="C672" t="s">
        <v>233</v>
      </c>
      <c r="D672" s="80" t="s">
        <v>403</v>
      </c>
      <c r="E672" s="81" t="s">
        <v>404</v>
      </c>
      <c r="F672" s="82" t="s">
        <v>239</v>
      </c>
      <c r="G672" s="83" t="s">
        <v>384</v>
      </c>
      <c r="H672" s="84" t="s">
        <v>386</v>
      </c>
      <c r="I672" s="85" t="n">
        <v>1</v>
      </c>
      <c r="J672" s="86" t="n">
        <v>1</v>
      </c>
      <c r="K672" s="87" t="n">
        <v>0.004</v>
      </c>
      <c r="L672" s="88" t="n">
        <v>320395460.874147</v>
      </c>
      <c r="M672" s="89" t="n">
        <v>319717840.85179</v>
      </c>
      <c r="N672" s="90" t="str">
        <f>MIN(MAX((B672-'Calculation_Assumptions'!$B$5+1)/'Calculation_Assumptions'!$B$7,0),1)</f>
      </c>
      <c r="O672" s="91" t="str">
        <f>L672*I672</f>
      </c>
      <c r="P672" s="92" t="str">
        <f>M672*I672</f>
      </c>
      <c r="Q672" s="93" t="str">
        <f>P672*'Calculation_Assumptions'!$B$14*J672*K672</f>
      </c>
      <c r="R672" s="94" t="str">
        <f>O672*N672*J672*K672</f>
      </c>
      <c r="S672" s="95" t="str">
        <f>R672-Q672</f>
      </c>
      <c r="T672" s="96" t="str">
        <f>1/(1+'Calculation_Assumptions'!$B$8)^(B672-'Calculation_Assumptions'!$B$2)</f>
      </c>
      <c r="U672" s="97" t="str">
        <f>Q672*T672</f>
      </c>
      <c r="V672" s="98" t="str">
        <f>R672*T672</f>
      </c>
      <c r="W672" s="99" t="str">
        <f>S672*T672</f>
      </c>
      <c r="X672" t="n">
        <v>0</v>
      </c>
      <c r="Y672" s="100" t="n">
        <v>2017</v>
      </c>
      <c r="Z672" t="s">
        <v>389</v>
      </c>
      <c r="AA672" s="101" t="str">
        <f>IF(G672="shared-count-once",COUNTIFS($A$2:$A$807,A672,$B$2:$B$807,B672,$D$2:$D$807,D672),1)</f>
      </c>
    </row>
    <row r="673">
      <c r="A673" t="s">
        <v>76</v>
      </c>
      <c r="B673" s="79" t="n">
        <v>2046</v>
      </c>
      <c r="C673" t="s">
        <v>233</v>
      </c>
      <c r="D673" s="80" t="s">
        <v>403</v>
      </c>
      <c r="E673" s="81" t="s">
        <v>404</v>
      </c>
      <c r="F673" s="82" t="s">
        <v>239</v>
      </c>
      <c r="G673" s="83" t="s">
        <v>384</v>
      </c>
      <c r="H673" s="84" t="s">
        <v>386</v>
      </c>
      <c r="I673" s="85" t="n">
        <v>1</v>
      </c>
      <c r="J673" s="86" t="n">
        <v>1</v>
      </c>
      <c r="K673" s="87" t="n">
        <v>0.004</v>
      </c>
      <c r="L673" s="88" t="n">
        <v>321430558.971018</v>
      </c>
      <c r="M673" s="89" t="n">
        <v>320683879.806276</v>
      </c>
      <c r="N673" s="90" t="str">
        <f>MIN(MAX((B673-'Calculation_Assumptions'!$B$5+1)/'Calculation_Assumptions'!$B$7,0),1)</f>
      </c>
      <c r="O673" s="91" t="str">
        <f>L673*I673</f>
      </c>
      <c r="P673" s="92" t="str">
        <f>M673*I673</f>
      </c>
      <c r="Q673" s="93" t="str">
        <f>P673*'Calculation_Assumptions'!$B$14*J673*K673</f>
      </c>
      <c r="R673" s="94" t="str">
        <f>O673*N673*J673*K673</f>
      </c>
      <c r="S673" s="95" t="str">
        <f>R673-Q673</f>
      </c>
      <c r="T673" s="96" t="str">
        <f>1/(1+'Calculation_Assumptions'!$B$8)^(B673-'Calculation_Assumptions'!$B$2)</f>
      </c>
      <c r="U673" s="97" t="str">
        <f>Q673*T673</f>
      </c>
      <c r="V673" s="98" t="str">
        <f>R673*T673</f>
      </c>
      <c r="W673" s="99" t="str">
        <f>S673*T673</f>
      </c>
      <c r="X673" t="n">
        <v>0</v>
      </c>
      <c r="Y673" s="100" t="n">
        <v>2017</v>
      </c>
      <c r="Z673" t="s">
        <v>389</v>
      </c>
      <c r="AA673" s="101" t="str">
        <f>IF(G673="shared-count-once",COUNTIFS($A$2:$A$807,A673,$B$2:$B$807,B673,$D$2:$D$807,D673),1)</f>
      </c>
    </row>
    <row r="674">
      <c r="A674" t="s">
        <v>76</v>
      </c>
      <c r="B674" s="79" t="n">
        <v>2047</v>
      </c>
      <c r="C674" t="s">
        <v>233</v>
      </c>
      <c r="D674" s="80" t="s">
        <v>403</v>
      </c>
      <c r="E674" s="81" t="s">
        <v>404</v>
      </c>
      <c r="F674" s="82" t="s">
        <v>239</v>
      </c>
      <c r="G674" s="83" t="s">
        <v>384</v>
      </c>
      <c r="H674" s="84" t="s">
        <v>386</v>
      </c>
      <c r="I674" s="85" t="n">
        <v>1</v>
      </c>
      <c r="J674" s="86" t="n">
        <v>1</v>
      </c>
      <c r="K674" s="87" t="n">
        <v>0.004</v>
      </c>
      <c r="L674" s="88" t="n">
        <v>322411096.713551</v>
      </c>
      <c r="M674" s="89" t="n">
        <v>321595541.389526</v>
      </c>
      <c r="N674" s="90" t="str">
        <f>MIN(MAX((B674-'Calculation_Assumptions'!$B$5+1)/'Calculation_Assumptions'!$B$7,0),1)</f>
      </c>
      <c r="O674" s="91" t="str">
        <f>L674*I674</f>
      </c>
      <c r="P674" s="92" t="str">
        <f>M674*I674</f>
      </c>
      <c r="Q674" s="93" t="str">
        <f>P674*'Calculation_Assumptions'!$B$14*J674*K674</f>
      </c>
      <c r="R674" s="94" t="str">
        <f>O674*N674*J674*K674</f>
      </c>
      <c r="S674" s="95" t="str">
        <f>R674-Q674</f>
      </c>
      <c r="T674" s="96" t="str">
        <f>1/(1+'Calculation_Assumptions'!$B$8)^(B674-'Calculation_Assumptions'!$B$2)</f>
      </c>
      <c r="U674" s="97" t="str">
        <f>Q674*T674</f>
      </c>
      <c r="V674" s="98" t="str">
        <f>R674*T674</f>
      </c>
      <c r="W674" s="99" t="str">
        <f>S674*T674</f>
      </c>
      <c r="X674" t="n">
        <v>0</v>
      </c>
      <c r="Y674" s="100" t="n">
        <v>2017</v>
      </c>
      <c r="Z674" t="s">
        <v>389</v>
      </c>
      <c r="AA674" s="101" t="str">
        <f>IF(G674="shared-count-once",COUNTIFS($A$2:$A$807,A674,$B$2:$B$807,B674,$D$2:$D$807,D674),1)</f>
      </c>
    </row>
    <row r="675">
      <c r="A675" t="s">
        <v>76</v>
      </c>
      <c r="B675" s="79" t="n">
        <v>2048</v>
      </c>
      <c r="C675" t="s">
        <v>233</v>
      </c>
      <c r="D675" s="80" t="s">
        <v>403</v>
      </c>
      <c r="E675" s="81" t="s">
        <v>404</v>
      </c>
      <c r="F675" s="82" t="s">
        <v>239</v>
      </c>
      <c r="G675" s="83" t="s">
        <v>384</v>
      </c>
      <c r="H675" s="84" t="s">
        <v>386</v>
      </c>
      <c r="I675" s="85" t="n">
        <v>1</v>
      </c>
      <c r="J675" s="86" t="n">
        <v>1</v>
      </c>
      <c r="K675" s="87" t="n">
        <v>0.004</v>
      </c>
      <c r="L675" s="88" t="n">
        <v>323337875.603966</v>
      </c>
      <c r="M675" s="89" t="n">
        <v>322453622.669464</v>
      </c>
      <c r="N675" s="90" t="str">
        <f>MIN(MAX((B675-'Calculation_Assumptions'!$B$5+1)/'Calculation_Assumptions'!$B$7,0),1)</f>
      </c>
      <c r="O675" s="91" t="str">
        <f>L675*I675</f>
      </c>
      <c r="P675" s="92" t="str">
        <f>M675*I675</f>
      </c>
      <c r="Q675" s="93" t="str">
        <f>P675*'Calculation_Assumptions'!$B$14*J675*K675</f>
      </c>
      <c r="R675" s="94" t="str">
        <f>O675*N675*J675*K675</f>
      </c>
      <c r="S675" s="95" t="str">
        <f>R675-Q675</f>
      </c>
      <c r="T675" s="96" t="str">
        <f>1/(1+'Calculation_Assumptions'!$B$8)^(B675-'Calculation_Assumptions'!$B$2)</f>
      </c>
      <c r="U675" s="97" t="str">
        <f>Q675*T675</f>
      </c>
      <c r="V675" s="98" t="str">
        <f>R675*T675</f>
      </c>
      <c r="W675" s="99" t="str">
        <f>S675*T675</f>
      </c>
      <c r="X675" t="n">
        <v>0</v>
      </c>
      <c r="Y675" s="100" t="n">
        <v>2017</v>
      </c>
      <c r="Z675" t="s">
        <v>389</v>
      </c>
      <c r="AA675" s="101" t="str">
        <f>IF(G675="shared-count-once",COUNTIFS($A$2:$A$807,A675,$B$2:$B$807,B675,$D$2:$D$807,D675),1)</f>
      </c>
    </row>
    <row r="676">
      <c r="A676" t="s">
        <v>76</v>
      </c>
      <c r="B676" s="79" t="n">
        <v>2049</v>
      </c>
      <c r="C676" t="s">
        <v>233</v>
      </c>
      <c r="D676" s="80" t="s">
        <v>403</v>
      </c>
      <c r="E676" s="81" t="s">
        <v>404</v>
      </c>
      <c r="F676" s="82" t="s">
        <v>239</v>
      </c>
      <c r="G676" s="83" t="s">
        <v>384</v>
      </c>
      <c r="H676" s="84" t="s">
        <v>386</v>
      </c>
      <c r="I676" s="85" t="n">
        <v>1</v>
      </c>
      <c r="J676" s="86" t="n">
        <v>1</v>
      </c>
      <c r="K676" s="87" t="n">
        <v>0.004</v>
      </c>
      <c r="L676" s="88" t="n">
        <v>324211859.675226</v>
      </c>
      <c r="M676" s="89" t="n">
        <v>323259246.716719</v>
      </c>
      <c r="N676" s="90" t="str">
        <f>MIN(MAX((B676-'Calculation_Assumptions'!$B$5+1)/'Calculation_Assumptions'!$B$7,0),1)</f>
      </c>
      <c r="O676" s="91" t="str">
        <f>L676*I676</f>
      </c>
      <c r="P676" s="92" t="str">
        <f>M676*I676</f>
      </c>
      <c r="Q676" s="93" t="str">
        <f>P676*'Calculation_Assumptions'!$B$14*J676*K676</f>
      </c>
      <c r="R676" s="94" t="str">
        <f>O676*N676*J676*K676</f>
      </c>
      <c r="S676" s="95" t="str">
        <f>R676-Q676</f>
      </c>
      <c r="T676" s="96" t="str">
        <f>1/(1+'Calculation_Assumptions'!$B$8)^(B676-'Calculation_Assumptions'!$B$2)</f>
      </c>
      <c r="U676" s="97" t="str">
        <f>Q676*T676</f>
      </c>
      <c r="V676" s="98" t="str">
        <f>R676*T676</f>
      </c>
      <c r="W676" s="99" t="str">
        <f>S676*T676</f>
      </c>
      <c r="X676" t="n">
        <v>0</v>
      </c>
      <c r="Y676" s="100" t="n">
        <v>2017</v>
      </c>
      <c r="Z676" t="s">
        <v>389</v>
      </c>
      <c r="AA676" s="101" t="str">
        <f>IF(G676="shared-count-once",COUNTIFS($A$2:$A$807,A676,$B$2:$B$807,B676,$D$2:$D$807,D676),1)</f>
      </c>
    </row>
    <row r="677">
      <c r="A677" t="s">
        <v>76</v>
      </c>
      <c r="B677" s="79" t="n">
        <v>2050</v>
      </c>
      <c r="C677" t="s">
        <v>233</v>
      </c>
      <c r="D677" s="80" t="s">
        <v>403</v>
      </c>
      <c r="E677" s="81" t="s">
        <v>404</v>
      </c>
      <c r="F677" s="82" t="s">
        <v>239</v>
      </c>
      <c r="G677" s="83" t="s">
        <v>384</v>
      </c>
      <c r="H677" s="84" t="s">
        <v>386</v>
      </c>
      <c r="I677" s="85" t="n">
        <v>1</v>
      </c>
      <c r="J677" s="86" t="n">
        <v>1</v>
      </c>
      <c r="K677" s="87" t="n">
        <v>0.004</v>
      </c>
      <c r="L677" s="88" t="n">
        <v>325034214.935484</v>
      </c>
      <c r="M677" s="89" t="n">
        <v>324013738.182479</v>
      </c>
      <c r="N677" s="90" t="str">
        <f>MIN(MAX((B677-'Calculation_Assumptions'!$B$5+1)/'Calculation_Assumptions'!$B$7,0),1)</f>
      </c>
      <c r="O677" s="91" t="str">
        <f>L677*I677</f>
      </c>
      <c r="P677" s="92" t="str">
        <f>M677*I677</f>
      </c>
      <c r="Q677" s="93" t="str">
        <f>P677*'Calculation_Assumptions'!$B$14*J677*K677</f>
      </c>
      <c r="R677" s="94" t="str">
        <f>O677*N677*J677*K677</f>
      </c>
      <c r="S677" s="95" t="str">
        <f>R677-Q677</f>
      </c>
      <c r="T677" s="96" t="str">
        <f>1/(1+'Calculation_Assumptions'!$B$8)^(B677-'Calculation_Assumptions'!$B$2)</f>
      </c>
      <c r="U677" s="97" t="str">
        <f>Q677*T677</f>
      </c>
      <c r="V677" s="98" t="str">
        <f>R677*T677</f>
      </c>
      <c r="W677" s="99" t="str">
        <f>S677*T677</f>
      </c>
      <c r="X677" t="n">
        <v>0</v>
      </c>
      <c r="Y677" s="100" t="n">
        <v>2017</v>
      </c>
      <c r="Z677" t="s">
        <v>389</v>
      </c>
      <c r="AA677" s="101" t="str">
        <f>IF(G677="shared-count-once",COUNTIFS($A$2:$A$807,A677,$B$2:$B$807,B677,$D$2:$D$807,D677),1)</f>
      </c>
    </row>
    <row r="678">
      <c r="A678" t="s">
        <v>76</v>
      </c>
      <c r="B678" s="79" t="n">
        <v>2025</v>
      </c>
      <c r="C678" t="s">
        <v>244</v>
      </c>
      <c r="D678" s="80" t="s">
        <v>405</v>
      </c>
      <c r="E678" s="81" t="s">
        <v>406</v>
      </c>
      <c r="F678" s="82" t="s">
        <v>248</v>
      </c>
      <c r="G678" s="83" t="s">
        <v>384</v>
      </c>
      <c r="H678" s="84" t="s">
        <v>386</v>
      </c>
      <c r="I678" s="85" t="n">
        <v>1</v>
      </c>
      <c r="J678" s="86" t="n">
        <v>1</v>
      </c>
      <c r="K678" s="87" t="n">
        <v>0.0087</v>
      </c>
      <c r="L678" s="88" t="n">
        <v>288000821.106462</v>
      </c>
      <c r="M678" s="89" t="n">
        <v>288000821.106462</v>
      </c>
      <c r="N678" s="90" t="str">
        <f>MIN(MAX((B678-'Calculation_Assumptions'!$B$5+1)/'Calculation_Assumptions'!$B$7,0),1)</f>
      </c>
      <c r="O678" s="91" t="str">
        <f>L678*I678</f>
      </c>
      <c r="P678" s="92" t="str">
        <f>M678*I678</f>
      </c>
      <c r="Q678" s="93" t="str">
        <f>P678*'Calculation_Assumptions'!$B$14*J678*K678</f>
      </c>
      <c r="R678" s="94" t="str">
        <f>O678*N678*J678*K678</f>
      </c>
      <c r="S678" s="95" t="str">
        <f>R678-Q678</f>
      </c>
      <c r="T678" s="96" t="str">
        <f>1/(1+'Calculation_Assumptions'!$B$8)^(B678-'Calculation_Assumptions'!$B$2)</f>
      </c>
      <c r="U678" s="97" t="str">
        <f>Q678*T678</f>
      </c>
      <c r="V678" s="98" t="str">
        <f>R678*T678</f>
      </c>
      <c r="W678" s="99" t="str">
        <f>S678*T678</f>
      </c>
      <c r="X678" t="n">
        <v>0</v>
      </c>
      <c r="Y678" s="100" t="n">
        <v>2017</v>
      </c>
      <c r="Z678" t="s">
        <v>389</v>
      </c>
      <c r="AA678" s="101" t="str">
        <f>IF(G678="shared-count-once",COUNTIFS($A$2:$A$807,A678,$B$2:$B$807,B678,$D$2:$D$807,D678),1)</f>
      </c>
    </row>
    <row r="679">
      <c r="A679" t="s">
        <v>76</v>
      </c>
      <c r="B679" s="79" t="n">
        <v>2026</v>
      </c>
      <c r="C679" t="s">
        <v>244</v>
      </c>
      <c r="D679" s="80" t="s">
        <v>405</v>
      </c>
      <c r="E679" s="81" t="s">
        <v>406</v>
      </c>
      <c r="F679" s="82" t="s">
        <v>248</v>
      </c>
      <c r="G679" s="83" t="s">
        <v>384</v>
      </c>
      <c r="H679" s="84" t="s">
        <v>386</v>
      </c>
      <c r="I679" s="85" t="n">
        <v>1</v>
      </c>
      <c r="J679" s="86" t="n">
        <v>1</v>
      </c>
      <c r="K679" s="87" t="n">
        <v>0.0087</v>
      </c>
      <c r="L679" s="88" t="n">
        <v>290123496.103219</v>
      </c>
      <c r="M679" s="89" t="n">
        <v>290123496.103219</v>
      </c>
      <c r="N679" s="90" t="str">
        <f>MIN(MAX((B679-'Calculation_Assumptions'!$B$5+1)/'Calculation_Assumptions'!$B$7,0),1)</f>
      </c>
      <c r="O679" s="91" t="str">
        <f>L679*I679</f>
      </c>
      <c r="P679" s="92" t="str">
        <f>M679*I679</f>
      </c>
      <c r="Q679" s="93" t="str">
        <f>P679*'Calculation_Assumptions'!$B$14*J679*K679</f>
      </c>
      <c r="R679" s="94" t="str">
        <f>O679*N679*J679*K679</f>
      </c>
      <c r="S679" s="95" t="str">
        <f>R679-Q679</f>
      </c>
      <c r="T679" s="96" t="str">
        <f>1/(1+'Calculation_Assumptions'!$B$8)^(B679-'Calculation_Assumptions'!$B$2)</f>
      </c>
      <c r="U679" s="97" t="str">
        <f>Q679*T679</f>
      </c>
      <c r="V679" s="98" t="str">
        <f>R679*T679</f>
      </c>
      <c r="W679" s="99" t="str">
        <f>S679*T679</f>
      </c>
      <c r="X679" t="n">
        <v>0</v>
      </c>
      <c r="Y679" s="100" t="n">
        <v>2017</v>
      </c>
      <c r="Z679" t="s">
        <v>389</v>
      </c>
      <c r="AA679" s="101" t="str">
        <f>IF(G679="shared-count-once",COUNTIFS($A$2:$A$807,A679,$B$2:$B$807,B679,$D$2:$D$807,D679),1)</f>
      </c>
    </row>
    <row r="680">
      <c r="A680" t="s">
        <v>76</v>
      </c>
      <c r="B680" s="79" t="n">
        <v>2027</v>
      </c>
      <c r="C680" t="s">
        <v>244</v>
      </c>
      <c r="D680" s="80" t="s">
        <v>405</v>
      </c>
      <c r="E680" s="81" t="s">
        <v>406</v>
      </c>
      <c r="F680" s="82" t="s">
        <v>248</v>
      </c>
      <c r="G680" s="83" t="s">
        <v>384</v>
      </c>
      <c r="H680" s="84" t="s">
        <v>386</v>
      </c>
      <c r="I680" s="85" t="n">
        <v>1</v>
      </c>
      <c r="J680" s="86" t="n">
        <v>1</v>
      </c>
      <c r="K680" s="87" t="n">
        <v>0.0087</v>
      </c>
      <c r="L680" s="88" t="n">
        <v>292252895.096956</v>
      </c>
      <c r="M680" s="89" t="n">
        <v>292252895.096956</v>
      </c>
      <c r="N680" s="90" t="str">
        <f>MIN(MAX((B680-'Calculation_Assumptions'!$B$5+1)/'Calculation_Assumptions'!$B$7,0),1)</f>
      </c>
      <c r="O680" s="91" t="str">
        <f>L680*I680</f>
      </c>
      <c r="P680" s="92" t="str">
        <f>M680*I680</f>
      </c>
      <c r="Q680" s="93" t="str">
        <f>P680*'Calculation_Assumptions'!$B$14*J680*K680</f>
      </c>
      <c r="R680" s="94" t="str">
        <f>O680*N680*J680*K680</f>
      </c>
      <c r="S680" s="95" t="str">
        <f>R680-Q680</f>
      </c>
      <c r="T680" s="96" t="str">
        <f>1/(1+'Calculation_Assumptions'!$B$8)^(B680-'Calculation_Assumptions'!$B$2)</f>
      </c>
      <c r="U680" s="97" t="str">
        <f>Q680*T680</f>
      </c>
      <c r="V680" s="98" t="str">
        <f>R680*T680</f>
      </c>
      <c r="W680" s="99" t="str">
        <f>S680*T680</f>
      </c>
      <c r="X680" t="n">
        <v>0</v>
      </c>
      <c r="Y680" s="100" t="n">
        <v>2017</v>
      </c>
      <c r="Z680" t="s">
        <v>389</v>
      </c>
      <c r="AA680" s="101" t="str">
        <f>IF(G680="shared-count-once",COUNTIFS($A$2:$A$807,A680,$B$2:$B$807,B680,$D$2:$D$807,D680),1)</f>
      </c>
    </row>
    <row r="681">
      <c r="A681" t="s">
        <v>76</v>
      </c>
      <c r="B681" s="79" t="n">
        <v>2028</v>
      </c>
      <c r="C681" t="s">
        <v>244</v>
      </c>
      <c r="D681" s="80" t="s">
        <v>405</v>
      </c>
      <c r="E681" s="81" t="s">
        <v>406</v>
      </c>
      <c r="F681" s="82" t="s">
        <v>248</v>
      </c>
      <c r="G681" s="83" t="s">
        <v>384</v>
      </c>
      <c r="H681" s="84" t="s">
        <v>386</v>
      </c>
      <c r="I681" s="85" t="n">
        <v>1</v>
      </c>
      <c r="J681" s="86" t="n">
        <v>1</v>
      </c>
      <c r="K681" s="87" t="n">
        <v>0.0087</v>
      </c>
      <c r="L681" s="88" t="n">
        <v>294317373.248038</v>
      </c>
      <c r="M681" s="89" t="n">
        <v>294314895.305465</v>
      </c>
      <c r="N681" s="90" t="str">
        <f>MIN(MAX((B681-'Calculation_Assumptions'!$B$5+1)/'Calculation_Assumptions'!$B$7,0),1)</f>
      </c>
      <c r="O681" s="91" t="str">
        <f>L681*I681</f>
      </c>
      <c r="P681" s="92" t="str">
        <f>M681*I681</f>
      </c>
      <c r="Q681" s="93" t="str">
        <f>P681*'Calculation_Assumptions'!$B$14*J681*K681</f>
      </c>
      <c r="R681" s="94" t="str">
        <f>O681*N681*J681*K681</f>
      </c>
      <c r="S681" s="95" t="str">
        <f>R681-Q681</f>
      </c>
      <c r="T681" s="96" t="str">
        <f>1/(1+'Calculation_Assumptions'!$B$8)^(B681-'Calculation_Assumptions'!$B$2)</f>
      </c>
      <c r="U681" s="97" t="str">
        <f>Q681*T681</f>
      </c>
      <c r="V681" s="98" t="str">
        <f>R681*T681</f>
      </c>
      <c r="W681" s="99" t="str">
        <f>S681*T681</f>
      </c>
      <c r="X681" t="n">
        <v>0</v>
      </c>
      <c r="Y681" s="100" t="n">
        <v>2017</v>
      </c>
      <c r="Z681" t="s">
        <v>389</v>
      </c>
      <c r="AA681" s="101" t="str">
        <f>IF(G681="shared-count-once",COUNTIFS($A$2:$A$807,A681,$B$2:$B$807,B681,$D$2:$D$807,D681),1)</f>
      </c>
    </row>
    <row r="682">
      <c r="A682" t="s">
        <v>76</v>
      </c>
      <c r="B682" s="79" t="n">
        <v>2029</v>
      </c>
      <c r="C682" t="s">
        <v>244</v>
      </c>
      <c r="D682" s="80" t="s">
        <v>405</v>
      </c>
      <c r="E682" s="81" t="s">
        <v>406</v>
      </c>
      <c r="F682" s="82" t="s">
        <v>248</v>
      </c>
      <c r="G682" s="83" t="s">
        <v>384</v>
      </c>
      <c r="H682" s="84" t="s">
        <v>386</v>
      </c>
      <c r="I682" s="85" t="n">
        <v>1</v>
      </c>
      <c r="J682" s="86" t="n">
        <v>1</v>
      </c>
      <c r="K682" s="87" t="n">
        <v>0.0087</v>
      </c>
      <c r="L682" s="88" t="n">
        <v>296300392.819394</v>
      </c>
      <c r="M682" s="89" t="n">
        <v>296341062.542853</v>
      </c>
      <c r="N682" s="90" t="str">
        <f>MIN(MAX((B682-'Calculation_Assumptions'!$B$5+1)/'Calculation_Assumptions'!$B$7,0),1)</f>
      </c>
      <c r="O682" s="91" t="str">
        <f>L682*I682</f>
      </c>
      <c r="P682" s="92" t="str">
        <f>M682*I682</f>
      </c>
      <c r="Q682" s="93" t="str">
        <f>P682*'Calculation_Assumptions'!$B$14*J682*K682</f>
      </c>
      <c r="R682" s="94" t="str">
        <f>O682*N682*J682*K682</f>
      </c>
      <c r="S682" s="95" t="str">
        <f>R682-Q682</f>
      </c>
      <c r="T682" s="96" t="str">
        <f>1/(1+'Calculation_Assumptions'!$B$8)^(B682-'Calculation_Assumptions'!$B$2)</f>
      </c>
      <c r="U682" s="97" t="str">
        <f>Q682*T682</f>
      </c>
      <c r="V682" s="98" t="str">
        <f>R682*T682</f>
      </c>
      <c r="W682" s="99" t="str">
        <f>S682*T682</f>
      </c>
      <c r="X682" t="n">
        <v>0</v>
      </c>
      <c r="Y682" s="100" t="n">
        <v>2017</v>
      </c>
      <c r="Z682" t="s">
        <v>389</v>
      </c>
      <c r="AA682" s="101" t="str">
        <f>IF(G682="shared-count-once",COUNTIFS($A$2:$A$807,A682,$B$2:$B$807,B682,$D$2:$D$807,D682),1)</f>
      </c>
    </row>
    <row r="683">
      <c r="A683" t="s">
        <v>76</v>
      </c>
      <c r="B683" s="79" t="n">
        <v>2030</v>
      </c>
      <c r="C683" t="s">
        <v>244</v>
      </c>
      <c r="D683" s="80" t="s">
        <v>405</v>
      </c>
      <c r="E683" s="81" t="s">
        <v>406</v>
      </c>
      <c r="F683" s="82" t="s">
        <v>248</v>
      </c>
      <c r="G683" s="83" t="s">
        <v>384</v>
      </c>
      <c r="H683" s="84" t="s">
        <v>386</v>
      </c>
      <c r="I683" s="85" t="n">
        <v>1</v>
      </c>
      <c r="J683" s="86" t="n">
        <v>1</v>
      </c>
      <c r="K683" s="87" t="n">
        <v>0.0087</v>
      </c>
      <c r="L683" s="88" t="n">
        <v>298303185.826537</v>
      </c>
      <c r="M683" s="89" t="n">
        <v>298280286.057263</v>
      </c>
      <c r="N683" s="90" t="str">
        <f>MIN(MAX((B683-'Calculation_Assumptions'!$B$5+1)/'Calculation_Assumptions'!$B$7,0),1)</f>
      </c>
      <c r="O683" s="91" t="str">
        <f>L683*I683</f>
      </c>
      <c r="P683" s="92" t="str">
        <f>M683*I683</f>
      </c>
      <c r="Q683" s="93" t="str">
        <f>P683*'Calculation_Assumptions'!$B$14*J683*K683</f>
      </c>
      <c r="R683" s="94" t="str">
        <f>O683*N683*J683*K683</f>
      </c>
      <c r="S683" s="95" t="str">
        <f>R683-Q683</f>
      </c>
      <c r="T683" s="96" t="str">
        <f>1/(1+'Calculation_Assumptions'!$B$8)^(B683-'Calculation_Assumptions'!$B$2)</f>
      </c>
      <c r="U683" s="97" t="str">
        <f>Q683*T683</f>
      </c>
      <c r="V683" s="98" t="str">
        <f>R683*T683</f>
      </c>
      <c r="W683" s="99" t="str">
        <f>S683*T683</f>
      </c>
      <c r="X683" t="n">
        <v>0</v>
      </c>
      <c r="Y683" s="100" t="n">
        <v>2017</v>
      </c>
      <c r="Z683" t="s">
        <v>389</v>
      </c>
      <c r="AA683" s="101" t="str">
        <f>IF(G683="shared-count-once",COUNTIFS($A$2:$A$807,A683,$B$2:$B$807,B683,$D$2:$D$807,D683),1)</f>
      </c>
    </row>
    <row r="684">
      <c r="A684" t="s">
        <v>76</v>
      </c>
      <c r="B684" s="79" t="n">
        <v>2031</v>
      </c>
      <c r="C684" t="s">
        <v>244</v>
      </c>
      <c r="D684" s="80" t="s">
        <v>405</v>
      </c>
      <c r="E684" s="81" t="s">
        <v>406</v>
      </c>
      <c r="F684" s="82" t="s">
        <v>248</v>
      </c>
      <c r="G684" s="83" t="s">
        <v>384</v>
      </c>
      <c r="H684" s="84" t="s">
        <v>386</v>
      </c>
      <c r="I684" s="85" t="n">
        <v>1</v>
      </c>
      <c r="J684" s="86" t="n">
        <v>1</v>
      </c>
      <c r="K684" s="87" t="n">
        <v>0.0087</v>
      </c>
      <c r="L684" s="88" t="n">
        <v>300196273.385416</v>
      </c>
      <c r="M684" s="89" t="n">
        <v>300152603.254782</v>
      </c>
      <c r="N684" s="90" t="str">
        <f>MIN(MAX((B684-'Calculation_Assumptions'!$B$5+1)/'Calculation_Assumptions'!$B$7,0),1)</f>
      </c>
      <c r="O684" s="91" t="str">
        <f>L684*I684</f>
      </c>
      <c r="P684" s="92" t="str">
        <f>M684*I684</f>
      </c>
      <c r="Q684" s="93" t="str">
        <f>P684*'Calculation_Assumptions'!$B$14*J684*K684</f>
      </c>
      <c r="R684" s="94" t="str">
        <f>O684*N684*J684*K684</f>
      </c>
      <c r="S684" s="95" t="str">
        <f>R684-Q684</f>
      </c>
      <c r="T684" s="96" t="str">
        <f>1/(1+'Calculation_Assumptions'!$B$8)^(B684-'Calculation_Assumptions'!$B$2)</f>
      </c>
      <c r="U684" s="97" t="str">
        <f>Q684*T684</f>
      </c>
      <c r="V684" s="98" t="str">
        <f>R684*T684</f>
      </c>
      <c r="W684" s="99" t="str">
        <f>S684*T684</f>
      </c>
      <c r="X684" t="n">
        <v>0</v>
      </c>
      <c r="Y684" s="100" t="n">
        <v>2017</v>
      </c>
      <c r="Z684" t="s">
        <v>389</v>
      </c>
      <c r="AA684" s="101" t="str">
        <f>IF(G684="shared-count-once",COUNTIFS($A$2:$A$807,A684,$B$2:$B$807,B684,$D$2:$D$807,D684),1)</f>
      </c>
    </row>
    <row r="685">
      <c r="A685" t="s">
        <v>76</v>
      </c>
      <c r="B685" s="79" t="n">
        <v>2032</v>
      </c>
      <c r="C685" t="s">
        <v>244</v>
      </c>
      <c r="D685" s="80" t="s">
        <v>405</v>
      </c>
      <c r="E685" s="81" t="s">
        <v>406</v>
      </c>
      <c r="F685" s="82" t="s">
        <v>248</v>
      </c>
      <c r="G685" s="83" t="s">
        <v>384</v>
      </c>
      <c r="H685" s="84" t="s">
        <v>386</v>
      </c>
      <c r="I685" s="85" t="n">
        <v>1</v>
      </c>
      <c r="J685" s="86" t="n">
        <v>1</v>
      </c>
      <c r="K685" s="87" t="n">
        <v>0.0087</v>
      </c>
      <c r="L685" s="88" t="n">
        <v>301958259.790884</v>
      </c>
      <c r="M685" s="89" t="n">
        <v>301959399.633888</v>
      </c>
      <c r="N685" s="90" t="str">
        <f>MIN(MAX((B685-'Calculation_Assumptions'!$B$5+1)/'Calculation_Assumptions'!$B$7,0),1)</f>
      </c>
      <c r="O685" s="91" t="str">
        <f>L685*I685</f>
      </c>
      <c r="P685" s="92" t="str">
        <f>M685*I685</f>
      </c>
      <c r="Q685" s="93" t="str">
        <f>P685*'Calculation_Assumptions'!$B$14*J685*K685</f>
      </c>
      <c r="R685" s="94" t="str">
        <f>O685*N685*J685*K685</f>
      </c>
      <c r="S685" s="95" t="str">
        <f>R685-Q685</f>
      </c>
      <c r="T685" s="96" t="str">
        <f>1/(1+'Calculation_Assumptions'!$B$8)^(B685-'Calculation_Assumptions'!$B$2)</f>
      </c>
      <c r="U685" s="97" t="str">
        <f>Q685*T685</f>
      </c>
      <c r="V685" s="98" t="str">
        <f>R685*T685</f>
      </c>
      <c r="W685" s="99" t="str">
        <f>S685*T685</f>
      </c>
      <c r="X685" t="n">
        <v>0</v>
      </c>
      <c r="Y685" s="100" t="n">
        <v>2017</v>
      </c>
      <c r="Z685" t="s">
        <v>389</v>
      </c>
      <c r="AA685" s="101" t="str">
        <f>IF(G685="shared-count-once",COUNTIFS($A$2:$A$807,A685,$B$2:$B$807,B685,$D$2:$D$807,D685),1)</f>
      </c>
    </row>
    <row r="686">
      <c r="A686" t="s">
        <v>76</v>
      </c>
      <c r="B686" s="79" t="n">
        <v>2033</v>
      </c>
      <c r="C686" t="s">
        <v>244</v>
      </c>
      <c r="D686" s="80" t="s">
        <v>405</v>
      </c>
      <c r="E686" s="81" t="s">
        <v>406</v>
      </c>
      <c r="F686" s="82" t="s">
        <v>248</v>
      </c>
      <c r="G686" s="83" t="s">
        <v>384</v>
      </c>
      <c r="H686" s="84" t="s">
        <v>386</v>
      </c>
      <c r="I686" s="85" t="n">
        <v>1</v>
      </c>
      <c r="J686" s="86" t="n">
        <v>1</v>
      </c>
      <c r="K686" s="87" t="n">
        <v>0.0087</v>
      </c>
      <c r="L686" s="88" t="n">
        <v>303726787.443174</v>
      </c>
      <c r="M686" s="89" t="n">
        <v>303701035.202051</v>
      </c>
      <c r="N686" s="90" t="str">
        <f>MIN(MAX((B686-'Calculation_Assumptions'!$B$5+1)/'Calculation_Assumptions'!$B$7,0),1)</f>
      </c>
      <c r="O686" s="91" t="str">
        <f>L686*I686</f>
      </c>
      <c r="P686" s="92" t="str">
        <f>M686*I686</f>
      </c>
      <c r="Q686" s="93" t="str">
        <f>P686*'Calculation_Assumptions'!$B$14*J686*K686</f>
      </c>
      <c r="R686" s="94" t="str">
        <f>O686*N686*J686*K686</f>
      </c>
      <c r="S686" s="95" t="str">
        <f>R686-Q686</f>
      </c>
      <c r="T686" s="96" t="str">
        <f>1/(1+'Calculation_Assumptions'!$B$8)^(B686-'Calculation_Assumptions'!$B$2)</f>
      </c>
      <c r="U686" s="97" t="str">
        <f>Q686*T686</f>
      </c>
      <c r="V686" s="98" t="str">
        <f>R686*T686</f>
      </c>
      <c r="W686" s="99" t="str">
        <f>S686*T686</f>
      </c>
      <c r="X686" t="n">
        <v>0</v>
      </c>
      <c r="Y686" s="100" t="n">
        <v>2017</v>
      </c>
      <c r="Z686" t="s">
        <v>389</v>
      </c>
      <c r="AA686" s="101" t="str">
        <f>IF(G686="shared-count-once",COUNTIFS($A$2:$A$807,A686,$B$2:$B$807,B686,$D$2:$D$807,D686),1)</f>
      </c>
    </row>
    <row r="687">
      <c r="A687" t="s">
        <v>76</v>
      </c>
      <c r="B687" s="79" t="n">
        <v>2034</v>
      </c>
      <c r="C687" t="s">
        <v>244</v>
      </c>
      <c r="D687" s="80" t="s">
        <v>405</v>
      </c>
      <c r="E687" s="81" t="s">
        <v>406</v>
      </c>
      <c r="F687" s="82" t="s">
        <v>248</v>
      </c>
      <c r="G687" s="83" t="s">
        <v>384</v>
      </c>
      <c r="H687" s="84" t="s">
        <v>386</v>
      </c>
      <c r="I687" s="85" t="n">
        <v>1</v>
      </c>
      <c r="J687" s="86" t="n">
        <v>1</v>
      </c>
      <c r="K687" s="87" t="n">
        <v>0.0087</v>
      </c>
      <c r="L687" s="88" t="n">
        <v>305436022.714483</v>
      </c>
      <c r="M687" s="89" t="n">
        <v>305377998.093319</v>
      </c>
      <c r="N687" s="90" t="str">
        <f>MIN(MAX((B687-'Calculation_Assumptions'!$B$5+1)/'Calculation_Assumptions'!$B$7,0),1)</f>
      </c>
      <c r="O687" s="91" t="str">
        <f>L687*I687</f>
      </c>
      <c r="P687" s="92" t="str">
        <f>M687*I687</f>
      </c>
      <c r="Q687" s="93" t="str">
        <f>P687*'Calculation_Assumptions'!$B$14*J687*K687</f>
      </c>
      <c r="R687" s="94" t="str">
        <f>O687*N687*J687*K687</f>
      </c>
      <c r="S687" s="95" t="str">
        <f>R687-Q687</f>
      </c>
      <c r="T687" s="96" t="str">
        <f>1/(1+'Calculation_Assumptions'!$B$8)^(B687-'Calculation_Assumptions'!$B$2)</f>
      </c>
      <c r="U687" s="97" t="str">
        <f>Q687*T687</f>
      </c>
      <c r="V687" s="98" t="str">
        <f>R687*T687</f>
      </c>
      <c r="W687" s="99" t="str">
        <f>S687*T687</f>
      </c>
      <c r="X687" t="n">
        <v>0</v>
      </c>
      <c r="Y687" s="100" t="n">
        <v>2017</v>
      </c>
      <c r="Z687" t="s">
        <v>389</v>
      </c>
      <c r="AA687" s="101" t="str">
        <f>IF(G687="shared-count-once",COUNTIFS($A$2:$A$807,A687,$B$2:$B$807,B687,$D$2:$D$807,D687),1)</f>
      </c>
    </row>
    <row r="688">
      <c r="A688" t="s">
        <v>76</v>
      </c>
      <c r="B688" s="79" t="n">
        <v>2035</v>
      </c>
      <c r="C688" t="s">
        <v>244</v>
      </c>
      <c r="D688" s="80" t="s">
        <v>405</v>
      </c>
      <c r="E688" s="81" t="s">
        <v>406</v>
      </c>
      <c r="F688" s="82" t="s">
        <v>248</v>
      </c>
      <c r="G688" s="83" t="s">
        <v>384</v>
      </c>
      <c r="H688" s="84" t="s">
        <v>386</v>
      </c>
      <c r="I688" s="85" t="n">
        <v>1</v>
      </c>
      <c r="J688" s="86" t="n">
        <v>1</v>
      </c>
      <c r="K688" s="87" t="n">
        <v>0.0087</v>
      </c>
      <c r="L688" s="88" t="n">
        <v>307084503.869544</v>
      </c>
      <c r="M688" s="89" t="n">
        <v>306989258.29407</v>
      </c>
      <c r="N688" s="90" t="str">
        <f>MIN(MAX((B688-'Calculation_Assumptions'!$B$5+1)/'Calculation_Assumptions'!$B$7,0),1)</f>
      </c>
      <c r="O688" s="91" t="str">
        <f>L688*I688</f>
      </c>
      <c r="P688" s="92" t="str">
        <f>M688*I688</f>
      </c>
      <c r="Q688" s="93" t="str">
        <f>P688*'Calculation_Assumptions'!$B$14*J688*K688</f>
      </c>
      <c r="R688" s="94" t="str">
        <f>O688*N688*J688*K688</f>
      </c>
      <c r="S688" s="95" t="str">
        <f>R688-Q688</f>
      </c>
      <c r="T688" s="96" t="str">
        <f>1/(1+'Calculation_Assumptions'!$B$8)^(B688-'Calculation_Assumptions'!$B$2)</f>
      </c>
      <c r="U688" s="97" t="str">
        <f>Q688*T688</f>
      </c>
      <c r="V688" s="98" t="str">
        <f>R688*T688</f>
      </c>
      <c r="W688" s="99" t="str">
        <f>S688*T688</f>
      </c>
      <c r="X688" t="n">
        <v>0</v>
      </c>
      <c r="Y688" s="100" t="n">
        <v>2017</v>
      </c>
      <c r="Z688" t="s">
        <v>389</v>
      </c>
      <c r="AA688" s="101" t="str">
        <f>IF(G688="shared-count-once",COUNTIFS($A$2:$A$807,A688,$B$2:$B$807,B688,$D$2:$D$807,D688),1)</f>
      </c>
    </row>
    <row r="689">
      <c r="A689" t="s">
        <v>76</v>
      </c>
      <c r="B689" s="79" t="n">
        <v>2036</v>
      </c>
      <c r="C689" t="s">
        <v>244</v>
      </c>
      <c r="D689" s="80" t="s">
        <v>405</v>
      </c>
      <c r="E689" s="81" t="s">
        <v>406</v>
      </c>
      <c r="F689" s="82" t="s">
        <v>248</v>
      </c>
      <c r="G689" s="83" t="s">
        <v>384</v>
      </c>
      <c r="H689" s="84" t="s">
        <v>386</v>
      </c>
      <c r="I689" s="85" t="n">
        <v>1</v>
      </c>
      <c r="J689" s="86" t="n">
        <v>1</v>
      </c>
      <c r="K689" s="87" t="n">
        <v>0.0087</v>
      </c>
      <c r="L689" s="88" t="n">
        <v>308674578.680747</v>
      </c>
      <c r="M689" s="89" t="n">
        <v>308537399.672094</v>
      </c>
      <c r="N689" s="90" t="str">
        <f>MIN(MAX((B689-'Calculation_Assumptions'!$B$5+1)/'Calculation_Assumptions'!$B$7,0),1)</f>
      </c>
      <c r="O689" s="91" t="str">
        <f>L689*I689</f>
      </c>
      <c r="P689" s="92" t="str">
        <f>M689*I689</f>
      </c>
      <c r="Q689" s="93" t="str">
        <f>P689*'Calculation_Assumptions'!$B$14*J689*K689</f>
      </c>
      <c r="R689" s="94" t="str">
        <f>O689*N689*J689*K689</f>
      </c>
      <c r="S689" s="95" t="str">
        <f>R689-Q689</f>
      </c>
      <c r="T689" s="96" t="str">
        <f>1/(1+'Calculation_Assumptions'!$B$8)^(B689-'Calculation_Assumptions'!$B$2)</f>
      </c>
      <c r="U689" s="97" t="str">
        <f>Q689*T689</f>
      </c>
      <c r="V689" s="98" t="str">
        <f>R689*T689</f>
      </c>
      <c r="W689" s="99" t="str">
        <f>S689*T689</f>
      </c>
      <c r="X689" t="n">
        <v>0</v>
      </c>
      <c r="Y689" s="100" t="n">
        <v>2017</v>
      </c>
      <c r="Z689" t="s">
        <v>389</v>
      </c>
      <c r="AA689" s="101" t="str">
        <f>IF(G689="shared-count-once",COUNTIFS($A$2:$A$807,A689,$B$2:$B$807,B689,$D$2:$D$807,D689),1)</f>
      </c>
    </row>
    <row r="690">
      <c r="A690" t="s">
        <v>76</v>
      </c>
      <c r="B690" s="79" t="n">
        <v>2037</v>
      </c>
      <c r="C690" t="s">
        <v>244</v>
      </c>
      <c r="D690" s="80" t="s">
        <v>405</v>
      </c>
      <c r="E690" s="81" t="s">
        <v>406</v>
      </c>
      <c r="F690" s="82" t="s">
        <v>248</v>
      </c>
      <c r="G690" s="83" t="s">
        <v>384</v>
      </c>
      <c r="H690" s="84" t="s">
        <v>386</v>
      </c>
      <c r="I690" s="85" t="n">
        <v>1</v>
      </c>
      <c r="J690" s="86" t="n">
        <v>1</v>
      </c>
      <c r="K690" s="87" t="n">
        <v>0.0087</v>
      </c>
      <c r="L690" s="88" t="n">
        <v>310206624.908372</v>
      </c>
      <c r="M690" s="89" t="n">
        <v>310023120.393472</v>
      </c>
      <c r="N690" s="90" t="str">
        <f>MIN(MAX((B690-'Calculation_Assumptions'!$B$5+1)/'Calculation_Assumptions'!$B$7,0),1)</f>
      </c>
      <c r="O690" s="91" t="str">
        <f>L690*I690</f>
      </c>
      <c r="P690" s="92" t="str">
        <f>M690*I690</f>
      </c>
      <c r="Q690" s="93" t="str">
        <f>P690*'Calculation_Assumptions'!$B$14*J690*K690</f>
      </c>
      <c r="R690" s="94" t="str">
        <f>O690*N690*J690*K690</f>
      </c>
      <c r="S690" s="95" t="str">
        <f>R690-Q690</f>
      </c>
      <c r="T690" s="96" t="str">
        <f>1/(1+'Calculation_Assumptions'!$B$8)^(B690-'Calculation_Assumptions'!$B$2)</f>
      </c>
      <c r="U690" s="97" t="str">
        <f>Q690*T690</f>
      </c>
      <c r="V690" s="98" t="str">
        <f>R690*T690</f>
      </c>
      <c r="W690" s="99" t="str">
        <f>S690*T690</f>
      </c>
      <c r="X690" t="n">
        <v>0</v>
      </c>
      <c r="Y690" s="100" t="n">
        <v>2017</v>
      </c>
      <c r="Z690" t="s">
        <v>389</v>
      </c>
      <c r="AA690" s="101" t="str">
        <f>IF(G690="shared-count-once",COUNTIFS($A$2:$A$807,A690,$B$2:$B$807,B690,$D$2:$D$807,D690),1)</f>
      </c>
    </row>
    <row r="691">
      <c r="A691" t="s">
        <v>76</v>
      </c>
      <c r="B691" s="79" t="n">
        <v>2038</v>
      </c>
      <c r="C691" t="s">
        <v>244</v>
      </c>
      <c r="D691" s="80" t="s">
        <v>405</v>
      </c>
      <c r="E691" s="81" t="s">
        <v>406</v>
      </c>
      <c r="F691" s="82" t="s">
        <v>248</v>
      </c>
      <c r="G691" s="83" t="s">
        <v>384</v>
      </c>
      <c r="H691" s="84" t="s">
        <v>386</v>
      </c>
      <c r="I691" s="85" t="n">
        <v>1</v>
      </c>
      <c r="J691" s="86" t="n">
        <v>1</v>
      </c>
      <c r="K691" s="87" t="n">
        <v>0.0087</v>
      </c>
      <c r="L691" s="88" t="n">
        <v>311680372.519886</v>
      </c>
      <c r="M691" s="89" t="n">
        <v>311445837.134625</v>
      </c>
      <c r="N691" s="90" t="str">
        <f>MIN(MAX((B691-'Calculation_Assumptions'!$B$5+1)/'Calculation_Assumptions'!$B$7,0),1)</f>
      </c>
      <c r="O691" s="91" t="str">
        <f>L691*I691</f>
      </c>
      <c r="P691" s="92" t="str">
        <f>M691*I691</f>
      </c>
      <c r="Q691" s="93" t="str">
        <f>P691*'Calculation_Assumptions'!$B$14*J691*K691</f>
      </c>
      <c r="R691" s="94" t="str">
        <f>O691*N691*J691*K691</f>
      </c>
      <c r="S691" s="95" t="str">
        <f>R691-Q691</f>
      </c>
      <c r="T691" s="96" t="str">
        <f>1/(1+'Calculation_Assumptions'!$B$8)^(B691-'Calculation_Assumptions'!$B$2)</f>
      </c>
      <c r="U691" s="97" t="str">
        <f>Q691*T691</f>
      </c>
      <c r="V691" s="98" t="str">
        <f>R691*T691</f>
      </c>
      <c r="W691" s="99" t="str">
        <f>S691*T691</f>
      </c>
      <c r="X691" t="n">
        <v>0</v>
      </c>
      <c r="Y691" s="100" t="n">
        <v>2017</v>
      </c>
      <c r="Z691" t="s">
        <v>389</v>
      </c>
      <c r="AA691" s="101" t="str">
        <f>IF(G691="shared-count-once",COUNTIFS($A$2:$A$807,A691,$B$2:$B$807,B691,$D$2:$D$807,D691),1)</f>
      </c>
    </row>
    <row r="692">
      <c r="A692" t="s">
        <v>76</v>
      </c>
      <c r="B692" s="79" t="n">
        <v>2039</v>
      </c>
      <c r="C692" t="s">
        <v>244</v>
      </c>
      <c r="D692" s="80" t="s">
        <v>405</v>
      </c>
      <c r="E692" s="81" t="s">
        <v>406</v>
      </c>
      <c r="F692" s="82" t="s">
        <v>248</v>
      </c>
      <c r="G692" s="83" t="s">
        <v>384</v>
      </c>
      <c r="H692" s="84" t="s">
        <v>386</v>
      </c>
      <c r="I692" s="85" t="n">
        <v>1</v>
      </c>
      <c r="J692" s="86" t="n">
        <v>1</v>
      </c>
      <c r="K692" s="87" t="n">
        <v>0.0087</v>
      </c>
      <c r="L692" s="88" t="n">
        <v>313096760.631209</v>
      </c>
      <c r="M692" s="89" t="n">
        <v>312806989.715685</v>
      </c>
      <c r="N692" s="90" t="str">
        <f>MIN(MAX((B692-'Calculation_Assumptions'!$B$5+1)/'Calculation_Assumptions'!$B$7,0),1)</f>
      </c>
      <c r="O692" s="91" t="str">
        <f>L692*I692</f>
      </c>
      <c r="P692" s="92" t="str">
        <f>M692*I692</f>
      </c>
      <c r="Q692" s="93" t="str">
        <f>P692*'Calculation_Assumptions'!$B$14*J692*K692</f>
      </c>
      <c r="R692" s="94" t="str">
        <f>O692*N692*J692*K692</f>
      </c>
      <c r="S692" s="95" t="str">
        <f>R692-Q692</f>
      </c>
      <c r="T692" s="96" t="str">
        <f>1/(1+'Calculation_Assumptions'!$B$8)^(B692-'Calculation_Assumptions'!$B$2)</f>
      </c>
      <c r="U692" s="97" t="str">
        <f>Q692*T692</f>
      </c>
      <c r="V692" s="98" t="str">
        <f>R692*T692</f>
      </c>
      <c r="W692" s="99" t="str">
        <f>S692*T692</f>
      </c>
      <c r="X692" t="n">
        <v>0</v>
      </c>
      <c r="Y692" s="100" t="n">
        <v>2017</v>
      </c>
      <c r="Z692" t="s">
        <v>389</v>
      </c>
      <c r="AA692" s="101" t="str">
        <f>IF(G692="shared-count-once",COUNTIFS($A$2:$A$807,A692,$B$2:$B$807,B692,$D$2:$D$807,D692),1)</f>
      </c>
    </row>
    <row r="693">
      <c r="A693" t="s">
        <v>76</v>
      </c>
      <c r="B693" s="79" t="n">
        <v>2040</v>
      </c>
      <c r="C693" t="s">
        <v>244</v>
      </c>
      <c r="D693" s="80" t="s">
        <v>405</v>
      </c>
      <c r="E693" s="81" t="s">
        <v>406</v>
      </c>
      <c r="F693" s="82" t="s">
        <v>248</v>
      </c>
      <c r="G693" s="83" t="s">
        <v>384</v>
      </c>
      <c r="H693" s="84" t="s">
        <v>386</v>
      </c>
      <c r="I693" s="85" t="n">
        <v>1</v>
      </c>
      <c r="J693" s="86" t="n">
        <v>1</v>
      </c>
      <c r="K693" s="87" t="n">
        <v>0.0087</v>
      </c>
      <c r="L693" s="88" t="n">
        <v>314457822.69727</v>
      </c>
      <c r="M693" s="89" t="n">
        <v>314109251.582649</v>
      </c>
      <c r="N693" s="90" t="str">
        <f>MIN(MAX((B693-'Calculation_Assumptions'!$B$5+1)/'Calculation_Assumptions'!$B$7,0),1)</f>
      </c>
      <c r="O693" s="91" t="str">
        <f>L693*I693</f>
      </c>
      <c r="P693" s="92" t="str">
        <f>M693*I693</f>
      </c>
      <c r="Q693" s="93" t="str">
        <f>P693*'Calculation_Assumptions'!$B$14*J693*K693</f>
      </c>
      <c r="R693" s="94" t="str">
        <f>O693*N693*J693*K693</f>
      </c>
      <c r="S693" s="95" t="str">
        <f>R693-Q693</f>
      </c>
      <c r="T693" s="96" t="str">
        <f>1/(1+'Calculation_Assumptions'!$B$8)^(B693-'Calculation_Assumptions'!$B$2)</f>
      </c>
      <c r="U693" s="97" t="str">
        <f>Q693*T693</f>
      </c>
      <c r="V693" s="98" t="str">
        <f>R693*T693</f>
      </c>
      <c r="W693" s="99" t="str">
        <f>S693*T693</f>
      </c>
      <c r="X693" t="n">
        <v>0</v>
      </c>
      <c r="Y693" s="100" t="n">
        <v>2017</v>
      </c>
      <c r="Z693" t="s">
        <v>389</v>
      </c>
      <c r="AA693" s="101" t="str">
        <f>IF(G693="shared-count-once",COUNTIFS($A$2:$A$807,A693,$B$2:$B$807,B693,$D$2:$D$807,D693),1)</f>
      </c>
    </row>
    <row r="694">
      <c r="A694" t="s">
        <v>76</v>
      </c>
      <c r="B694" s="79" t="n">
        <v>2041</v>
      </c>
      <c r="C694" t="s">
        <v>244</v>
      </c>
      <c r="D694" s="80" t="s">
        <v>405</v>
      </c>
      <c r="E694" s="81" t="s">
        <v>406</v>
      </c>
      <c r="F694" s="82" t="s">
        <v>248</v>
      </c>
      <c r="G694" s="83" t="s">
        <v>384</v>
      </c>
      <c r="H694" s="84" t="s">
        <v>386</v>
      </c>
      <c r="I694" s="85" t="n">
        <v>1</v>
      </c>
      <c r="J694" s="86" t="n">
        <v>1</v>
      </c>
      <c r="K694" s="87" t="n">
        <v>0.0087</v>
      </c>
      <c r="L694" s="88" t="n">
        <v>315762299.651562</v>
      </c>
      <c r="M694" s="89" t="n">
        <v>315352079.812423</v>
      </c>
      <c r="N694" s="90" t="str">
        <f>MIN(MAX((B694-'Calculation_Assumptions'!$B$5+1)/'Calculation_Assumptions'!$B$7,0),1)</f>
      </c>
      <c r="O694" s="91" t="str">
        <f>L694*I694</f>
      </c>
      <c r="P694" s="92" t="str">
        <f>M694*I694</f>
      </c>
      <c r="Q694" s="93" t="str">
        <f>P694*'Calculation_Assumptions'!$B$14*J694*K694</f>
      </c>
      <c r="R694" s="94" t="str">
        <f>O694*N694*J694*K694</f>
      </c>
      <c r="S694" s="95" t="str">
        <f>R694-Q694</f>
      </c>
      <c r="T694" s="96" t="str">
        <f>1/(1+'Calculation_Assumptions'!$B$8)^(B694-'Calculation_Assumptions'!$B$2)</f>
      </c>
      <c r="U694" s="97" t="str">
        <f>Q694*T694</f>
      </c>
      <c r="V694" s="98" t="str">
        <f>R694*T694</f>
      </c>
      <c r="W694" s="99" t="str">
        <f>S694*T694</f>
      </c>
      <c r="X694" t="n">
        <v>0</v>
      </c>
      <c r="Y694" s="100" t="n">
        <v>2017</v>
      </c>
      <c r="Z694" t="s">
        <v>389</v>
      </c>
      <c r="AA694" s="101" t="str">
        <f>IF(G694="shared-count-once",COUNTIFS($A$2:$A$807,A694,$B$2:$B$807,B694,$D$2:$D$807,D694),1)</f>
      </c>
    </row>
    <row r="695">
      <c r="A695" t="s">
        <v>76</v>
      </c>
      <c r="B695" s="79" t="n">
        <v>2042</v>
      </c>
      <c r="C695" t="s">
        <v>244</v>
      </c>
      <c r="D695" s="80" t="s">
        <v>405</v>
      </c>
      <c r="E695" s="81" t="s">
        <v>406</v>
      </c>
      <c r="F695" s="82" t="s">
        <v>248</v>
      </c>
      <c r="G695" s="83" t="s">
        <v>384</v>
      </c>
      <c r="H695" s="84" t="s">
        <v>386</v>
      </c>
      <c r="I695" s="85" t="n">
        <v>1</v>
      </c>
      <c r="J695" s="86" t="n">
        <v>1</v>
      </c>
      <c r="K695" s="87" t="n">
        <v>0.0087</v>
      </c>
      <c r="L695" s="88" t="n">
        <v>317010735.77488</v>
      </c>
      <c r="M695" s="89" t="n">
        <v>316395286.312016</v>
      </c>
      <c r="N695" s="90" t="str">
        <f>MIN(MAX((B695-'Calculation_Assumptions'!$B$5+1)/'Calculation_Assumptions'!$B$7,0),1)</f>
      </c>
      <c r="O695" s="91" t="str">
        <f>L695*I695</f>
      </c>
      <c r="P695" s="92" t="str">
        <f>M695*I695</f>
      </c>
      <c r="Q695" s="93" t="str">
        <f>P695*'Calculation_Assumptions'!$B$14*J695*K695</f>
      </c>
      <c r="R695" s="94" t="str">
        <f>O695*N695*J695*K695</f>
      </c>
      <c r="S695" s="95" t="str">
        <f>R695-Q695</f>
      </c>
      <c r="T695" s="96" t="str">
        <f>1/(1+'Calculation_Assumptions'!$B$8)^(B695-'Calculation_Assumptions'!$B$2)</f>
      </c>
      <c r="U695" s="97" t="str">
        <f>Q695*T695</f>
      </c>
      <c r="V695" s="98" t="str">
        <f>R695*T695</f>
      </c>
      <c r="W695" s="99" t="str">
        <f>S695*T695</f>
      </c>
      <c r="X695" t="n">
        <v>0</v>
      </c>
      <c r="Y695" s="100" t="n">
        <v>2017</v>
      </c>
      <c r="Z695" t="s">
        <v>389</v>
      </c>
      <c r="AA695" s="101" t="str">
        <f>IF(G695="shared-count-once",COUNTIFS($A$2:$A$807,A695,$B$2:$B$807,B695,$D$2:$D$807,D695),1)</f>
      </c>
    </row>
    <row r="696">
      <c r="A696" t="s">
        <v>76</v>
      </c>
      <c r="B696" s="79" t="n">
        <v>2043</v>
      </c>
      <c r="C696" t="s">
        <v>244</v>
      </c>
      <c r="D696" s="80" t="s">
        <v>405</v>
      </c>
      <c r="E696" s="81" t="s">
        <v>406</v>
      </c>
      <c r="F696" s="82" t="s">
        <v>248</v>
      </c>
      <c r="G696" s="83" t="s">
        <v>384</v>
      </c>
      <c r="H696" s="84" t="s">
        <v>386</v>
      </c>
      <c r="I696" s="85" t="n">
        <v>1</v>
      </c>
      <c r="J696" s="86" t="n">
        <v>1</v>
      </c>
      <c r="K696" s="87" t="n">
        <v>0.0087</v>
      </c>
      <c r="L696" s="88" t="n">
        <v>318158750.005661</v>
      </c>
      <c r="M696" s="89" t="n">
        <v>317619735.688289</v>
      </c>
      <c r="N696" s="90" t="str">
        <f>MIN(MAX((B696-'Calculation_Assumptions'!$B$5+1)/'Calculation_Assumptions'!$B$7,0),1)</f>
      </c>
      <c r="O696" s="91" t="str">
        <f>L696*I696</f>
      </c>
      <c r="P696" s="92" t="str">
        <f>M696*I696</f>
      </c>
      <c r="Q696" s="93" t="str">
        <f>P696*'Calculation_Assumptions'!$B$14*J696*K696</f>
      </c>
      <c r="R696" s="94" t="str">
        <f>O696*N696*J696*K696</f>
      </c>
      <c r="S696" s="95" t="str">
        <f>R696-Q696</f>
      </c>
      <c r="T696" s="96" t="str">
        <f>1/(1+'Calculation_Assumptions'!$B$8)^(B696-'Calculation_Assumptions'!$B$2)</f>
      </c>
      <c r="U696" s="97" t="str">
        <f>Q696*T696</f>
      </c>
      <c r="V696" s="98" t="str">
        <f>R696*T696</f>
      </c>
      <c r="W696" s="99" t="str">
        <f>S696*T696</f>
      </c>
      <c r="X696" t="n">
        <v>0</v>
      </c>
      <c r="Y696" s="100" t="n">
        <v>2017</v>
      </c>
      <c r="Z696" t="s">
        <v>389</v>
      </c>
      <c r="AA696" s="101" t="str">
        <f>IF(G696="shared-count-once",COUNTIFS($A$2:$A$807,A696,$B$2:$B$807,B696,$D$2:$D$807,D696),1)</f>
      </c>
    </row>
    <row r="697">
      <c r="A697" t="s">
        <v>76</v>
      </c>
      <c r="B697" s="79" t="n">
        <v>2044</v>
      </c>
      <c r="C697" t="s">
        <v>244</v>
      </c>
      <c r="D697" s="80" t="s">
        <v>405</v>
      </c>
      <c r="E697" s="81" t="s">
        <v>406</v>
      </c>
      <c r="F697" s="82" t="s">
        <v>248</v>
      </c>
      <c r="G697" s="83" t="s">
        <v>384</v>
      </c>
      <c r="H697" s="84" t="s">
        <v>386</v>
      </c>
      <c r="I697" s="85" t="n">
        <v>1</v>
      </c>
      <c r="J697" s="86" t="n">
        <v>1</v>
      </c>
      <c r="K697" s="87" t="n">
        <v>0.0087</v>
      </c>
      <c r="L697" s="88" t="n">
        <v>319305078.475065</v>
      </c>
      <c r="M697" s="89" t="n">
        <v>318697135.863652</v>
      </c>
      <c r="N697" s="90" t="str">
        <f>MIN(MAX((B697-'Calculation_Assumptions'!$B$5+1)/'Calculation_Assumptions'!$B$7,0),1)</f>
      </c>
      <c r="O697" s="91" t="str">
        <f>L697*I697</f>
      </c>
      <c r="P697" s="92" t="str">
        <f>M697*I697</f>
      </c>
      <c r="Q697" s="93" t="str">
        <f>P697*'Calculation_Assumptions'!$B$14*J697*K697</f>
      </c>
      <c r="R697" s="94" t="str">
        <f>O697*N697*J697*K697</f>
      </c>
      <c r="S697" s="95" t="str">
        <f>R697-Q697</f>
      </c>
      <c r="T697" s="96" t="str">
        <f>1/(1+'Calculation_Assumptions'!$B$8)^(B697-'Calculation_Assumptions'!$B$2)</f>
      </c>
      <c r="U697" s="97" t="str">
        <f>Q697*T697</f>
      </c>
      <c r="V697" s="98" t="str">
        <f>R697*T697</f>
      </c>
      <c r="W697" s="99" t="str">
        <f>S697*T697</f>
      </c>
      <c r="X697" t="n">
        <v>0</v>
      </c>
      <c r="Y697" s="100" t="n">
        <v>2017</v>
      </c>
      <c r="Z697" t="s">
        <v>389</v>
      </c>
      <c r="AA697" s="101" t="str">
        <f>IF(G697="shared-count-once",COUNTIFS($A$2:$A$807,A697,$B$2:$B$807,B697,$D$2:$D$807,D697),1)</f>
      </c>
    </row>
    <row r="698">
      <c r="A698" t="s">
        <v>76</v>
      </c>
      <c r="B698" s="79" t="n">
        <v>2045</v>
      </c>
      <c r="C698" t="s">
        <v>244</v>
      </c>
      <c r="D698" s="80" t="s">
        <v>405</v>
      </c>
      <c r="E698" s="81" t="s">
        <v>406</v>
      </c>
      <c r="F698" s="82" t="s">
        <v>248</v>
      </c>
      <c r="G698" s="83" t="s">
        <v>384</v>
      </c>
      <c r="H698" s="84" t="s">
        <v>386</v>
      </c>
      <c r="I698" s="85" t="n">
        <v>1</v>
      </c>
      <c r="J698" s="86" t="n">
        <v>1</v>
      </c>
      <c r="K698" s="87" t="n">
        <v>0.0087</v>
      </c>
      <c r="L698" s="88" t="n">
        <v>320395460.874147</v>
      </c>
      <c r="M698" s="89" t="n">
        <v>319717840.85179</v>
      </c>
      <c r="N698" s="90" t="str">
        <f>MIN(MAX((B698-'Calculation_Assumptions'!$B$5+1)/'Calculation_Assumptions'!$B$7,0),1)</f>
      </c>
      <c r="O698" s="91" t="str">
        <f>L698*I698</f>
      </c>
      <c r="P698" s="92" t="str">
        <f>M698*I698</f>
      </c>
      <c r="Q698" s="93" t="str">
        <f>P698*'Calculation_Assumptions'!$B$14*J698*K698</f>
      </c>
      <c r="R698" s="94" t="str">
        <f>O698*N698*J698*K698</f>
      </c>
      <c r="S698" s="95" t="str">
        <f>R698-Q698</f>
      </c>
      <c r="T698" s="96" t="str">
        <f>1/(1+'Calculation_Assumptions'!$B$8)^(B698-'Calculation_Assumptions'!$B$2)</f>
      </c>
      <c r="U698" s="97" t="str">
        <f>Q698*T698</f>
      </c>
      <c r="V698" s="98" t="str">
        <f>R698*T698</f>
      </c>
      <c r="W698" s="99" t="str">
        <f>S698*T698</f>
      </c>
      <c r="X698" t="n">
        <v>0</v>
      </c>
      <c r="Y698" s="100" t="n">
        <v>2017</v>
      </c>
      <c r="Z698" t="s">
        <v>389</v>
      </c>
      <c r="AA698" s="101" t="str">
        <f>IF(G698="shared-count-once",COUNTIFS($A$2:$A$807,A698,$B$2:$B$807,B698,$D$2:$D$807,D698),1)</f>
      </c>
    </row>
    <row r="699">
      <c r="A699" t="s">
        <v>76</v>
      </c>
      <c r="B699" s="79" t="n">
        <v>2046</v>
      </c>
      <c r="C699" t="s">
        <v>244</v>
      </c>
      <c r="D699" s="80" t="s">
        <v>405</v>
      </c>
      <c r="E699" s="81" t="s">
        <v>406</v>
      </c>
      <c r="F699" s="82" t="s">
        <v>248</v>
      </c>
      <c r="G699" s="83" t="s">
        <v>384</v>
      </c>
      <c r="H699" s="84" t="s">
        <v>386</v>
      </c>
      <c r="I699" s="85" t="n">
        <v>1</v>
      </c>
      <c r="J699" s="86" t="n">
        <v>1</v>
      </c>
      <c r="K699" s="87" t="n">
        <v>0.0087</v>
      </c>
      <c r="L699" s="88" t="n">
        <v>321430558.971018</v>
      </c>
      <c r="M699" s="89" t="n">
        <v>320683879.806276</v>
      </c>
      <c r="N699" s="90" t="str">
        <f>MIN(MAX((B699-'Calculation_Assumptions'!$B$5+1)/'Calculation_Assumptions'!$B$7,0),1)</f>
      </c>
      <c r="O699" s="91" t="str">
        <f>L699*I699</f>
      </c>
      <c r="P699" s="92" t="str">
        <f>M699*I699</f>
      </c>
      <c r="Q699" s="93" t="str">
        <f>P699*'Calculation_Assumptions'!$B$14*J699*K699</f>
      </c>
      <c r="R699" s="94" t="str">
        <f>O699*N699*J699*K699</f>
      </c>
      <c r="S699" s="95" t="str">
        <f>R699-Q699</f>
      </c>
      <c r="T699" s="96" t="str">
        <f>1/(1+'Calculation_Assumptions'!$B$8)^(B699-'Calculation_Assumptions'!$B$2)</f>
      </c>
      <c r="U699" s="97" t="str">
        <f>Q699*T699</f>
      </c>
      <c r="V699" s="98" t="str">
        <f>R699*T699</f>
      </c>
      <c r="W699" s="99" t="str">
        <f>S699*T699</f>
      </c>
      <c r="X699" t="n">
        <v>0</v>
      </c>
      <c r="Y699" s="100" t="n">
        <v>2017</v>
      </c>
      <c r="Z699" t="s">
        <v>389</v>
      </c>
      <c r="AA699" s="101" t="str">
        <f>IF(G699="shared-count-once",COUNTIFS($A$2:$A$807,A699,$B$2:$B$807,B699,$D$2:$D$807,D699),1)</f>
      </c>
    </row>
    <row r="700">
      <c r="A700" t="s">
        <v>76</v>
      </c>
      <c r="B700" s="79" t="n">
        <v>2047</v>
      </c>
      <c r="C700" t="s">
        <v>244</v>
      </c>
      <c r="D700" s="80" t="s">
        <v>405</v>
      </c>
      <c r="E700" s="81" t="s">
        <v>406</v>
      </c>
      <c r="F700" s="82" t="s">
        <v>248</v>
      </c>
      <c r="G700" s="83" t="s">
        <v>384</v>
      </c>
      <c r="H700" s="84" t="s">
        <v>386</v>
      </c>
      <c r="I700" s="85" t="n">
        <v>1</v>
      </c>
      <c r="J700" s="86" t="n">
        <v>1</v>
      </c>
      <c r="K700" s="87" t="n">
        <v>0.0087</v>
      </c>
      <c r="L700" s="88" t="n">
        <v>322411096.713551</v>
      </c>
      <c r="M700" s="89" t="n">
        <v>321595541.389526</v>
      </c>
      <c r="N700" s="90" t="str">
        <f>MIN(MAX((B700-'Calculation_Assumptions'!$B$5+1)/'Calculation_Assumptions'!$B$7,0),1)</f>
      </c>
      <c r="O700" s="91" t="str">
        <f>L700*I700</f>
      </c>
      <c r="P700" s="92" t="str">
        <f>M700*I700</f>
      </c>
      <c r="Q700" s="93" t="str">
        <f>P700*'Calculation_Assumptions'!$B$14*J700*K700</f>
      </c>
      <c r="R700" s="94" t="str">
        <f>O700*N700*J700*K700</f>
      </c>
      <c r="S700" s="95" t="str">
        <f>R700-Q700</f>
      </c>
      <c r="T700" s="96" t="str">
        <f>1/(1+'Calculation_Assumptions'!$B$8)^(B700-'Calculation_Assumptions'!$B$2)</f>
      </c>
      <c r="U700" s="97" t="str">
        <f>Q700*T700</f>
      </c>
      <c r="V700" s="98" t="str">
        <f>R700*T700</f>
      </c>
      <c r="W700" s="99" t="str">
        <f>S700*T700</f>
      </c>
      <c r="X700" t="n">
        <v>0</v>
      </c>
      <c r="Y700" s="100" t="n">
        <v>2017</v>
      </c>
      <c r="Z700" t="s">
        <v>389</v>
      </c>
      <c r="AA700" s="101" t="str">
        <f>IF(G700="shared-count-once",COUNTIFS($A$2:$A$807,A700,$B$2:$B$807,B700,$D$2:$D$807,D700),1)</f>
      </c>
    </row>
    <row r="701">
      <c r="A701" t="s">
        <v>76</v>
      </c>
      <c r="B701" s="79" t="n">
        <v>2048</v>
      </c>
      <c r="C701" t="s">
        <v>244</v>
      </c>
      <c r="D701" s="80" t="s">
        <v>405</v>
      </c>
      <c r="E701" s="81" t="s">
        <v>406</v>
      </c>
      <c r="F701" s="82" t="s">
        <v>248</v>
      </c>
      <c r="G701" s="83" t="s">
        <v>384</v>
      </c>
      <c r="H701" s="84" t="s">
        <v>386</v>
      </c>
      <c r="I701" s="85" t="n">
        <v>1</v>
      </c>
      <c r="J701" s="86" t="n">
        <v>1</v>
      </c>
      <c r="K701" s="87" t="n">
        <v>0.0087</v>
      </c>
      <c r="L701" s="88" t="n">
        <v>323337875.603966</v>
      </c>
      <c r="M701" s="89" t="n">
        <v>322453622.669464</v>
      </c>
      <c r="N701" s="90" t="str">
        <f>MIN(MAX((B701-'Calculation_Assumptions'!$B$5+1)/'Calculation_Assumptions'!$B$7,0),1)</f>
      </c>
      <c r="O701" s="91" t="str">
        <f>L701*I701</f>
      </c>
      <c r="P701" s="92" t="str">
        <f>M701*I701</f>
      </c>
      <c r="Q701" s="93" t="str">
        <f>P701*'Calculation_Assumptions'!$B$14*J701*K701</f>
      </c>
      <c r="R701" s="94" t="str">
        <f>O701*N701*J701*K701</f>
      </c>
      <c r="S701" s="95" t="str">
        <f>R701-Q701</f>
      </c>
      <c r="T701" s="96" t="str">
        <f>1/(1+'Calculation_Assumptions'!$B$8)^(B701-'Calculation_Assumptions'!$B$2)</f>
      </c>
      <c r="U701" s="97" t="str">
        <f>Q701*T701</f>
      </c>
      <c r="V701" s="98" t="str">
        <f>R701*T701</f>
      </c>
      <c r="W701" s="99" t="str">
        <f>S701*T701</f>
      </c>
      <c r="X701" t="n">
        <v>0</v>
      </c>
      <c r="Y701" s="100" t="n">
        <v>2017</v>
      </c>
      <c r="Z701" t="s">
        <v>389</v>
      </c>
      <c r="AA701" s="101" t="str">
        <f>IF(G701="shared-count-once",COUNTIFS($A$2:$A$807,A701,$B$2:$B$807,B701,$D$2:$D$807,D701),1)</f>
      </c>
    </row>
    <row r="702">
      <c r="A702" t="s">
        <v>76</v>
      </c>
      <c r="B702" s="79" t="n">
        <v>2049</v>
      </c>
      <c r="C702" t="s">
        <v>244</v>
      </c>
      <c r="D702" s="80" t="s">
        <v>405</v>
      </c>
      <c r="E702" s="81" t="s">
        <v>406</v>
      </c>
      <c r="F702" s="82" t="s">
        <v>248</v>
      </c>
      <c r="G702" s="83" t="s">
        <v>384</v>
      </c>
      <c r="H702" s="84" t="s">
        <v>386</v>
      </c>
      <c r="I702" s="85" t="n">
        <v>1</v>
      </c>
      <c r="J702" s="86" t="n">
        <v>1</v>
      </c>
      <c r="K702" s="87" t="n">
        <v>0.0087</v>
      </c>
      <c r="L702" s="88" t="n">
        <v>324211859.675226</v>
      </c>
      <c r="M702" s="89" t="n">
        <v>323259246.716719</v>
      </c>
      <c r="N702" s="90" t="str">
        <f>MIN(MAX((B702-'Calculation_Assumptions'!$B$5+1)/'Calculation_Assumptions'!$B$7,0),1)</f>
      </c>
      <c r="O702" s="91" t="str">
        <f>L702*I702</f>
      </c>
      <c r="P702" s="92" t="str">
        <f>M702*I702</f>
      </c>
      <c r="Q702" s="93" t="str">
        <f>P702*'Calculation_Assumptions'!$B$14*J702*K702</f>
      </c>
      <c r="R702" s="94" t="str">
        <f>O702*N702*J702*K702</f>
      </c>
      <c r="S702" s="95" t="str">
        <f>R702-Q702</f>
      </c>
      <c r="T702" s="96" t="str">
        <f>1/(1+'Calculation_Assumptions'!$B$8)^(B702-'Calculation_Assumptions'!$B$2)</f>
      </c>
      <c r="U702" s="97" t="str">
        <f>Q702*T702</f>
      </c>
      <c r="V702" s="98" t="str">
        <f>R702*T702</f>
      </c>
      <c r="W702" s="99" t="str">
        <f>S702*T702</f>
      </c>
      <c r="X702" t="n">
        <v>0</v>
      </c>
      <c r="Y702" s="100" t="n">
        <v>2017</v>
      </c>
      <c r="Z702" t="s">
        <v>389</v>
      </c>
      <c r="AA702" s="101" t="str">
        <f>IF(G702="shared-count-once",COUNTIFS($A$2:$A$807,A702,$B$2:$B$807,B702,$D$2:$D$807,D702),1)</f>
      </c>
    </row>
    <row r="703">
      <c r="A703" t="s">
        <v>76</v>
      </c>
      <c r="B703" s="79" t="n">
        <v>2050</v>
      </c>
      <c r="C703" t="s">
        <v>244</v>
      </c>
      <c r="D703" s="80" t="s">
        <v>405</v>
      </c>
      <c r="E703" s="81" t="s">
        <v>406</v>
      </c>
      <c r="F703" s="82" t="s">
        <v>248</v>
      </c>
      <c r="G703" s="83" t="s">
        <v>384</v>
      </c>
      <c r="H703" s="84" t="s">
        <v>386</v>
      </c>
      <c r="I703" s="85" t="n">
        <v>1</v>
      </c>
      <c r="J703" s="86" t="n">
        <v>1</v>
      </c>
      <c r="K703" s="87" t="n">
        <v>0.0087</v>
      </c>
      <c r="L703" s="88" t="n">
        <v>325034214.935484</v>
      </c>
      <c r="M703" s="89" t="n">
        <v>324013738.182479</v>
      </c>
      <c r="N703" s="90" t="str">
        <f>MIN(MAX((B703-'Calculation_Assumptions'!$B$5+1)/'Calculation_Assumptions'!$B$7,0),1)</f>
      </c>
      <c r="O703" s="91" t="str">
        <f>L703*I703</f>
      </c>
      <c r="P703" s="92" t="str">
        <f>M703*I703</f>
      </c>
      <c r="Q703" s="93" t="str">
        <f>P703*'Calculation_Assumptions'!$B$14*J703*K703</f>
      </c>
      <c r="R703" s="94" t="str">
        <f>O703*N703*J703*K703</f>
      </c>
      <c r="S703" s="95" t="str">
        <f>R703-Q703</f>
      </c>
      <c r="T703" s="96" t="str">
        <f>1/(1+'Calculation_Assumptions'!$B$8)^(B703-'Calculation_Assumptions'!$B$2)</f>
      </c>
      <c r="U703" s="97" t="str">
        <f>Q703*T703</f>
      </c>
      <c r="V703" s="98" t="str">
        <f>R703*T703</f>
      </c>
      <c r="W703" s="99" t="str">
        <f>S703*T703</f>
      </c>
      <c r="X703" t="n">
        <v>0</v>
      </c>
      <c r="Y703" s="100" t="n">
        <v>2017</v>
      </c>
      <c r="Z703" t="s">
        <v>389</v>
      </c>
      <c r="AA703" s="101" t="str">
        <f>IF(G703="shared-count-once",COUNTIFS($A$2:$A$807,A703,$B$2:$B$807,B703,$D$2:$D$807,D703),1)</f>
      </c>
    </row>
    <row r="704">
      <c r="A704" t="s">
        <v>76</v>
      </c>
      <c r="B704" s="79" t="n">
        <v>2025</v>
      </c>
      <c r="C704" t="s">
        <v>249</v>
      </c>
      <c r="D704" s="80" t="s">
        <v>407</v>
      </c>
      <c r="E704" s="81" t="s">
        <v>408</v>
      </c>
      <c r="F704" s="82" t="s">
        <v>255</v>
      </c>
      <c r="G704" s="83" t="s">
        <v>384</v>
      </c>
      <c r="H704" s="84" t="s">
        <v>386</v>
      </c>
      <c r="I704" s="85" t="n">
        <v>1</v>
      </c>
      <c r="J704" s="86" t="n">
        <v>1</v>
      </c>
      <c r="K704" s="87" t="n">
        <v>0.004</v>
      </c>
      <c r="L704" s="88" t="n">
        <v>288000821.106462</v>
      </c>
      <c r="M704" s="89" t="n">
        <v>288000821.106462</v>
      </c>
      <c r="N704" s="90" t="str">
        <f>MIN(MAX((B704-'Calculation_Assumptions'!$B$5+1)/'Calculation_Assumptions'!$B$7,0),1)</f>
      </c>
      <c r="O704" s="91" t="str">
        <f>L704*I704</f>
      </c>
      <c r="P704" s="92" t="str">
        <f>M704*I704</f>
      </c>
      <c r="Q704" s="93" t="str">
        <f>P704*'Calculation_Assumptions'!$B$14*J704*K704</f>
      </c>
      <c r="R704" s="94" t="str">
        <f>O704*N704*J704*K704</f>
      </c>
      <c r="S704" s="95" t="str">
        <f>R704-Q704</f>
      </c>
      <c r="T704" s="96" t="str">
        <f>1/(1+'Calculation_Assumptions'!$B$8)^(B704-'Calculation_Assumptions'!$B$2)</f>
      </c>
      <c r="U704" s="97" t="str">
        <f>Q704*T704</f>
      </c>
      <c r="V704" s="98" t="str">
        <f>R704*T704</f>
      </c>
      <c r="W704" s="99" t="str">
        <f>S704*T704</f>
      </c>
      <c r="X704" t="n">
        <v>0</v>
      </c>
      <c r="Y704" s="100" t="n">
        <v>2017</v>
      </c>
      <c r="Z704" t="s">
        <v>389</v>
      </c>
      <c r="AA704" s="101" t="str">
        <f>IF(G704="shared-count-once",COUNTIFS($A$2:$A$807,A704,$B$2:$B$807,B704,$D$2:$D$807,D704),1)</f>
      </c>
    </row>
    <row r="705">
      <c r="A705" t="s">
        <v>76</v>
      </c>
      <c r="B705" s="79" t="n">
        <v>2026</v>
      </c>
      <c r="C705" t="s">
        <v>249</v>
      </c>
      <c r="D705" s="80" t="s">
        <v>407</v>
      </c>
      <c r="E705" s="81" t="s">
        <v>408</v>
      </c>
      <c r="F705" s="82" t="s">
        <v>255</v>
      </c>
      <c r="G705" s="83" t="s">
        <v>384</v>
      </c>
      <c r="H705" s="84" t="s">
        <v>386</v>
      </c>
      <c r="I705" s="85" t="n">
        <v>1</v>
      </c>
      <c r="J705" s="86" t="n">
        <v>1</v>
      </c>
      <c r="K705" s="87" t="n">
        <v>0.004</v>
      </c>
      <c r="L705" s="88" t="n">
        <v>290123496.103219</v>
      </c>
      <c r="M705" s="89" t="n">
        <v>290123496.103219</v>
      </c>
      <c r="N705" s="90" t="str">
        <f>MIN(MAX((B705-'Calculation_Assumptions'!$B$5+1)/'Calculation_Assumptions'!$B$7,0),1)</f>
      </c>
      <c r="O705" s="91" t="str">
        <f>L705*I705</f>
      </c>
      <c r="P705" s="92" t="str">
        <f>M705*I705</f>
      </c>
      <c r="Q705" s="93" t="str">
        <f>P705*'Calculation_Assumptions'!$B$14*J705*K705</f>
      </c>
      <c r="R705" s="94" t="str">
        <f>O705*N705*J705*K705</f>
      </c>
      <c r="S705" s="95" t="str">
        <f>R705-Q705</f>
      </c>
      <c r="T705" s="96" t="str">
        <f>1/(1+'Calculation_Assumptions'!$B$8)^(B705-'Calculation_Assumptions'!$B$2)</f>
      </c>
      <c r="U705" s="97" t="str">
        <f>Q705*T705</f>
      </c>
      <c r="V705" s="98" t="str">
        <f>R705*T705</f>
      </c>
      <c r="W705" s="99" t="str">
        <f>S705*T705</f>
      </c>
      <c r="X705" t="n">
        <v>0</v>
      </c>
      <c r="Y705" s="100" t="n">
        <v>2017</v>
      </c>
      <c r="Z705" t="s">
        <v>389</v>
      </c>
      <c r="AA705" s="101" t="str">
        <f>IF(G705="shared-count-once",COUNTIFS($A$2:$A$807,A705,$B$2:$B$807,B705,$D$2:$D$807,D705),1)</f>
      </c>
    </row>
    <row r="706">
      <c r="A706" t="s">
        <v>76</v>
      </c>
      <c r="B706" s="79" t="n">
        <v>2027</v>
      </c>
      <c r="C706" t="s">
        <v>249</v>
      </c>
      <c r="D706" s="80" t="s">
        <v>407</v>
      </c>
      <c r="E706" s="81" t="s">
        <v>408</v>
      </c>
      <c r="F706" s="82" t="s">
        <v>255</v>
      </c>
      <c r="G706" s="83" t="s">
        <v>384</v>
      </c>
      <c r="H706" s="84" t="s">
        <v>386</v>
      </c>
      <c r="I706" s="85" t="n">
        <v>1</v>
      </c>
      <c r="J706" s="86" t="n">
        <v>1</v>
      </c>
      <c r="K706" s="87" t="n">
        <v>0.004</v>
      </c>
      <c r="L706" s="88" t="n">
        <v>292252895.096956</v>
      </c>
      <c r="M706" s="89" t="n">
        <v>292252895.096956</v>
      </c>
      <c r="N706" s="90" t="str">
        <f>MIN(MAX((B706-'Calculation_Assumptions'!$B$5+1)/'Calculation_Assumptions'!$B$7,0),1)</f>
      </c>
      <c r="O706" s="91" t="str">
        <f>L706*I706</f>
      </c>
      <c r="P706" s="92" t="str">
        <f>M706*I706</f>
      </c>
      <c r="Q706" s="93" t="str">
        <f>P706*'Calculation_Assumptions'!$B$14*J706*K706</f>
      </c>
      <c r="R706" s="94" t="str">
        <f>O706*N706*J706*K706</f>
      </c>
      <c r="S706" s="95" t="str">
        <f>R706-Q706</f>
      </c>
      <c r="T706" s="96" t="str">
        <f>1/(1+'Calculation_Assumptions'!$B$8)^(B706-'Calculation_Assumptions'!$B$2)</f>
      </c>
      <c r="U706" s="97" t="str">
        <f>Q706*T706</f>
      </c>
      <c r="V706" s="98" t="str">
        <f>R706*T706</f>
      </c>
      <c r="W706" s="99" t="str">
        <f>S706*T706</f>
      </c>
      <c r="X706" t="n">
        <v>0</v>
      </c>
      <c r="Y706" s="100" t="n">
        <v>2017</v>
      </c>
      <c r="Z706" t="s">
        <v>389</v>
      </c>
      <c r="AA706" s="101" t="str">
        <f>IF(G706="shared-count-once",COUNTIFS($A$2:$A$807,A706,$B$2:$B$807,B706,$D$2:$D$807,D706),1)</f>
      </c>
    </row>
    <row r="707">
      <c r="A707" t="s">
        <v>76</v>
      </c>
      <c r="B707" s="79" t="n">
        <v>2028</v>
      </c>
      <c r="C707" t="s">
        <v>249</v>
      </c>
      <c r="D707" s="80" t="s">
        <v>407</v>
      </c>
      <c r="E707" s="81" t="s">
        <v>408</v>
      </c>
      <c r="F707" s="82" t="s">
        <v>255</v>
      </c>
      <c r="G707" s="83" t="s">
        <v>384</v>
      </c>
      <c r="H707" s="84" t="s">
        <v>386</v>
      </c>
      <c r="I707" s="85" t="n">
        <v>1</v>
      </c>
      <c r="J707" s="86" t="n">
        <v>1</v>
      </c>
      <c r="K707" s="87" t="n">
        <v>0.004</v>
      </c>
      <c r="L707" s="88" t="n">
        <v>294317373.248038</v>
      </c>
      <c r="M707" s="89" t="n">
        <v>294314895.305465</v>
      </c>
      <c r="N707" s="90" t="str">
        <f>MIN(MAX((B707-'Calculation_Assumptions'!$B$5+1)/'Calculation_Assumptions'!$B$7,0),1)</f>
      </c>
      <c r="O707" s="91" t="str">
        <f>L707*I707</f>
      </c>
      <c r="P707" s="92" t="str">
        <f>M707*I707</f>
      </c>
      <c r="Q707" s="93" t="str">
        <f>P707*'Calculation_Assumptions'!$B$14*J707*K707</f>
      </c>
      <c r="R707" s="94" t="str">
        <f>O707*N707*J707*K707</f>
      </c>
      <c r="S707" s="95" t="str">
        <f>R707-Q707</f>
      </c>
      <c r="T707" s="96" t="str">
        <f>1/(1+'Calculation_Assumptions'!$B$8)^(B707-'Calculation_Assumptions'!$B$2)</f>
      </c>
      <c r="U707" s="97" t="str">
        <f>Q707*T707</f>
      </c>
      <c r="V707" s="98" t="str">
        <f>R707*T707</f>
      </c>
      <c r="W707" s="99" t="str">
        <f>S707*T707</f>
      </c>
      <c r="X707" t="n">
        <v>0</v>
      </c>
      <c r="Y707" s="100" t="n">
        <v>2017</v>
      </c>
      <c r="Z707" t="s">
        <v>389</v>
      </c>
      <c r="AA707" s="101" t="str">
        <f>IF(G707="shared-count-once",COUNTIFS($A$2:$A$807,A707,$B$2:$B$807,B707,$D$2:$D$807,D707),1)</f>
      </c>
    </row>
    <row r="708">
      <c r="A708" t="s">
        <v>76</v>
      </c>
      <c r="B708" s="79" t="n">
        <v>2029</v>
      </c>
      <c r="C708" t="s">
        <v>249</v>
      </c>
      <c r="D708" s="80" t="s">
        <v>407</v>
      </c>
      <c r="E708" s="81" t="s">
        <v>408</v>
      </c>
      <c r="F708" s="82" t="s">
        <v>255</v>
      </c>
      <c r="G708" s="83" t="s">
        <v>384</v>
      </c>
      <c r="H708" s="84" t="s">
        <v>386</v>
      </c>
      <c r="I708" s="85" t="n">
        <v>1</v>
      </c>
      <c r="J708" s="86" t="n">
        <v>1</v>
      </c>
      <c r="K708" s="87" t="n">
        <v>0.004</v>
      </c>
      <c r="L708" s="88" t="n">
        <v>296300392.819394</v>
      </c>
      <c r="M708" s="89" t="n">
        <v>296341062.542853</v>
      </c>
      <c r="N708" s="90" t="str">
        <f>MIN(MAX((B708-'Calculation_Assumptions'!$B$5+1)/'Calculation_Assumptions'!$B$7,0),1)</f>
      </c>
      <c r="O708" s="91" t="str">
        <f>L708*I708</f>
      </c>
      <c r="P708" s="92" t="str">
        <f>M708*I708</f>
      </c>
      <c r="Q708" s="93" t="str">
        <f>P708*'Calculation_Assumptions'!$B$14*J708*K708</f>
      </c>
      <c r="R708" s="94" t="str">
        <f>O708*N708*J708*K708</f>
      </c>
      <c r="S708" s="95" t="str">
        <f>R708-Q708</f>
      </c>
      <c r="T708" s="96" t="str">
        <f>1/(1+'Calculation_Assumptions'!$B$8)^(B708-'Calculation_Assumptions'!$B$2)</f>
      </c>
      <c r="U708" s="97" t="str">
        <f>Q708*T708</f>
      </c>
      <c r="V708" s="98" t="str">
        <f>R708*T708</f>
      </c>
      <c r="W708" s="99" t="str">
        <f>S708*T708</f>
      </c>
      <c r="X708" t="n">
        <v>0</v>
      </c>
      <c r="Y708" s="100" t="n">
        <v>2017</v>
      </c>
      <c r="Z708" t="s">
        <v>389</v>
      </c>
      <c r="AA708" s="101" t="str">
        <f>IF(G708="shared-count-once",COUNTIFS($A$2:$A$807,A708,$B$2:$B$807,B708,$D$2:$D$807,D708),1)</f>
      </c>
    </row>
    <row r="709">
      <c r="A709" t="s">
        <v>76</v>
      </c>
      <c r="B709" s="79" t="n">
        <v>2030</v>
      </c>
      <c r="C709" t="s">
        <v>249</v>
      </c>
      <c r="D709" s="80" t="s">
        <v>407</v>
      </c>
      <c r="E709" s="81" t="s">
        <v>408</v>
      </c>
      <c r="F709" s="82" t="s">
        <v>255</v>
      </c>
      <c r="G709" s="83" t="s">
        <v>384</v>
      </c>
      <c r="H709" s="84" t="s">
        <v>386</v>
      </c>
      <c r="I709" s="85" t="n">
        <v>1</v>
      </c>
      <c r="J709" s="86" t="n">
        <v>1</v>
      </c>
      <c r="K709" s="87" t="n">
        <v>0.004</v>
      </c>
      <c r="L709" s="88" t="n">
        <v>298303185.826537</v>
      </c>
      <c r="M709" s="89" t="n">
        <v>298280286.057263</v>
      </c>
      <c r="N709" s="90" t="str">
        <f>MIN(MAX((B709-'Calculation_Assumptions'!$B$5+1)/'Calculation_Assumptions'!$B$7,0),1)</f>
      </c>
      <c r="O709" s="91" t="str">
        <f>L709*I709</f>
      </c>
      <c r="P709" s="92" t="str">
        <f>M709*I709</f>
      </c>
      <c r="Q709" s="93" t="str">
        <f>P709*'Calculation_Assumptions'!$B$14*J709*K709</f>
      </c>
      <c r="R709" s="94" t="str">
        <f>O709*N709*J709*K709</f>
      </c>
      <c r="S709" s="95" t="str">
        <f>R709-Q709</f>
      </c>
      <c r="T709" s="96" t="str">
        <f>1/(1+'Calculation_Assumptions'!$B$8)^(B709-'Calculation_Assumptions'!$B$2)</f>
      </c>
      <c r="U709" s="97" t="str">
        <f>Q709*T709</f>
      </c>
      <c r="V709" s="98" t="str">
        <f>R709*T709</f>
      </c>
      <c r="W709" s="99" t="str">
        <f>S709*T709</f>
      </c>
      <c r="X709" t="n">
        <v>0</v>
      </c>
      <c r="Y709" s="100" t="n">
        <v>2017</v>
      </c>
      <c r="Z709" t="s">
        <v>389</v>
      </c>
      <c r="AA709" s="101" t="str">
        <f>IF(G709="shared-count-once",COUNTIFS($A$2:$A$807,A709,$B$2:$B$807,B709,$D$2:$D$807,D709),1)</f>
      </c>
    </row>
    <row r="710">
      <c r="A710" t="s">
        <v>76</v>
      </c>
      <c r="B710" s="79" t="n">
        <v>2031</v>
      </c>
      <c r="C710" t="s">
        <v>249</v>
      </c>
      <c r="D710" s="80" t="s">
        <v>407</v>
      </c>
      <c r="E710" s="81" t="s">
        <v>408</v>
      </c>
      <c r="F710" s="82" t="s">
        <v>255</v>
      </c>
      <c r="G710" s="83" t="s">
        <v>384</v>
      </c>
      <c r="H710" s="84" t="s">
        <v>386</v>
      </c>
      <c r="I710" s="85" t="n">
        <v>1</v>
      </c>
      <c r="J710" s="86" t="n">
        <v>1</v>
      </c>
      <c r="K710" s="87" t="n">
        <v>0.004</v>
      </c>
      <c r="L710" s="88" t="n">
        <v>300196273.385416</v>
      </c>
      <c r="M710" s="89" t="n">
        <v>300152603.254782</v>
      </c>
      <c r="N710" s="90" t="str">
        <f>MIN(MAX((B710-'Calculation_Assumptions'!$B$5+1)/'Calculation_Assumptions'!$B$7,0),1)</f>
      </c>
      <c r="O710" s="91" t="str">
        <f>L710*I710</f>
      </c>
      <c r="P710" s="92" t="str">
        <f>M710*I710</f>
      </c>
      <c r="Q710" s="93" t="str">
        <f>P710*'Calculation_Assumptions'!$B$14*J710*K710</f>
      </c>
      <c r="R710" s="94" t="str">
        <f>O710*N710*J710*K710</f>
      </c>
      <c r="S710" s="95" t="str">
        <f>R710-Q710</f>
      </c>
      <c r="T710" s="96" t="str">
        <f>1/(1+'Calculation_Assumptions'!$B$8)^(B710-'Calculation_Assumptions'!$B$2)</f>
      </c>
      <c r="U710" s="97" t="str">
        <f>Q710*T710</f>
      </c>
      <c r="V710" s="98" t="str">
        <f>R710*T710</f>
      </c>
      <c r="W710" s="99" t="str">
        <f>S710*T710</f>
      </c>
      <c r="X710" t="n">
        <v>0</v>
      </c>
      <c r="Y710" s="100" t="n">
        <v>2017</v>
      </c>
      <c r="Z710" t="s">
        <v>389</v>
      </c>
      <c r="AA710" s="101" t="str">
        <f>IF(G710="shared-count-once",COUNTIFS($A$2:$A$807,A710,$B$2:$B$807,B710,$D$2:$D$807,D710),1)</f>
      </c>
    </row>
    <row r="711">
      <c r="A711" t="s">
        <v>76</v>
      </c>
      <c r="B711" s="79" t="n">
        <v>2032</v>
      </c>
      <c r="C711" t="s">
        <v>249</v>
      </c>
      <c r="D711" s="80" t="s">
        <v>407</v>
      </c>
      <c r="E711" s="81" t="s">
        <v>408</v>
      </c>
      <c r="F711" s="82" t="s">
        <v>255</v>
      </c>
      <c r="G711" s="83" t="s">
        <v>384</v>
      </c>
      <c r="H711" s="84" t="s">
        <v>386</v>
      </c>
      <c r="I711" s="85" t="n">
        <v>1</v>
      </c>
      <c r="J711" s="86" t="n">
        <v>1</v>
      </c>
      <c r="K711" s="87" t="n">
        <v>0.004</v>
      </c>
      <c r="L711" s="88" t="n">
        <v>301958259.790884</v>
      </c>
      <c r="M711" s="89" t="n">
        <v>301959399.633888</v>
      </c>
      <c r="N711" s="90" t="str">
        <f>MIN(MAX((B711-'Calculation_Assumptions'!$B$5+1)/'Calculation_Assumptions'!$B$7,0),1)</f>
      </c>
      <c r="O711" s="91" t="str">
        <f>L711*I711</f>
      </c>
      <c r="P711" s="92" t="str">
        <f>M711*I711</f>
      </c>
      <c r="Q711" s="93" t="str">
        <f>P711*'Calculation_Assumptions'!$B$14*J711*K711</f>
      </c>
      <c r="R711" s="94" t="str">
        <f>O711*N711*J711*K711</f>
      </c>
      <c r="S711" s="95" t="str">
        <f>R711-Q711</f>
      </c>
      <c r="T711" s="96" t="str">
        <f>1/(1+'Calculation_Assumptions'!$B$8)^(B711-'Calculation_Assumptions'!$B$2)</f>
      </c>
      <c r="U711" s="97" t="str">
        <f>Q711*T711</f>
      </c>
      <c r="V711" s="98" t="str">
        <f>R711*T711</f>
      </c>
      <c r="W711" s="99" t="str">
        <f>S711*T711</f>
      </c>
      <c r="X711" t="n">
        <v>0</v>
      </c>
      <c r="Y711" s="100" t="n">
        <v>2017</v>
      </c>
      <c r="Z711" t="s">
        <v>389</v>
      </c>
      <c r="AA711" s="101" t="str">
        <f>IF(G711="shared-count-once",COUNTIFS($A$2:$A$807,A711,$B$2:$B$807,B711,$D$2:$D$807,D711),1)</f>
      </c>
    </row>
    <row r="712">
      <c r="A712" t="s">
        <v>76</v>
      </c>
      <c r="B712" s="79" t="n">
        <v>2033</v>
      </c>
      <c r="C712" t="s">
        <v>249</v>
      </c>
      <c r="D712" s="80" t="s">
        <v>407</v>
      </c>
      <c r="E712" s="81" t="s">
        <v>408</v>
      </c>
      <c r="F712" s="82" t="s">
        <v>255</v>
      </c>
      <c r="G712" s="83" t="s">
        <v>384</v>
      </c>
      <c r="H712" s="84" t="s">
        <v>386</v>
      </c>
      <c r="I712" s="85" t="n">
        <v>1</v>
      </c>
      <c r="J712" s="86" t="n">
        <v>1</v>
      </c>
      <c r="K712" s="87" t="n">
        <v>0.004</v>
      </c>
      <c r="L712" s="88" t="n">
        <v>303726787.443174</v>
      </c>
      <c r="M712" s="89" t="n">
        <v>303701035.202051</v>
      </c>
      <c r="N712" s="90" t="str">
        <f>MIN(MAX((B712-'Calculation_Assumptions'!$B$5+1)/'Calculation_Assumptions'!$B$7,0),1)</f>
      </c>
      <c r="O712" s="91" t="str">
        <f>L712*I712</f>
      </c>
      <c r="P712" s="92" t="str">
        <f>M712*I712</f>
      </c>
      <c r="Q712" s="93" t="str">
        <f>P712*'Calculation_Assumptions'!$B$14*J712*K712</f>
      </c>
      <c r="R712" s="94" t="str">
        <f>O712*N712*J712*K712</f>
      </c>
      <c r="S712" s="95" t="str">
        <f>R712-Q712</f>
      </c>
      <c r="T712" s="96" t="str">
        <f>1/(1+'Calculation_Assumptions'!$B$8)^(B712-'Calculation_Assumptions'!$B$2)</f>
      </c>
      <c r="U712" s="97" t="str">
        <f>Q712*T712</f>
      </c>
      <c r="V712" s="98" t="str">
        <f>R712*T712</f>
      </c>
      <c r="W712" s="99" t="str">
        <f>S712*T712</f>
      </c>
      <c r="X712" t="n">
        <v>0</v>
      </c>
      <c r="Y712" s="100" t="n">
        <v>2017</v>
      </c>
      <c r="Z712" t="s">
        <v>389</v>
      </c>
      <c r="AA712" s="101" t="str">
        <f>IF(G712="shared-count-once",COUNTIFS($A$2:$A$807,A712,$B$2:$B$807,B712,$D$2:$D$807,D712),1)</f>
      </c>
    </row>
    <row r="713">
      <c r="A713" t="s">
        <v>76</v>
      </c>
      <c r="B713" s="79" t="n">
        <v>2034</v>
      </c>
      <c r="C713" t="s">
        <v>249</v>
      </c>
      <c r="D713" s="80" t="s">
        <v>407</v>
      </c>
      <c r="E713" s="81" t="s">
        <v>408</v>
      </c>
      <c r="F713" s="82" t="s">
        <v>255</v>
      </c>
      <c r="G713" s="83" t="s">
        <v>384</v>
      </c>
      <c r="H713" s="84" t="s">
        <v>386</v>
      </c>
      <c r="I713" s="85" t="n">
        <v>1</v>
      </c>
      <c r="J713" s="86" t="n">
        <v>1</v>
      </c>
      <c r="K713" s="87" t="n">
        <v>0.004</v>
      </c>
      <c r="L713" s="88" t="n">
        <v>305436022.714483</v>
      </c>
      <c r="M713" s="89" t="n">
        <v>305377998.093319</v>
      </c>
      <c r="N713" s="90" t="str">
        <f>MIN(MAX((B713-'Calculation_Assumptions'!$B$5+1)/'Calculation_Assumptions'!$B$7,0),1)</f>
      </c>
      <c r="O713" s="91" t="str">
        <f>L713*I713</f>
      </c>
      <c r="P713" s="92" t="str">
        <f>M713*I713</f>
      </c>
      <c r="Q713" s="93" t="str">
        <f>P713*'Calculation_Assumptions'!$B$14*J713*K713</f>
      </c>
      <c r="R713" s="94" t="str">
        <f>O713*N713*J713*K713</f>
      </c>
      <c r="S713" s="95" t="str">
        <f>R713-Q713</f>
      </c>
      <c r="T713" s="96" t="str">
        <f>1/(1+'Calculation_Assumptions'!$B$8)^(B713-'Calculation_Assumptions'!$B$2)</f>
      </c>
      <c r="U713" s="97" t="str">
        <f>Q713*T713</f>
      </c>
      <c r="V713" s="98" t="str">
        <f>R713*T713</f>
      </c>
      <c r="W713" s="99" t="str">
        <f>S713*T713</f>
      </c>
      <c r="X713" t="n">
        <v>0</v>
      </c>
      <c r="Y713" s="100" t="n">
        <v>2017</v>
      </c>
      <c r="Z713" t="s">
        <v>389</v>
      </c>
      <c r="AA713" s="101" t="str">
        <f>IF(G713="shared-count-once",COUNTIFS($A$2:$A$807,A713,$B$2:$B$807,B713,$D$2:$D$807,D713),1)</f>
      </c>
    </row>
    <row r="714">
      <c r="A714" t="s">
        <v>76</v>
      </c>
      <c r="B714" s="79" t="n">
        <v>2035</v>
      </c>
      <c r="C714" t="s">
        <v>249</v>
      </c>
      <c r="D714" s="80" t="s">
        <v>407</v>
      </c>
      <c r="E714" s="81" t="s">
        <v>408</v>
      </c>
      <c r="F714" s="82" t="s">
        <v>255</v>
      </c>
      <c r="G714" s="83" t="s">
        <v>384</v>
      </c>
      <c r="H714" s="84" t="s">
        <v>386</v>
      </c>
      <c r="I714" s="85" t="n">
        <v>1</v>
      </c>
      <c r="J714" s="86" t="n">
        <v>1</v>
      </c>
      <c r="K714" s="87" t="n">
        <v>0.004</v>
      </c>
      <c r="L714" s="88" t="n">
        <v>307084503.869544</v>
      </c>
      <c r="M714" s="89" t="n">
        <v>306989258.29407</v>
      </c>
      <c r="N714" s="90" t="str">
        <f>MIN(MAX((B714-'Calculation_Assumptions'!$B$5+1)/'Calculation_Assumptions'!$B$7,0),1)</f>
      </c>
      <c r="O714" s="91" t="str">
        <f>L714*I714</f>
      </c>
      <c r="P714" s="92" t="str">
        <f>M714*I714</f>
      </c>
      <c r="Q714" s="93" t="str">
        <f>P714*'Calculation_Assumptions'!$B$14*J714*K714</f>
      </c>
      <c r="R714" s="94" t="str">
        <f>O714*N714*J714*K714</f>
      </c>
      <c r="S714" s="95" t="str">
        <f>R714-Q714</f>
      </c>
      <c r="T714" s="96" t="str">
        <f>1/(1+'Calculation_Assumptions'!$B$8)^(B714-'Calculation_Assumptions'!$B$2)</f>
      </c>
      <c r="U714" s="97" t="str">
        <f>Q714*T714</f>
      </c>
      <c r="V714" s="98" t="str">
        <f>R714*T714</f>
      </c>
      <c r="W714" s="99" t="str">
        <f>S714*T714</f>
      </c>
      <c r="X714" t="n">
        <v>0</v>
      </c>
      <c r="Y714" s="100" t="n">
        <v>2017</v>
      </c>
      <c r="Z714" t="s">
        <v>389</v>
      </c>
      <c r="AA714" s="101" t="str">
        <f>IF(G714="shared-count-once",COUNTIFS($A$2:$A$807,A714,$B$2:$B$807,B714,$D$2:$D$807,D714),1)</f>
      </c>
    </row>
    <row r="715">
      <c r="A715" t="s">
        <v>76</v>
      </c>
      <c r="B715" s="79" t="n">
        <v>2036</v>
      </c>
      <c r="C715" t="s">
        <v>249</v>
      </c>
      <c r="D715" s="80" t="s">
        <v>407</v>
      </c>
      <c r="E715" s="81" t="s">
        <v>408</v>
      </c>
      <c r="F715" s="82" t="s">
        <v>255</v>
      </c>
      <c r="G715" s="83" t="s">
        <v>384</v>
      </c>
      <c r="H715" s="84" t="s">
        <v>386</v>
      </c>
      <c r="I715" s="85" t="n">
        <v>1</v>
      </c>
      <c r="J715" s="86" t="n">
        <v>1</v>
      </c>
      <c r="K715" s="87" t="n">
        <v>0.004</v>
      </c>
      <c r="L715" s="88" t="n">
        <v>308674578.680747</v>
      </c>
      <c r="M715" s="89" t="n">
        <v>308537399.672094</v>
      </c>
      <c r="N715" s="90" t="str">
        <f>MIN(MAX((B715-'Calculation_Assumptions'!$B$5+1)/'Calculation_Assumptions'!$B$7,0),1)</f>
      </c>
      <c r="O715" s="91" t="str">
        <f>L715*I715</f>
      </c>
      <c r="P715" s="92" t="str">
        <f>M715*I715</f>
      </c>
      <c r="Q715" s="93" t="str">
        <f>P715*'Calculation_Assumptions'!$B$14*J715*K715</f>
      </c>
      <c r="R715" s="94" t="str">
        <f>O715*N715*J715*K715</f>
      </c>
      <c r="S715" s="95" t="str">
        <f>R715-Q715</f>
      </c>
      <c r="T715" s="96" t="str">
        <f>1/(1+'Calculation_Assumptions'!$B$8)^(B715-'Calculation_Assumptions'!$B$2)</f>
      </c>
      <c r="U715" s="97" t="str">
        <f>Q715*T715</f>
      </c>
      <c r="V715" s="98" t="str">
        <f>R715*T715</f>
      </c>
      <c r="W715" s="99" t="str">
        <f>S715*T715</f>
      </c>
      <c r="X715" t="n">
        <v>0</v>
      </c>
      <c r="Y715" s="100" t="n">
        <v>2017</v>
      </c>
      <c r="Z715" t="s">
        <v>389</v>
      </c>
      <c r="AA715" s="101" t="str">
        <f>IF(G715="shared-count-once",COUNTIFS($A$2:$A$807,A715,$B$2:$B$807,B715,$D$2:$D$807,D715),1)</f>
      </c>
    </row>
    <row r="716">
      <c r="A716" t="s">
        <v>76</v>
      </c>
      <c r="B716" s="79" t="n">
        <v>2037</v>
      </c>
      <c r="C716" t="s">
        <v>249</v>
      </c>
      <c r="D716" s="80" t="s">
        <v>407</v>
      </c>
      <c r="E716" s="81" t="s">
        <v>408</v>
      </c>
      <c r="F716" s="82" t="s">
        <v>255</v>
      </c>
      <c r="G716" s="83" t="s">
        <v>384</v>
      </c>
      <c r="H716" s="84" t="s">
        <v>386</v>
      </c>
      <c r="I716" s="85" t="n">
        <v>1</v>
      </c>
      <c r="J716" s="86" t="n">
        <v>1</v>
      </c>
      <c r="K716" s="87" t="n">
        <v>0.004</v>
      </c>
      <c r="L716" s="88" t="n">
        <v>310206624.908372</v>
      </c>
      <c r="M716" s="89" t="n">
        <v>310023120.393472</v>
      </c>
      <c r="N716" s="90" t="str">
        <f>MIN(MAX((B716-'Calculation_Assumptions'!$B$5+1)/'Calculation_Assumptions'!$B$7,0),1)</f>
      </c>
      <c r="O716" s="91" t="str">
        <f>L716*I716</f>
      </c>
      <c r="P716" s="92" t="str">
        <f>M716*I716</f>
      </c>
      <c r="Q716" s="93" t="str">
        <f>P716*'Calculation_Assumptions'!$B$14*J716*K716</f>
      </c>
      <c r="R716" s="94" t="str">
        <f>O716*N716*J716*K716</f>
      </c>
      <c r="S716" s="95" t="str">
        <f>R716-Q716</f>
      </c>
      <c r="T716" s="96" t="str">
        <f>1/(1+'Calculation_Assumptions'!$B$8)^(B716-'Calculation_Assumptions'!$B$2)</f>
      </c>
      <c r="U716" s="97" t="str">
        <f>Q716*T716</f>
      </c>
      <c r="V716" s="98" t="str">
        <f>R716*T716</f>
      </c>
      <c r="W716" s="99" t="str">
        <f>S716*T716</f>
      </c>
      <c r="X716" t="n">
        <v>0</v>
      </c>
      <c r="Y716" s="100" t="n">
        <v>2017</v>
      </c>
      <c r="Z716" t="s">
        <v>389</v>
      </c>
      <c r="AA716" s="101" t="str">
        <f>IF(G716="shared-count-once",COUNTIFS($A$2:$A$807,A716,$B$2:$B$807,B716,$D$2:$D$807,D716),1)</f>
      </c>
    </row>
    <row r="717">
      <c r="A717" t="s">
        <v>76</v>
      </c>
      <c r="B717" s="79" t="n">
        <v>2038</v>
      </c>
      <c r="C717" t="s">
        <v>249</v>
      </c>
      <c r="D717" s="80" t="s">
        <v>407</v>
      </c>
      <c r="E717" s="81" t="s">
        <v>408</v>
      </c>
      <c r="F717" s="82" t="s">
        <v>255</v>
      </c>
      <c r="G717" s="83" t="s">
        <v>384</v>
      </c>
      <c r="H717" s="84" t="s">
        <v>386</v>
      </c>
      <c r="I717" s="85" t="n">
        <v>1</v>
      </c>
      <c r="J717" s="86" t="n">
        <v>1</v>
      </c>
      <c r="K717" s="87" t="n">
        <v>0.004</v>
      </c>
      <c r="L717" s="88" t="n">
        <v>311680372.519886</v>
      </c>
      <c r="M717" s="89" t="n">
        <v>311445837.134625</v>
      </c>
      <c r="N717" s="90" t="str">
        <f>MIN(MAX((B717-'Calculation_Assumptions'!$B$5+1)/'Calculation_Assumptions'!$B$7,0),1)</f>
      </c>
      <c r="O717" s="91" t="str">
        <f>L717*I717</f>
      </c>
      <c r="P717" s="92" t="str">
        <f>M717*I717</f>
      </c>
      <c r="Q717" s="93" t="str">
        <f>P717*'Calculation_Assumptions'!$B$14*J717*K717</f>
      </c>
      <c r="R717" s="94" t="str">
        <f>O717*N717*J717*K717</f>
      </c>
      <c r="S717" s="95" t="str">
        <f>R717-Q717</f>
      </c>
      <c r="T717" s="96" t="str">
        <f>1/(1+'Calculation_Assumptions'!$B$8)^(B717-'Calculation_Assumptions'!$B$2)</f>
      </c>
      <c r="U717" s="97" t="str">
        <f>Q717*T717</f>
      </c>
      <c r="V717" s="98" t="str">
        <f>R717*T717</f>
      </c>
      <c r="W717" s="99" t="str">
        <f>S717*T717</f>
      </c>
      <c r="X717" t="n">
        <v>0</v>
      </c>
      <c r="Y717" s="100" t="n">
        <v>2017</v>
      </c>
      <c r="Z717" t="s">
        <v>389</v>
      </c>
      <c r="AA717" s="101" t="str">
        <f>IF(G717="shared-count-once",COUNTIFS($A$2:$A$807,A717,$B$2:$B$807,B717,$D$2:$D$807,D717),1)</f>
      </c>
    </row>
    <row r="718">
      <c r="A718" t="s">
        <v>76</v>
      </c>
      <c r="B718" s="79" t="n">
        <v>2039</v>
      </c>
      <c r="C718" t="s">
        <v>249</v>
      </c>
      <c r="D718" s="80" t="s">
        <v>407</v>
      </c>
      <c r="E718" s="81" t="s">
        <v>408</v>
      </c>
      <c r="F718" s="82" t="s">
        <v>255</v>
      </c>
      <c r="G718" s="83" t="s">
        <v>384</v>
      </c>
      <c r="H718" s="84" t="s">
        <v>386</v>
      </c>
      <c r="I718" s="85" t="n">
        <v>1</v>
      </c>
      <c r="J718" s="86" t="n">
        <v>1</v>
      </c>
      <c r="K718" s="87" t="n">
        <v>0.004</v>
      </c>
      <c r="L718" s="88" t="n">
        <v>313096760.631209</v>
      </c>
      <c r="M718" s="89" t="n">
        <v>312806989.715685</v>
      </c>
      <c r="N718" s="90" t="str">
        <f>MIN(MAX((B718-'Calculation_Assumptions'!$B$5+1)/'Calculation_Assumptions'!$B$7,0),1)</f>
      </c>
      <c r="O718" s="91" t="str">
        <f>L718*I718</f>
      </c>
      <c r="P718" s="92" t="str">
        <f>M718*I718</f>
      </c>
      <c r="Q718" s="93" t="str">
        <f>P718*'Calculation_Assumptions'!$B$14*J718*K718</f>
      </c>
      <c r="R718" s="94" t="str">
        <f>O718*N718*J718*K718</f>
      </c>
      <c r="S718" s="95" t="str">
        <f>R718-Q718</f>
      </c>
      <c r="T718" s="96" t="str">
        <f>1/(1+'Calculation_Assumptions'!$B$8)^(B718-'Calculation_Assumptions'!$B$2)</f>
      </c>
      <c r="U718" s="97" t="str">
        <f>Q718*T718</f>
      </c>
      <c r="V718" s="98" t="str">
        <f>R718*T718</f>
      </c>
      <c r="W718" s="99" t="str">
        <f>S718*T718</f>
      </c>
      <c r="X718" t="n">
        <v>0</v>
      </c>
      <c r="Y718" s="100" t="n">
        <v>2017</v>
      </c>
      <c r="Z718" t="s">
        <v>389</v>
      </c>
      <c r="AA718" s="101" t="str">
        <f>IF(G718="shared-count-once",COUNTIFS($A$2:$A$807,A718,$B$2:$B$807,B718,$D$2:$D$807,D718),1)</f>
      </c>
    </row>
    <row r="719">
      <c r="A719" t="s">
        <v>76</v>
      </c>
      <c r="B719" s="79" t="n">
        <v>2040</v>
      </c>
      <c r="C719" t="s">
        <v>249</v>
      </c>
      <c r="D719" s="80" t="s">
        <v>407</v>
      </c>
      <c r="E719" s="81" t="s">
        <v>408</v>
      </c>
      <c r="F719" s="82" t="s">
        <v>255</v>
      </c>
      <c r="G719" s="83" t="s">
        <v>384</v>
      </c>
      <c r="H719" s="84" t="s">
        <v>386</v>
      </c>
      <c r="I719" s="85" t="n">
        <v>1</v>
      </c>
      <c r="J719" s="86" t="n">
        <v>1</v>
      </c>
      <c r="K719" s="87" t="n">
        <v>0.004</v>
      </c>
      <c r="L719" s="88" t="n">
        <v>314457822.69727</v>
      </c>
      <c r="M719" s="89" t="n">
        <v>314109251.582649</v>
      </c>
      <c r="N719" s="90" t="str">
        <f>MIN(MAX((B719-'Calculation_Assumptions'!$B$5+1)/'Calculation_Assumptions'!$B$7,0),1)</f>
      </c>
      <c r="O719" s="91" t="str">
        <f>L719*I719</f>
      </c>
      <c r="P719" s="92" t="str">
        <f>M719*I719</f>
      </c>
      <c r="Q719" s="93" t="str">
        <f>P719*'Calculation_Assumptions'!$B$14*J719*K719</f>
      </c>
      <c r="R719" s="94" t="str">
        <f>O719*N719*J719*K719</f>
      </c>
      <c r="S719" s="95" t="str">
        <f>R719-Q719</f>
      </c>
      <c r="T719" s="96" t="str">
        <f>1/(1+'Calculation_Assumptions'!$B$8)^(B719-'Calculation_Assumptions'!$B$2)</f>
      </c>
      <c r="U719" s="97" t="str">
        <f>Q719*T719</f>
      </c>
      <c r="V719" s="98" t="str">
        <f>R719*T719</f>
      </c>
      <c r="W719" s="99" t="str">
        <f>S719*T719</f>
      </c>
      <c r="X719" t="n">
        <v>0</v>
      </c>
      <c r="Y719" s="100" t="n">
        <v>2017</v>
      </c>
      <c r="Z719" t="s">
        <v>389</v>
      </c>
      <c r="AA719" s="101" t="str">
        <f>IF(G719="shared-count-once",COUNTIFS($A$2:$A$807,A719,$B$2:$B$807,B719,$D$2:$D$807,D719),1)</f>
      </c>
    </row>
    <row r="720">
      <c r="A720" t="s">
        <v>76</v>
      </c>
      <c r="B720" s="79" t="n">
        <v>2041</v>
      </c>
      <c r="C720" t="s">
        <v>249</v>
      </c>
      <c r="D720" s="80" t="s">
        <v>407</v>
      </c>
      <c r="E720" s="81" t="s">
        <v>408</v>
      </c>
      <c r="F720" s="82" t="s">
        <v>255</v>
      </c>
      <c r="G720" s="83" t="s">
        <v>384</v>
      </c>
      <c r="H720" s="84" t="s">
        <v>386</v>
      </c>
      <c r="I720" s="85" t="n">
        <v>1</v>
      </c>
      <c r="J720" s="86" t="n">
        <v>1</v>
      </c>
      <c r="K720" s="87" t="n">
        <v>0.004</v>
      </c>
      <c r="L720" s="88" t="n">
        <v>315762299.651562</v>
      </c>
      <c r="M720" s="89" t="n">
        <v>315352079.812423</v>
      </c>
      <c r="N720" s="90" t="str">
        <f>MIN(MAX((B720-'Calculation_Assumptions'!$B$5+1)/'Calculation_Assumptions'!$B$7,0),1)</f>
      </c>
      <c r="O720" s="91" t="str">
        <f>L720*I720</f>
      </c>
      <c r="P720" s="92" t="str">
        <f>M720*I720</f>
      </c>
      <c r="Q720" s="93" t="str">
        <f>P720*'Calculation_Assumptions'!$B$14*J720*K720</f>
      </c>
      <c r="R720" s="94" t="str">
        <f>O720*N720*J720*K720</f>
      </c>
      <c r="S720" s="95" t="str">
        <f>R720-Q720</f>
      </c>
      <c r="T720" s="96" t="str">
        <f>1/(1+'Calculation_Assumptions'!$B$8)^(B720-'Calculation_Assumptions'!$B$2)</f>
      </c>
      <c r="U720" s="97" t="str">
        <f>Q720*T720</f>
      </c>
      <c r="V720" s="98" t="str">
        <f>R720*T720</f>
      </c>
      <c r="W720" s="99" t="str">
        <f>S720*T720</f>
      </c>
      <c r="X720" t="n">
        <v>0</v>
      </c>
      <c r="Y720" s="100" t="n">
        <v>2017</v>
      </c>
      <c r="Z720" t="s">
        <v>389</v>
      </c>
      <c r="AA720" s="101" t="str">
        <f>IF(G720="shared-count-once",COUNTIFS($A$2:$A$807,A720,$B$2:$B$807,B720,$D$2:$D$807,D720),1)</f>
      </c>
    </row>
    <row r="721">
      <c r="A721" t="s">
        <v>76</v>
      </c>
      <c r="B721" s="79" t="n">
        <v>2042</v>
      </c>
      <c r="C721" t="s">
        <v>249</v>
      </c>
      <c r="D721" s="80" t="s">
        <v>407</v>
      </c>
      <c r="E721" s="81" t="s">
        <v>408</v>
      </c>
      <c r="F721" s="82" t="s">
        <v>255</v>
      </c>
      <c r="G721" s="83" t="s">
        <v>384</v>
      </c>
      <c r="H721" s="84" t="s">
        <v>386</v>
      </c>
      <c r="I721" s="85" t="n">
        <v>1</v>
      </c>
      <c r="J721" s="86" t="n">
        <v>1</v>
      </c>
      <c r="K721" s="87" t="n">
        <v>0.004</v>
      </c>
      <c r="L721" s="88" t="n">
        <v>317010735.77488</v>
      </c>
      <c r="M721" s="89" t="n">
        <v>316395286.312016</v>
      </c>
      <c r="N721" s="90" t="str">
        <f>MIN(MAX((B721-'Calculation_Assumptions'!$B$5+1)/'Calculation_Assumptions'!$B$7,0),1)</f>
      </c>
      <c r="O721" s="91" t="str">
        <f>L721*I721</f>
      </c>
      <c r="P721" s="92" t="str">
        <f>M721*I721</f>
      </c>
      <c r="Q721" s="93" t="str">
        <f>P721*'Calculation_Assumptions'!$B$14*J721*K721</f>
      </c>
      <c r="R721" s="94" t="str">
        <f>O721*N721*J721*K721</f>
      </c>
      <c r="S721" s="95" t="str">
        <f>R721-Q721</f>
      </c>
      <c r="T721" s="96" t="str">
        <f>1/(1+'Calculation_Assumptions'!$B$8)^(B721-'Calculation_Assumptions'!$B$2)</f>
      </c>
      <c r="U721" s="97" t="str">
        <f>Q721*T721</f>
      </c>
      <c r="V721" s="98" t="str">
        <f>R721*T721</f>
      </c>
      <c r="W721" s="99" t="str">
        <f>S721*T721</f>
      </c>
      <c r="X721" t="n">
        <v>0</v>
      </c>
      <c r="Y721" s="100" t="n">
        <v>2017</v>
      </c>
      <c r="Z721" t="s">
        <v>389</v>
      </c>
      <c r="AA721" s="101" t="str">
        <f>IF(G721="shared-count-once",COUNTIFS($A$2:$A$807,A721,$B$2:$B$807,B721,$D$2:$D$807,D721),1)</f>
      </c>
    </row>
    <row r="722">
      <c r="A722" t="s">
        <v>76</v>
      </c>
      <c r="B722" s="79" t="n">
        <v>2043</v>
      </c>
      <c r="C722" t="s">
        <v>249</v>
      </c>
      <c r="D722" s="80" t="s">
        <v>407</v>
      </c>
      <c r="E722" s="81" t="s">
        <v>408</v>
      </c>
      <c r="F722" s="82" t="s">
        <v>255</v>
      </c>
      <c r="G722" s="83" t="s">
        <v>384</v>
      </c>
      <c r="H722" s="84" t="s">
        <v>386</v>
      </c>
      <c r="I722" s="85" t="n">
        <v>1</v>
      </c>
      <c r="J722" s="86" t="n">
        <v>1</v>
      </c>
      <c r="K722" s="87" t="n">
        <v>0.004</v>
      </c>
      <c r="L722" s="88" t="n">
        <v>318158750.005661</v>
      </c>
      <c r="M722" s="89" t="n">
        <v>317619735.688289</v>
      </c>
      <c r="N722" s="90" t="str">
        <f>MIN(MAX((B722-'Calculation_Assumptions'!$B$5+1)/'Calculation_Assumptions'!$B$7,0),1)</f>
      </c>
      <c r="O722" s="91" t="str">
        <f>L722*I722</f>
      </c>
      <c r="P722" s="92" t="str">
        <f>M722*I722</f>
      </c>
      <c r="Q722" s="93" t="str">
        <f>P722*'Calculation_Assumptions'!$B$14*J722*K722</f>
      </c>
      <c r="R722" s="94" t="str">
        <f>O722*N722*J722*K722</f>
      </c>
      <c r="S722" s="95" t="str">
        <f>R722-Q722</f>
      </c>
      <c r="T722" s="96" t="str">
        <f>1/(1+'Calculation_Assumptions'!$B$8)^(B722-'Calculation_Assumptions'!$B$2)</f>
      </c>
      <c r="U722" s="97" t="str">
        <f>Q722*T722</f>
      </c>
      <c r="V722" s="98" t="str">
        <f>R722*T722</f>
      </c>
      <c r="W722" s="99" t="str">
        <f>S722*T722</f>
      </c>
      <c r="X722" t="n">
        <v>0</v>
      </c>
      <c r="Y722" s="100" t="n">
        <v>2017</v>
      </c>
      <c r="Z722" t="s">
        <v>389</v>
      </c>
      <c r="AA722" s="101" t="str">
        <f>IF(G722="shared-count-once",COUNTIFS($A$2:$A$807,A722,$B$2:$B$807,B722,$D$2:$D$807,D722),1)</f>
      </c>
    </row>
    <row r="723">
      <c r="A723" t="s">
        <v>76</v>
      </c>
      <c r="B723" s="79" t="n">
        <v>2044</v>
      </c>
      <c r="C723" t="s">
        <v>249</v>
      </c>
      <c r="D723" s="80" t="s">
        <v>407</v>
      </c>
      <c r="E723" s="81" t="s">
        <v>408</v>
      </c>
      <c r="F723" s="82" t="s">
        <v>255</v>
      </c>
      <c r="G723" s="83" t="s">
        <v>384</v>
      </c>
      <c r="H723" s="84" t="s">
        <v>386</v>
      </c>
      <c r="I723" s="85" t="n">
        <v>1</v>
      </c>
      <c r="J723" s="86" t="n">
        <v>1</v>
      </c>
      <c r="K723" s="87" t="n">
        <v>0.004</v>
      </c>
      <c r="L723" s="88" t="n">
        <v>319305078.475065</v>
      </c>
      <c r="M723" s="89" t="n">
        <v>318697135.863652</v>
      </c>
      <c r="N723" s="90" t="str">
        <f>MIN(MAX((B723-'Calculation_Assumptions'!$B$5+1)/'Calculation_Assumptions'!$B$7,0),1)</f>
      </c>
      <c r="O723" s="91" t="str">
        <f>L723*I723</f>
      </c>
      <c r="P723" s="92" t="str">
        <f>M723*I723</f>
      </c>
      <c r="Q723" s="93" t="str">
        <f>P723*'Calculation_Assumptions'!$B$14*J723*K723</f>
      </c>
      <c r="R723" s="94" t="str">
        <f>O723*N723*J723*K723</f>
      </c>
      <c r="S723" s="95" t="str">
        <f>R723-Q723</f>
      </c>
      <c r="T723" s="96" t="str">
        <f>1/(1+'Calculation_Assumptions'!$B$8)^(B723-'Calculation_Assumptions'!$B$2)</f>
      </c>
      <c r="U723" s="97" t="str">
        <f>Q723*T723</f>
      </c>
      <c r="V723" s="98" t="str">
        <f>R723*T723</f>
      </c>
      <c r="W723" s="99" t="str">
        <f>S723*T723</f>
      </c>
      <c r="X723" t="n">
        <v>0</v>
      </c>
      <c r="Y723" s="100" t="n">
        <v>2017</v>
      </c>
      <c r="Z723" t="s">
        <v>389</v>
      </c>
      <c r="AA723" s="101" t="str">
        <f>IF(G723="shared-count-once",COUNTIFS($A$2:$A$807,A723,$B$2:$B$807,B723,$D$2:$D$807,D723),1)</f>
      </c>
    </row>
    <row r="724">
      <c r="A724" t="s">
        <v>76</v>
      </c>
      <c r="B724" s="79" t="n">
        <v>2045</v>
      </c>
      <c r="C724" t="s">
        <v>249</v>
      </c>
      <c r="D724" s="80" t="s">
        <v>407</v>
      </c>
      <c r="E724" s="81" t="s">
        <v>408</v>
      </c>
      <c r="F724" s="82" t="s">
        <v>255</v>
      </c>
      <c r="G724" s="83" t="s">
        <v>384</v>
      </c>
      <c r="H724" s="84" t="s">
        <v>386</v>
      </c>
      <c r="I724" s="85" t="n">
        <v>1</v>
      </c>
      <c r="J724" s="86" t="n">
        <v>1</v>
      </c>
      <c r="K724" s="87" t="n">
        <v>0.004</v>
      </c>
      <c r="L724" s="88" t="n">
        <v>320395460.874147</v>
      </c>
      <c r="M724" s="89" t="n">
        <v>319717840.85179</v>
      </c>
      <c r="N724" s="90" t="str">
        <f>MIN(MAX((B724-'Calculation_Assumptions'!$B$5+1)/'Calculation_Assumptions'!$B$7,0),1)</f>
      </c>
      <c r="O724" s="91" t="str">
        <f>L724*I724</f>
      </c>
      <c r="P724" s="92" t="str">
        <f>M724*I724</f>
      </c>
      <c r="Q724" s="93" t="str">
        <f>P724*'Calculation_Assumptions'!$B$14*J724*K724</f>
      </c>
      <c r="R724" s="94" t="str">
        <f>O724*N724*J724*K724</f>
      </c>
      <c r="S724" s="95" t="str">
        <f>R724-Q724</f>
      </c>
      <c r="T724" s="96" t="str">
        <f>1/(1+'Calculation_Assumptions'!$B$8)^(B724-'Calculation_Assumptions'!$B$2)</f>
      </c>
      <c r="U724" s="97" t="str">
        <f>Q724*T724</f>
      </c>
      <c r="V724" s="98" t="str">
        <f>R724*T724</f>
      </c>
      <c r="W724" s="99" t="str">
        <f>S724*T724</f>
      </c>
      <c r="X724" t="n">
        <v>0</v>
      </c>
      <c r="Y724" s="100" t="n">
        <v>2017</v>
      </c>
      <c r="Z724" t="s">
        <v>389</v>
      </c>
      <c r="AA724" s="101" t="str">
        <f>IF(G724="shared-count-once",COUNTIFS($A$2:$A$807,A724,$B$2:$B$807,B724,$D$2:$D$807,D724),1)</f>
      </c>
    </row>
    <row r="725">
      <c r="A725" t="s">
        <v>76</v>
      </c>
      <c r="B725" s="79" t="n">
        <v>2046</v>
      </c>
      <c r="C725" t="s">
        <v>249</v>
      </c>
      <c r="D725" s="80" t="s">
        <v>407</v>
      </c>
      <c r="E725" s="81" t="s">
        <v>408</v>
      </c>
      <c r="F725" s="82" t="s">
        <v>255</v>
      </c>
      <c r="G725" s="83" t="s">
        <v>384</v>
      </c>
      <c r="H725" s="84" t="s">
        <v>386</v>
      </c>
      <c r="I725" s="85" t="n">
        <v>1</v>
      </c>
      <c r="J725" s="86" t="n">
        <v>1</v>
      </c>
      <c r="K725" s="87" t="n">
        <v>0.004</v>
      </c>
      <c r="L725" s="88" t="n">
        <v>321430558.971018</v>
      </c>
      <c r="M725" s="89" t="n">
        <v>320683879.806276</v>
      </c>
      <c r="N725" s="90" t="str">
        <f>MIN(MAX((B725-'Calculation_Assumptions'!$B$5+1)/'Calculation_Assumptions'!$B$7,0),1)</f>
      </c>
      <c r="O725" s="91" t="str">
        <f>L725*I725</f>
      </c>
      <c r="P725" s="92" t="str">
        <f>M725*I725</f>
      </c>
      <c r="Q725" s="93" t="str">
        <f>P725*'Calculation_Assumptions'!$B$14*J725*K725</f>
      </c>
      <c r="R725" s="94" t="str">
        <f>O725*N725*J725*K725</f>
      </c>
      <c r="S725" s="95" t="str">
        <f>R725-Q725</f>
      </c>
      <c r="T725" s="96" t="str">
        <f>1/(1+'Calculation_Assumptions'!$B$8)^(B725-'Calculation_Assumptions'!$B$2)</f>
      </c>
      <c r="U725" s="97" t="str">
        <f>Q725*T725</f>
      </c>
      <c r="V725" s="98" t="str">
        <f>R725*T725</f>
      </c>
      <c r="W725" s="99" t="str">
        <f>S725*T725</f>
      </c>
      <c r="X725" t="n">
        <v>0</v>
      </c>
      <c r="Y725" s="100" t="n">
        <v>2017</v>
      </c>
      <c r="Z725" t="s">
        <v>389</v>
      </c>
      <c r="AA725" s="101" t="str">
        <f>IF(G725="shared-count-once",COUNTIFS($A$2:$A$807,A725,$B$2:$B$807,B725,$D$2:$D$807,D725),1)</f>
      </c>
    </row>
    <row r="726">
      <c r="A726" t="s">
        <v>76</v>
      </c>
      <c r="B726" s="79" t="n">
        <v>2047</v>
      </c>
      <c r="C726" t="s">
        <v>249</v>
      </c>
      <c r="D726" s="80" t="s">
        <v>407</v>
      </c>
      <c r="E726" s="81" t="s">
        <v>408</v>
      </c>
      <c r="F726" s="82" t="s">
        <v>255</v>
      </c>
      <c r="G726" s="83" t="s">
        <v>384</v>
      </c>
      <c r="H726" s="84" t="s">
        <v>386</v>
      </c>
      <c r="I726" s="85" t="n">
        <v>1</v>
      </c>
      <c r="J726" s="86" t="n">
        <v>1</v>
      </c>
      <c r="K726" s="87" t="n">
        <v>0.004</v>
      </c>
      <c r="L726" s="88" t="n">
        <v>322411096.713551</v>
      </c>
      <c r="M726" s="89" t="n">
        <v>321595541.389526</v>
      </c>
      <c r="N726" s="90" t="str">
        <f>MIN(MAX((B726-'Calculation_Assumptions'!$B$5+1)/'Calculation_Assumptions'!$B$7,0),1)</f>
      </c>
      <c r="O726" s="91" t="str">
        <f>L726*I726</f>
      </c>
      <c r="P726" s="92" t="str">
        <f>M726*I726</f>
      </c>
      <c r="Q726" s="93" t="str">
        <f>P726*'Calculation_Assumptions'!$B$14*J726*K726</f>
      </c>
      <c r="R726" s="94" t="str">
        <f>O726*N726*J726*K726</f>
      </c>
      <c r="S726" s="95" t="str">
        <f>R726-Q726</f>
      </c>
      <c r="T726" s="96" t="str">
        <f>1/(1+'Calculation_Assumptions'!$B$8)^(B726-'Calculation_Assumptions'!$B$2)</f>
      </c>
      <c r="U726" s="97" t="str">
        <f>Q726*T726</f>
      </c>
      <c r="V726" s="98" t="str">
        <f>R726*T726</f>
      </c>
      <c r="W726" s="99" t="str">
        <f>S726*T726</f>
      </c>
      <c r="X726" t="n">
        <v>0</v>
      </c>
      <c r="Y726" s="100" t="n">
        <v>2017</v>
      </c>
      <c r="Z726" t="s">
        <v>389</v>
      </c>
      <c r="AA726" s="101" t="str">
        <f>IF(G726="shared-count-once",COUNTIFS($A$2:$A$807,A726,$B$2:$B$807,B726,$D$2:$D$807,D726),1)</f>
      </c>
    </row>
    <row r="727">
      <c r="A727" t="s">
        <v>76</v>
      </c>
      <c r="B727" s="79" t="n">
        <v>2048</v>
      </c>
      <c r="C727" t="s">
        <v>249</v>
      </c>
      <c r="D727" s="80" t="s">
        <v>407</v>
      </c>
      <c r="E727" s="81" t="s">
        <v>408</v>
      </c>
      <c r="F727" s="82" t="s">
        <v>255</v>
      </c>
      <c r="G727" s="83" t="s">
        <v>384</v>
      </c>
      <c r="H727" s="84" t="s">
        <v>386</v>
      </c>
      <c r="I727" s="85" t="n">
        <v>1</v>
      </c>
      <c r="J727" s="86" t="n">
        <v>1</v>
      </c>
      <c r="K727" s="87" t="n">
        <v>0.004</v>
      </c>
      <c r="L727" s="88" t="n">
        <v>323337875.603966</v>
      </c>
      <c r="M727" s="89" t="n">
        <v>322453622.669464</v>
      </c>
      <c r="N727" s="90" t="str">
        <f>MIN(MAX((B727-'Calculation_Assumptions'!$B$5+1)/'Calculation_Assumptions'!$B$7,0),1)</f>
      </c>
      <c r="O727" s="91" t="str">
        <f>L727*I727</f>
      </c>
      <c r="P727" s="92" t="str">
        <f>M727*I727</f>
      </c>
      <c r="Q727" s="93" t="str">
        <f>P727*'Calculation_Assumptions'!$B$14*J727*K727</f>
      </c>
      <c r="R727" s="94" t="str">
        <f>O727*N727*J727*K727</f>
      </c>
      <c r="S727" s="95" t="str">
        <f>R727-Q727</f>
      </c>
      <c r="T727" s="96" t="str">
        <f>1/(1+'Calculation_Assumptions'!$B$8)^(B727-'Calculation_Assumptions'!$B$2)</f>
      </c>
      <c r="U727" s="97" t="str">
        <f>Q727*T727</f>
      </c>
      <c r="V727" s="98" t="str">
        <f>R727*T727</f>
      </c>
      <c r="W727" s="99" t="str">
        <f>S727*T727</f>
      </c>
      <c r="X727" t="n">
        <v>0</v>
      </c>
      <c r="Y727" s="100" t="n">
        <v>2017</v>
      </c>
      <c r="Z727" t="s">
        <v>389</v>
      </c>
      <c r="AA727" s="101" t="str">
        <f>IF(G727="shared-count-once",COUNTIFS($A$2:$A$807,A727,$B$2:$B$807,B727,$D$2:$D$807,D727),1)</f>
      </c>
    </row>
    <row r="728">
      <c r="A728" t="s">
        <v>76</v>
      </c>
      <c r="B728" s="79" t="n">
        <v>2049</v>
      </c>
      <c r="C728" t="s">
        <v>249</v>
      </c>
      <c r="D728" s="80" t="s">
        <v>407</v>
      </c>
      <c r="E728" s="81" t="s">
        <v>408</v>
      </c>
      <c r="F728" s="82" t="s">
        <v>255</v>
      </c>
      <c r="G728" s="83" t="s">
        <v>384</v>
      </c>
      <c r="H728" s="84" t="s">
        <v>386</v>
      </c>
      <c r="I728" s="85" t="n">
        <v>1</v>
      </c>
      <c r="J728" s="86" t="n">
        <v>1</v>
      </c>
      <c r="K728" s="87" t="n">
        <v>0.004</v>
      </c>
      <c r="L728" s="88" t="n">
        <v>324211859.675226</v>
      </c>
      <c r="M728" s="89" t="n">
        <v>323259246.716719</v>
      </c>
      <c r="N728" s="90" t="str">
        <f>MIN(MAX((B728-'Calculation_Assumptions'!$B$5+1)/'Calculation_Assumptions'!$B$7,0),1)</f>
      </c>
      <c r="O728" s="91" t="str">
        <f>L728*I728</f>
      </c>
      <c r="P728" s="92" t="str">
        <f>M728*I728</f>
      </c>
      <c r="Q728" s="93" t="str">
        <f>P728*'Calculation_Assumptions'!$B$14*J728*K728</f>
      </c>
      <c r="R728" s="94" t="str">
        <f>O728*N728*J728*K728</f>
      </c>
      <c r="S728" s="95" t="str">
        <f>R728-Q728</f>
      </c>
      <c r="T728" s="96" t="str">
        <f>1/(1+'Calculation_Assumptions'!$B$8)^(B728-'Calculation_Assumptions'!$B$2)</f>
      </c>
      <c r="U728" s="97" t="str">
        <f>Q728*T728</f>
      </c>
      <c r="V728" s="98" t="str">
        <f>R728*T728</f>
      </c>
      <c r="W728" s="99" t="str">
        <f>S728*T728</f>
      </c>
      <c r="X728" t="n">
        <v>0</v>
      </c>
      <c r="Y728" s="100" t="n">
        <v>2017</v>
      </c>
      <c r="Z728" t="s">
        <v>389</v>
      </c>
      <c r="AA728" s="101" t="str">
        <f>IF(G728="shared-count-once",COUNTIFS($A$2:$A$807,A728,$B$2:$B$807,B728,$D$2:$D$807,D728),1)</f>
      </c>
    </row>
    <row r="729">
      <c r="A729" t="s">
        <v>76</v>
      </c>
      <c r="B729" s="79" t="n">
        <v>2050</v>
      </c>
      <c r="C729" t="s">
        <v>249</v>
      </c>
      <c r="D729" s="80" t="s">
        <v>407</v>
      </c>
      <c r="E729" s="81" t="s">
        <v>408</v>
      </c>
      <c r="F729" s="82" t="s">
        <v>255</v>
      </c>
      <c r="G729" s="83" t="s">
        <v>384</v>
      </c>
      <c r="H729" s="84" t="s">
        <v>386</v>
      </c>
      <c r="I729" s="85" t="n">
        <v>1</v>
      </c>
      <c r="J729" s="86" t="n">
        <v>1</v>
      </c>
      <c r="K729" s="87" t="n">
        <v>0.004</v>
      </c>
      <c r="L729" s="88" t="n">
        <v>325034214.935484</v>
      </c>
      <c r="M729" s="89" t="n">
        <v>324013738.182479</v>
      </c>
      <c r="N729" s="90" t="str">
        <f>MIN(MAX((B729-'Calculation_Assumptions'!$B$5+1)/'Calculation_Assumptions'!$B$7,0),1)</f>
      </c>
      <c r="O729" s="91" t="str">
        <f>L729*I729</f>
      </c>
      <c r="P729" s="92" t="str">
        <f>M729*I729</f>
      </c>
      <c r="Q729" s="93" t="str">
        <f>P729*'Calculation_Assumptions'!$B$14*J729*K729</f>
      </c>
      <c r="R729" s="94" t="str">
        <f>O729*N729*J729*K729</f>
      </c>
      <c r="S729" s="95" t="str">
        <f>R729-Q729</f>
      </c>
      <c r="T729" s="96" t="str">
        <f>1/(1+'Calculation_Assumptions'!$B$8)^(B729-'Calculation_Assumptions'!$B$2)</f>
      </c>
      <c r="U729" s="97" t="str">
        <f>Q729*T729</f>
      </c>
      <c r="V729" s="98" t="str">
        <f>R729*T729</f>
      </c>
      <c r="W729" s="99" t="str">
        <f>S729*T729</f>
      </c>
      <c r="X729" t="n">
        <v>0</v>
      </c>
      <c r="Y729" s="100" t="n">
        <v>2017</v>
      </c>
      <c r="Z729" t="s">
        <v>389</v>
      </c>
      <c r="AA729" s="101" t="str">
        <f>IF(G729="shared-count-once",COUNTIFS($A$2:$A$807,A729,$B$2:$B$807,B729,$D$2:$D$807,D729),1)</f>
      </c>
    </row>
    <row r="730">
      <c r="A730" t="s">
        <v>76</v>
      </c>
      <c r="B730" s="79" t="n">
        <v>2025</v>
      </c>
      <c r="C730" t="s">
        <v>259</v>
      </c>
      <c r="D730" s="80" t="s">
        <v>409</v>
      </c>
      <c r="E730" s="81" t="s">
        <v>410</v>
      </c>
      <c r="F730" s="82" t="s">
        <v>262</v>
      </c>
      <c r="G730" s="83" t="s">
        <v>395</v>
      </c>
      <c r="H730" s="84" t="s">
        <v>386</v>
      </c>
      <c r="I730" s="85" t="n">
        <v>1</v>
      </c>
      <c r="J730" s="86" t="n">
        <v>1</v>
      </c>
      <c r="K730" s="87" t="n">
        <v>0.0077</v>
      </c>
      <c r="L730" s="88" t="n">
        <v>288000821.106462</v>
      </c>
      <c r="M730" s="89" t="n">
        <v>288000821.106462</v>
      </c>
      <c r="N730" s="90" t="str">
        <f>MIN(MAX((B730-'Calculation_Assumptions'!$B$5+1)/'Calculation_Assumptions'!$B$7,0),1)</f>
      </c>
      <c r="O730" s="91" t="str">
        <f>L730*I730</f>
      </c>
      <c r="P730" s="92" t="str">
        <f>M730*I730</f>
      </c>
      <c r="Q730" s="93" t="str">
        <f>P730*'Calculation_Assumptions'!$B$14*J730*K730</f>
      </c>
      <c r="R730" s="94" t="str">
        <f>O730*N730*J730*K730</f>
      </c>
      <c r="S730" s="95" t="str">
        <f>R730-Q730</f>
      </c>
      <c r="T730" s="96" t="str">
        <f>1/(1+'Calculation_Assumptions'!$B$8)^(B730-'Calculation_Assumptions'!$B$2)</f>
      </c>
      <c r="U730" s="97" t="str">
        <f>Q730*T730</f>
      </c>
      <c r="V730" s="98" t="str">
        <f>R730*T730</f>
      </c>
      <c r="W730" s="99" t="str">
        <f>S730*T730</f>
      </c>
      <c r="X730" t="n">
        <v>0</v>
      </c>
      <c r="Y730" s="100" t="n">
        <v>2017</v>
      </c>
      <c r="Z730" t="s">
        <v>389</v>
      </c>
      <c r="AA730" s="101" t="str">
        <f>IF(G730="shared-count-once",COUNTIFS($A$2:$A$807,A730,$B$2:$B$807,B730,$D$2:$D$807,D730),1)</f>
      </c>
    </row>
    <row r="731">
      <c r="A731" t="s">
        <v>76</v>
      </c>
      <c r="B731" s="79" t="n">
        <v>2026</v>
      </c>
      <c r="C731" t="s">
        <v>259</v>
      </c>
      <c r="D731" s="80" t="s">
        <v>409</v>
      </c>
      <c r="E731" s="81" t="s">
        <v>410</v>
      </c>
      <c r="F731" s="82" t="s">
        <v>262</v>
      </c>
      <c r="G731" s="83" t="s">
        <v>395</v>
      </c>
      <c r="H731" s="84" t="s">
        <v>386</v>
      </c>
      <c r="I731" s="85" t="n">
        <v>1</v>
      </c>
      <c r="J731" s="86" t="n">
        <v>1</v>
      </c>
      <c r="K731" s="87" t="n">
        <v>0.0077</v>
      </c>
      <c r="L731" s="88" t="n">
        <v>290123496.103219</v>
      </c>
      <c r="M731" s="89" t="n">
        <v>290123496.103219</v>
      </c>
      <c r="N731" s="90" t="str">
        <f>MIN(MAX((B731-'Calculation_Assumptions'!$B$5+1)/'Calculation_Assumptions'!$B$7,0),1)</f>
      </c>
      <c r="O731" s="91" t="str">
        <f>L731*I731</f>
      </c>
      <c r="P731" s="92" t="str">
        <f>M731*I731</f>
      </c>
      <c r="Q731" s="93" t="str">
        <f>P731*'Calculation_Assumptions'!$B$14*J731*K731</f>
      </c>
      <c r="R731" s="94" t="str">
        <f>O731*N731*J731*K731</f>
      </c>
      <c r="S731" s="95" t="str">
        <f>R731-Q731</f>
      </c>
      <c r="T731" s="96" t="str">
        <f>1/(1+'Calculation_Assumptions'!$B$8)^(B731-'Calculation_Assumptions'!$B$2)</f>
      </c>
      <c r="U731" s="97" t="str">
        <f>Q731*T731</f>
      </c>
      <c r="V731" s="98" t="str">
        <f>R731*T731</f>
      </c>
      <c r="W731" s="99" t="str">
        <f>S731*T731</f>
      </c>
      <c r="X731" t="n">
        <v>0</v>
      </c>
      <c r="Y731" s="100" t="n">
        <v>2017</v>
      </c>
      <c r="Z731" t="s">
        <v>389</v>
      </c>
      <c r="AA731" s="101" t="str">
        <f>IF(G731="shared-count-once",COUNTIFS($A$2:$A$807,A731,$B$2:$B$807,B731,$D$2:$D$807,D731),1)</f>
      </c>
    </row>
    <row r="732">
      <c r="A732" t="s">
        <v>76</v>
      </c>
      <c r="B732" s="79" t="n">
        <v>2027</v>
      </c>
      <c r="C732" t="s">
        <v>259</v>
      </c>
      <c r="D732" s="80" t="s">
        <v>409</v>
      </c>
      <c r="E732" s="81" t="s">
        <v>410</v>
      </c>
      <c r="F732" s="82" t="s">
        <v>262</v>
      </c>
      <c r="G732" s="83" t="s">
        <v>395</v>
      </c>
      <c r="H732" s="84" t="s">
        <v>386</v>
      </c>
      <c r="I732" s="85" t="n">
        <v>1</v>
      </c>
      <c r="J732" s="86" t="n">
        <v>1</v>
      </c>
      <c r="K732" s="87" t="n">
        <v>0.0077</v>
      </c>
      <c r="L732" s="88" t="n">
        <v>292252895.096956</v>
      </c>
      <c r="M732" s="89" t="n">
        <v>292252895.096956</v>
      </c>
      <c r="N732" s="90" t="str">
        <f>MIN(MAX((B732-'Calculation_Assumptions'!$B$5+1)/'Calculation_Assumptions'!$B$7,0),1)</f>
      </c>
      <c r="O732" s="91" t="str">
        <f>L732*I732</f>
      </c>
      <c r="P732" s="92" t="str">
        <f>M732*I732</f>
      </c>
      <c r="Q732" s="93" t="str">
        <f>P732*'Calculation_Assumptions'!$B$14*J732*K732</f>
      </c>
      <c r="R732" s="94" t="str">
        <f>O732*N732*J732*K732</f>
      </c>
      <c r="S732" s="95" t="str">
        <f>R732-Q732</f>
      </c>
      <c r="T732" s="96" t="str">
        <f>1/(1+'Calculation_Assumptions'!$B$8)^(B732-'Calculation_Assumptions'!$B$2)</f>
      </c>
      <c r="U732" s="97" t="str">
        <f>Q732*T732</f>
      </c>
      <c r="V732" s="98" t="str">
        <f>R732*T732</f>
      </c>
      <c r="W732" s="99" t="str">
        <f>S732*T732</f>
      </c>
      <c r="X732" t="n">
        <v>0</v>
      </c>
      <c r="Y732" s="100" t="n">
        <v>2017</v>
      </c>
      <c r="Z732" t="s">
        <v>389</v>
      </c>
      <c r="AA732" s="101" t="str">
        <f>IF(G732="shared-count-once",COUNTIFS($A$2:$A$807,A732,$B$2:$B$807,B732,$D$2:$D$807,D732),1)</f>
      </c>
    </row>
    <row r="733">
      <c r="A733" t="s">
        <v>76</v>
      </c>
      <c r="B733" s="79" t="n">
        <v>2028</v>
      </c>
      <c r="C733" t="s">
        <v>259</v>
      </c>
      <c r="D733" s="80" t="s">
        <v>409</v>
      </c>
      <c r="E733" s="81" t="s">
        <v>410</v>
      </c>
      <c r="F733" s="82" t="s">
        <v>262</v>
      </c>
      <c r="G733" s="83" t="s">
        <v>395</v>
      </c>
      <c r="H733" s="84" t="s">
        <v>386</v>
      </c>
      <c r="I733" s="85" t="n">
        <v>1</v>
      </c>
      <c r="J733" s="86" t="n">
        <v>1</v>
      </c>
      <c r="K733" s="87" t="n">
        <v>0.0077</v>
      </c>
      <c r="L733" s="88" t="n">
        <v>294317373.248038</v>
      </c>
      <c r="M733" s="89" t="n">
        <v>294314895.305465</v>
      </c>
      <c r="N733" s="90" t="str">
        <f>MIN(MAX((B733-'Calculation_Assumptions'!$B$5+1)/'Calculation_Assumptions'!$B$7,0),1)</f>
      </c>
      <c r="O733" s="91" t="str">
        <f>L733*I733</f>
      </c>
      <c r="P733" s="92" t="str">
        <f>M733*I733</f>
      </c>
      <c r="Q733" s="93" t="str">
        <f>P733*'Calculation_Assumptions'!$B$14*J733*K733</f>
      </c>
      <c r="R733" s="94" t="str">
        <f>O733*N733*J733*K733</f>
      </c>
      <c r="S733" s="95" t="str">
        <f>R733-Q733</f>
      </c>
      <c r="T733" s="96" t="str">
        <f>1/(1+'Calculation_Assumptions'!$B$8)^(B733-'Calculation_Assumptions'!$B$2)</f>
      </c>
      <c r="U733" s="97" t="str">
        <f>Q733*T733</f>
      </c>
      <c r="V733" s="98" t="str">
        <f>R733*T733</f>
      </c>
      <c r="W733" s="99" t="str">
        <f>S733*T733</f>
      </c>
      <c r="X733" t="n">
        <v>0</v>
      </c>
      <c r="Y733" s="100" t="n">
        <v>2017</v>
      </c>
      <c r="Z733" t="s">
        <v>389</v>
      </c>
      <c r="AA733" s="101" t="str">
        <f>IF(G733="shared-count-once",COUNTIFS($A$2:$A$807,A733,$B$2:$B$807,B733,$D$2:$D$807,D733),1)</f>
      </c>
    </row>
    <row r="734">
      <c r="A734" t="s">
        <v>76</v>
      </c>
      <c r="B734" s="79" t="n">
        <v>2029</v>
      </c>
      <c r="C734" t="s">
        <v>259</v>
      </c>
      <c r="D734" s="80" t="s">
        <v>409</v>
      </c>
      <c r="E734" s="81" t="s">
        <v>410</v>
      </c>
      <c r="F734" s="82" t="s">
        <v>262</v>
      </c>
      <c r="G734" s="83" t="s">
        <v>395</v>
      </c>
      <c r="H734" s="84" t="s">
        <v>386</v>
      </c>
      <c r="I734" s="85" t="n">
        <v>1</v>
      </c>
      <c r="J734" s="86" t="n">
        <v>1</v>
      </c>
      <c r="K734" s="87" t="n">
        <v>0.0077</v>
      </c>
      <c r="L734" s="88" t="n">
        <v>296300392.819394</v>
      </c>
      <c r="M734" s="89" t="n">
        <v>296341062.542853</v>
      </c>
      <c r="N734" s="90" t="str">
        <f>MIN(MAX((B734-'Calculation_Assumptions'!$B$5+1)/'Calculation_Assumptions'!$B$7,0),1)</f>
      </c>
      <c r="O734" s="91" t="str">
        <f>L734*I734</f>
      </c>
      <c r="P734" s="92" t="str">
        <f>M734*I734</f>
      </c>
      <c r="Q734" s="93" t="str">
        <f>P734*'Calculation_Assumptions'!$B$14*J734*K734</f>
      </c>
      <c r="R734" s="94" t="str">
        <f>O734*N734*J734*K734</f>
      </c>
      <c r="S734" s="95" t="str">
        <f>R734-Q734</f>
      </c>
      <c r="T734" s="96" t="str">
        <f>1/(1+'Calculation_Assumptions'!$B$8)^(B734-'Calculation_Assumptions'!$B$2)</f>
      </c>
      <c r="U734" s="97" t="str">
        <f>Q734*T734</f>
      </c>
      <c r="V734" s="98" t="str">
        <f>R734*T734</f>
      </c>
      <c r="W734" s="99" t="str">
        <f>S734*T734</f>
      </c>
      <c r="X734" t="n">
        <v>0</v>
      </c>
      <c r="Y734" s="100" t="n">
        <v>2017</v>
      </c>
      <c r="Z734" t="s">
        <v>389</v>
      </c>
      <c r="AA734" s="101" t="str">
        <f>IF(G734="shared-count-once",COUNTIFS($A$2:$A$807,A734,$B$2:$B$807,B734,$D$2:$D$807,D734),1)</f>
      </c>
    </row>
    <row r="735">
      <c r="A735" t="s">
        <v>76</v>
      </c>
      <c r="B735" s="79" t="n">
        <v>2030</v>
      </c>
      <c r="C735" t="s">
        <v>259</v>
      </c>
      <c r="D735" s="80" t="s">
        <v>409</v>
      </c>
      <c r="E735" s="81" t="s">
        <v>410</v>
      </c>
      <c r="F735" s="82" t="s">
        <v>262</v>
      </c>
      <c r="G735" s="83" t="s">
        <v>395</v>
      </c>
      <c r="H735" s="84" t="s">
        <v>386</v>
      </c>
      <c r="I735" s="85" t="n">
        <v>1</v>
      </c>
      <c r="J735" s="86" t="n">
        <v>1</v>
      </c>
      <c r="K735" s="87" t="n">
        <v>0.0077</v>
      </c>
      <c r="L735" s="88" t="n">
        <v>298303185.826537</v>
      </c>
      <c r="M735" s="89" t="n">
        <v>298280286.057263</v>
      </c>
      <c r="N735" s="90" t="str">
        <f>MIN(MAX((B735-'Calculation_Assumptions'!$B$5+1)/'Calculation_Assumptions'!$B$7,0),1)</f>
      </c>
      <c r="O735" s="91" t="str">
        <f>L735*I735</f>
      </c>
      <c r="P735" s="92" t="str">
        <f>M735*I735</f>
      </c>
      <c r="Q735" s="93" t="str">
        <f>P735*'Calculation_Assumptions'!$B$14*J735*K735</f>
      </c>
      <c r="R735" s="94" t="str">
        <f>O735*N735*J735*K735</f>
      </c>
      <c r="S735" s="95" t="str">
        <f>R735-Q735</f>
      </c>
      <c r="T735" s="96" t="str">
        <f>1/(1+'Calculation_Assumptions'!$B$8)^(B735-'Calculation_Assumptions'!$B$2)</f>
      </c>
      <c r="U735" s="97" t="str">
        <f>Q735*T735</f>
      </c>
      <c r="V735" s="98" t="str">
        <f>R735*T735</f>
      </c>
      <c r="W735" s="99" t="str">
        <f>S735*T735</f>
      </c>
      <c r="X735" t="n">
        <v>0</v>
      </c>
      <c r="Y735" s="100" t="n">
        <v>2017</v>
      </c>
      <c r="Z735" t="s">
        <v>389</v>
      </c>
      <c r="AA735" s="101" t="str">
        <f>IF(G735="shared-count-once",COUNTIFS($A$2:$A$807,A735,$B$2:$B$807,B735,$D$2:$D$807,D735),1)</f>
      </c>
    </row>
    <row r="736">
      <c r="A736" t="s">
        <v>76</v>
      </c>
      <c r="B736" s="79" t="n">
        <v>2031</v>
      </c>
      <c r="C736" t="s">
        <v>259</v>
      </c>
      <c r="D736" s="80" t="s">
        <v>409</v>
      </c>
      <c r="E736" s="81" t="s">
        <v>410</v>
      </c>
      <c r="F736" s="82" t="s">
        <v>262</v>
      </c>
      <c r="G736" s="83" t="s">
        <v>395</v>
      </c>
      <c r="H736" s="84" t="s">
        <v>386</v>
      </c>
      <c r="I736" s="85" t="n">
        <v>1</v>
      </c>
      <c r="J736" s="86" t="n">
        <v>1</v>
      </c>
      <c r="K736" s="87" t="n">
        <v>0.0077</v>
      </c>
      <c r="L736" s="88" t="n">
        <v>300196273.385416</v>
      </c>
      <c r="M736" s="89" t="n">
        <v>300152603.254782</v>
      </c>
      <c r="N736" s="90" t="str">
        <f>MIN(MAX((B736-'Calculation_Assumptions'!$B$5+1)/'Calculation_Assumptions'!$B$7,0),1)</f>
      </c>
      <c r="O736" s="91" t="str">
        <f>L736*I736</f>
      </c>
      <c r="P736" s="92" t="str">
        <f>M736*I736</f>
      </c>
      <c r="Q736" s="93" t="str">
        <f>P736*'Calculation_Assumptions'!$B$14*J736*K736</f>
      </c>
      <c r="R736" s="94" t="str">
        <f>O736*N736*J736*K736</f>
      </c>
      <c r="S736" s="95" t="str">
        <f>R736-Q736</f>
      </c>
      <c r="T736" s="96" t="str">
        <f>1/(1+'Calculation_Assumptions'!$B$8)^(B736-'Calculation_Assumptions'!$B$2)</f>
      </c>
      <c r="U736" s="97" t="str">
        <f>Q736*T736</f>
      </c>
      <c r="V736" s="98" t="str">
        <f>R736*T736</f>
      </c>
      <c r="W736" s="99" t="str">
        <f>S736*T736</f>
      </c>
      <c r="X736" t="n">
        <v>0</v>
      </c>
      <c r="Y736" s="100" t="n">
        <v>2017</v>
      </c>
      <c r="Z736" t="s">
        <v>389</v>
      </c>
      <c r="AA736" s="101" t="str">
        <f>IF(G736="shared-count-once",COUNTIFS($A$2:$A$807,A736,$B$2:$B$807,B736,$D$2:$D$807,D736),1)</f>
      </c>
    </row>
    <row r="737">
      <c r="A737" t="s">
        <v>76</v>
      </c>
      <c r="B737" s="79" t="n">
        <v>2032</v>
      </c>
      <c r="C737" t="s">
        <v>259</v>
      </c>
      <c r="D737" s="80" t="s">
        <v>409</v>
      </c>
      <c r="E737" s="81" t="s">
        <v>410</v>
      </c>
      <c r="F737" s="82" t="s">
        <v>262</v>
      </c>
      <c r="G737" s="83" t="s">
        <v>395</v>
      </c>
      <c r="H737" s="84" t="s">
        <v>386</v>
      </c>
      <c r="I737" s="85" t="n">
        <v>1</v>
      </c>
      <c r="J737" s="86" t="n">
        <v>1</v>
      </c>
      <c r="K737" s="87" t="n">
        <v>0.0077</v>
      </c>
      <c r="L737" s="88" t="n">
        <v>301958259.790884</v>
      </c>
      <c r="M737" s="89" t="n">
        <v>301959399.633888</v>
      </c>
      <c r="N737" s="90" t="str">
        <f>MIN(MAX((B737-'Calculation_Assumptions'!$B$5+1)/'Calculation_Assumptions'!$B$7,0),1)</f>
      </c>
      <c r="O737" s="91" t="str">
        <f>L737*I737</f>
      </c>
      <c r="P737" s="92" t="str">
        <f>M737*I737</f>
      </c>
      <c r="Q737" s="93" t="str">
        <f>P737*'Calculation_Assumptions'!$B$14*J737*K737</f>
      </c>
      <c r="R737" s="94" t="str">
        <f>O737*N737*J737*K737</f>
      </c>
      <c r="S737" s="95" t="str">
        <f>R737-Q737</f>
      </c>
      <c r="T737" s="96" t="str">
        <f>1/(1+'Calculation_Assumptions'!$B$8)^(B737-'Calculation_Assumptions'!$B$2)</f>
      </c>
      <c r="U737" s="97" t="str">
        <f>Q737*T737</f>
      </c>
      <c r="V737" s="98" t="str">
        <f>R737*T737</f>
      </c>
      <c r="W737" s="99" t="str">
        <f>S737*T737</f>
      </c>
      <c r="X737" t="n">
        <v>0</v>
      </c>
      <c r="Y737" s="100" t="n">
        <v>2017</v>
      </c>
      <c r="Z737" t="s">
        <v>389</v>
      </c>
      <c r="AA737" s="101" t="str">
        <f>IF(G737="shared-count-once",COUNTIFS($A$2:$A$807,A737,$B$2:$B$807,B737,$D$2:$D$807,D737),1)</f>
      </c>
    </row>
    <row r="738">
      <c r="A738" t="s">
        <v>76</v>
      </c>
      <c r="B738" s="79" t="n">
        <v>2033</v>
      </c>
      <c r="C738" t="s">
        <v>259</v>
      </c>
      <c r="D738" s="80" t="s">
        <v>409</v>
      </c>
      <c r="E738" s="81" t="s">
        <v>410</v>
      </c>
      <c r="F738" s="82" t="s">
        <v>262</v>
      </c>
      <c r="G738" s="83" t="s">
        <v>395</v>
      </c>
      <c r="H738" s="84" t="s">
        <v>386</v>
      </c>
      <c r="I738" s="85" t="n">
        <v>1</v>
      </c>
      <c r="J738" s="86" t="n">
        <v>1</v>
      </c>
      <c r="K738" s="87" t="n">
        <v>0.0077</v>
      </c>
      <c r="L738" s="88" t="n">
        <v>303726787.443174</v>
      </c>
      <c r="M738" s="89" t="n">
        <v>303701035.202051</v>
      </c>
      <c r="N738" s="90" t="str">
        <f>MIN(MAX((B738-'Calculation_Assumptions'!$B$5+1)/'Calculation_Assumptions'!$B$7,0),1)</f>
      </c>
      <c r="O738" s="91" t="str">
        <f>L738*I738</f>
      </c>
      <c r="P738" s="92" t="str">
        <f>M738*I738</f>
      </c>
      <c r="Q738" s="93" t="str">
        <f>P738*'Calculation_Assumptions'!$B$14*J738*K738</f>
      </c>
      <c r="R738" s="94" t="str">
        <f>O738*N738*J738*K738</f>
      </c>
      <c r="S738" s="95" t="str">
        <f>R738-Q738</f>
      </c>
      <c r="T738" s="96" t="str">
        <f>1/(1+'Calculation_Assumptions'!$B$8)^(B738-'Calculation_Assumptions'!$B$2)</f>
      </c>
      <c r="U738" s="97" t="str">
        <f>Q738*T738</f>
      </c>
      <c r="V738" s="98" t="str">
        <f>R738*T738</f>
      </c>
      <c r="W738" s="99" t="str">
        <f>S738*T738</f>
      </c>
      <c r="X738" t="n">
        <v>0</v>
      </c>
      <c r="Y738" s="100" t="n">
        <v>2017</v>
      </c>
      <c r="Z738" t="s">
        <v>389</v>
      </c>
      <c r="AA738" s="101" t="str">
        <f>IF(G738="shared-count-once",COUNTIFS($A$2:$A$807,A738,$B$2:$B$807,B738,$D$2:$D$807,D738),1)</f>
      </c>
    </row>
    <row r="739">
      <c r="A739" t="s">
        <v>76</v>
      </c>
      <c r="B739" s="79" t="n">
        <v>2034</v>
      </c>
      <c r="C739" t="s">
        <v>259</v>
      </c>
      <c r="D739" s="80" t="s">
        <v>409</v>
      </c>
      <c r="E739" s="81" t="s">
        <v>410</v>
      </c>
      <c r="F739" s="82" t="s">
        <v>262</v>
      </c>
      <c r="G739" s="83" t="s">
        <v>395</v>
      </c>
      <c r="H739" s="84" t="s">
        <v>386</v>
      </c>
      <c r="I739" s="85" t="n">
        <v>1</v>
      </c>
      <c r="J739" s="86" t="n">
        <v>1</v>
      </c>
      <c r="K739" s="87" t="n">
        <v>0.0077</v>
      </c>
      <c r="L739" s="88" t="n">
        <v>305436022.714483</v>
      </c>
      <c r="M739" s="89" t="n">
        <v>305377998.093319</v>
      </c>
      <c r="N739" s="90" t="str">
        <f>MIN(MAX((B739-'Calculation_Assumptions'!$B$5+1)/'Calculation_Assumptions'!$B$7,0),1)</f>
      </c>
      <c r="O739" s="91" t="str">
        <f>L739*I739</f>
      </c>
      <c r="P739" s="92" t="str">
        <f>M739*I739</f>
      </c>
      <c r="Q739" s="93" t="str">
        <f>P739*'Calculation_Assumptions'!$B$14*J739*K739</f>
      </c>
      <c r="R739" s="94" t="str">
        <f>O739*N739*J739*K739</f>
      </c>
      <c r="S739" s="95" t="str">
        <f>R739-Q739</f>
      </c>
      <c r="T739" s="96" t="str">
        <f>1/(1+'Calculation_Assumptions'!$B$8)^(B739-'Calculation_Assumptions'!$B$2)</f>
      </c>
      <c r="U739" s="97" t="str">
        <f>Q739*T739</f>
      </c>
      <c r="V739" s="98" t="str">
        <f>R739*T739</f>
      </c>
      <c r="W739" s="99" t="str">
        <f>S739*T739</f>
      </c>
      <c r="X739" t="n">
        <v>0</v>
      </c>
      <c r="Y739" s="100" t="n">
        <v>2017</v>
      </c>
      <c r="Z739" t="s">
        <v>389</v>
      </c>
      <c r="AA739" s="101" t="str">
        <f>IF(G739="shared-count-once",COUNTIFS($A$2:$A$807,A739,$B$2:$B$807,B739,$D$2:$D$807,D739),1)</f>
      </c>
    </row>
    <row r="740">
      <c r="A740" t="s">
        <v>76</v>
      </c>
      <c r="B740" s="79" t="n">
        <v>2035</v>
      </c>
      <c r="C740" t="s">
        <v>259</v>
      </c>
      <c r="D740" s="80" t="s">
        <v>409</v>
      </c>
      <c r="E740" s="81" t="s">
        <v>410</v>
      </c>
      <c r="F740" s="82" t="s">
        <v>262</v>
      </c>
      <c r="G740" s="83" t="s">
        <v>395</v>
      </c>
      <c r="H740" s="84" t="s">
        <v>386</v>
      </c>
      <c r="I740" s="85" t="n">
        <v>1</v>
      </c>
      <c r="J740" s="86" t="n">
        <v>1</v>
      </c>
      <c r="K740" s="87" t="n">
        <v>0.0077</v>
      </c>
      <c r="L740" s="88" t="n">
        <v>307084503.869544</v>
      </c>
      <c r="M740" s="89" t="n">
        <v>306989258.29407</v>
      </c>
      <c r="N740" s="90" t="str">
        <f>MIN(MAX((B740-'Calculation_Assumptions'!$B$5+1)/'Calculation_Assumptions'!$B$7,0),1)</f>
      </c>
      <c r="O740" s="91" t="str">
        <f>L740*I740</f>
      </c>
      <c r="P740" s="92" t="str">
        <f>M740*I740</f>
      </c>
      <c r="Q740" s="93" t="str">
        <f>P740*'Calculation_Assumptions'!$B$14*J740*K740</f>
      </c>
      <c r="R740" s="94" t="str">
        <f>O740*N740*J740*K740</f>
      </c>
      <c r="S740" s="95" t="str">
        <f>R740-Q740</f>
      </c>
      <c r="T740" s="96" t="str">
        <f>1/(1+'Calculation_Assumptions'!$B$8)^(B740-'Calculation_Assumptions'!$B$2)</f>
      </c>
      <c r="U740" s="97" t="str">
        <f>Q740*T740</f>
      </c>
      <c r="V740" s="98" t="str">
        <f>R740*T740</f>
      </c>
      <c r="W740" s="99" t="str">
        <f>S740*T740</f>
      </c>
      <c r="X740" t="n">
        <v>0</v>
      </c>
      <c r="Y740" s="100" t="n">
        <v>2017</v>
      </c>
      <c r="Z740" t="s">
        <v>389</v>
      </c>
      <c r="AA740" s="101" t="str">
        <f>IF(G740="shared-count-once",COUNTIFS($A$2:$A$807,A740,$B$2:$B$807,B740,$D$2:$D$807,D740),1)</f>
      </c>
    </row>
    <row r="741">
      <c r="A741" t="s">
        <v>76</v>
      </c>
      <c r="B741" s="79" t="n">
        <v>2036</v>
      </c>
      <c r="C741" t="s">
        <v>259</v>
      </c>
      <c r="D741" s="80" t="s">
        <v>409</v>
      </c>
      <c r="E741" s="81" t="s">
        <v>410</v>
      </c>
      <c r="F741" s="82" t="s">
        <v>262</v>
      </c>
      <c r="G741" s="83" t="s">
        <v>395</v>
      </c>
      <c r="H741" s="84" t="s">
        <v>386</v>
      </c>
      <c r="I741" s="85" t="n">
        <v>1</v>
      </c>
      <c r="J741" s="86" t="n">
        <v>1</v>
      </c>
      <c r="K741" s="87" t="n">
        <v>0.0077</v>
      </c>
      <c r="L741" s="88" t="n">
        <v>308674578.680747</v>
      </c>
      <c r="M741" s="89" t="n">
        <v>308537399.672094</v>
      </c>
      <c r="N741" s="90" t="str">
        <f>MIN(MAX((B741-'Calculation_Assumptions'!$B$5+1)/'Calculation_Assumptions'!$B$7,0),1)</f>
      </c>
      <c r="O741" s="91" t="str">
        <f>L741*I741</f>
      </c>
      <c r="P741" s="92" t="str">
        <f>M741*I741</f>
      </c>
      <c r="Q741" s="93" t="str">
        <f>P741*'Calculation_Assumptions'!$B$14*J741*K741</f>
      </c>
      <c r="R741" s="94" t="str">
        <f>O741*N741*J741*K741</f>
      </c>
      <c r="S741" s="95" t="str">
        <f>R741-Q741</f>
      </c>
      <c r="T741" s="96" t="str">
        <f>1/(1+'Calculation_Assumptions'!$B$8)^(B741-'Calculation_Assumptions'!$B$2)</f>
      </c>
      <c r="U741" s="97" t="str">
        <f>Q741*T741</f>
      </c>
      <c r="V741" s="98" t="str">
        <f>R741*T741</f>
      </c>
      <c r="W741" s="99" t="str">
        <f>S741*T741</f>
      </c>
      <c r="X741" t="n">
        <v>0</v>
      </c>
      <c r="Y741" s="100" t="n">
        <v>2017</v>
      </c>
      <c r="Z741" t="s">
        <v>389</v>
      </c>
      <c r="AA741" s="101" t="str">
        <f>IF(G741="shared-count-once",COUNTIFS($A$2:$A$807,A741,$B$2:$B$807,B741,$D$2:$D$807,D741),1)</f>
      </c>
    </row>
    <row r="742">
      <c r="A742" t="s">
        <v>76</v>
      </c>
      <c r="B742" s="79" t="n">
        <v>2037</v>
      </c>
      <c r="C742" t="s">
        <v>259</v>
      </c>
      <c r="D742" s="80" t="s">
        <v>409</v>
      </c>
      <c r="E742" s="81" t="s">
        <v>410</v>
      </c>
      <c r="F742" s="82" t="s">
        <v>262</v>
      </c>
      <c r="G742" s="83" t="s">
        <v>395</v>
      </c>
      <c r="H742" s="84" t="s">
        <v>386</v>
      </c>
      <c r="I742" s="85" t="n">
        <v>1</v>
      </c>
      <c r="J742" s="86" t="n">
        <v>1</v>
      </c>
      <c r="K742" s="87" t="n">
        <v>0.0077</v>
      </c>
      <c r="L742" s="88" t="n">
        <v>310206624.908372</v>
      </c>
      <c r="M742" s="89" t="n">
        <v>310023120.393472</v>
      </c>
      <c r="N742" s="90" t="str">
        <f>MIN(MAX((B742-'Calculation_Assumptions'!$B$5+1)/'Calculation_Assumptions'!$B$7,0),1)</f>
      </c>
      <c r="O742" s="91" t="str">
        <f>L742*I742</f>
      </c>
      <c r="P742" s="92" t="str">
        <f>M742*I742</f>
      </c>
      <c r="Q742" s="93" t="str">
        <f>P742*'Calculation_Assumptions'!$B$14*J742*K742</f>
      </c>
      <c r="R742" s="94" t="str">
        <f>O742*N742*J742*K742</f>
      </c>
      <c r="S742" s="95" t="str">
        <f>R742-Q742</f>
      </c>
      <c r="T742" s="96" t="str">
        <f>1/(1+'Calculation_Assumptions'!$B$8)^(B742-'Calculation_Assumptions'!$B$2)</f>
      </c>
      <c r="U742" s="97" t="str">
        <f>Q742*T742</f>
      </c>
      <c r="V742" s="98" t="str">
        <f>R742*T742</f>
      </c>
      <c r="W742" s="99" t="str">
        <f>S742*T742</f>
      </c>
      <c r="X742" t="n">
        <v>0</v>
      </c>
      <c r="Y742" s="100" t="n">
        <v>2017</v>
      </c>
      <c r="Z742" t="s">
        <v>389</v>
      </c>
      <c r="AA742" s="101" t="str">
        <f>IF(G742="shared-count-once",COUNTIFS($A$2:$A$807,A742,$B$2:$B$807,B742,$D$2:$D$807,D742),1)</f>
      </c>
    </row>
    <row r="743">
      <c r="A743" t="s">
        <v>76</v>
      </c>
      <c r="B743" s="79" t="n">
        <v>2038</v>
      </c>
      <c r="C743" t="s">
        <v>259</v>
      </c>
      <c r="D743" s="80" t="s">
        <v>409</v>
      </c>
      <c r="E743" s="81" t="s">
        <v>410</v>
      </c>
      <c r="F743" s="82" t="s">
        <v>262</v>
      </c>
      <c r="G743" s="83" t="s">
        <v>395</v>
      </c>
      <c r="H743" s="84" t="s">
        <v>386</v>
      </c>
      <c r="I743" s="85" t="n">
        <v>1</v>
      </c>
      <c r="J743" s="86" t="n">
        <v>1</v>
      </c>
      <c r="K743" s="87" t="n">
        <v>0.0077</v>
      </c>
      <c r="L743" s="88" t="n">
        <v>311680372.519886</v>
      </c>
      <c r="M743" s="89" t="n">
        <v>311445837.134625</v>
      </c>
      <c r="N743" s="90" t="str">
        <f>MIN(MAX((B743-'Calculation_Assumptions'!$B$5+1)/'Calculation_Assumptions'!$B$7,0),1)</f>
      </c>
      <c r="O743" s="91" t="str">
        <f>L743*I743</f>
      </c>
      <c r="P743" s="92" t="str">
        <f>M743*I743</f>
      </c>
      <c r="Q743" s="93" t="str">
        <f>P743*'Calculation_Assumptions'!$B$14*J743*K743</f>
      </c>
      <c r="R743" s="94" t="str">
        <f>O743*N743*J743*K743</f>
      </c>
      <c r="S743" s="95" t="str">
        <f>R743-Q743</f>
      </c>
      <c r="T743" s="96" t="str">
        <f>1/(1+'Calculation_Assumptions'!$B$8)^(B743-'Calculation_Assumptions'!$B$2)</f>
      </c>
      <c r="U743" s="97" t="str">
        <f>Q743*T743</f>
      </c>
      <c r="V743" s="98" t="str">
        <f>R743*T743</f>
      </c>
      <c r="W743" s="99" t="str">
        <f>S743*T743</f>
      </c>
      <c r="X743" t="n">
        <v>0</v>
      </c>
      <c r="Y743" s="100" t="n">
        <v>2017</v>
      </c>
      <c r="Z743" t="s">
        <v>389</v>
      </c>
      <c r="AA743" s="101" t="str">
        <f>IF(G743="shared-count-once",COUNTIFS($A$2:$A$807,A743,$B$2:$B$807,B743,$D$2:$D$807,D743),1)</f>
      </c>
    </row>
    <row r="744">
      <c r="A744" t="s">
        <v>76</v>
      </c>
      <c r="B744" s="79" t="n">
        <v>2039</v>
      </c>
      <c r="C744" t="s">
        <v>259</v>
      </c>
      <c r="D744" s="80" t="s">
        <v>409</v>
      </c>
      <c r="E744" s="81" t="s">
        <v>410</v>
      </c>
      <c r="F744" s="82" t="s">
        <v>262</v>
      </c>
      <c r="G744" s="83" t="s">
        <v>395</v>
      </c>
      <c r="H744" s="84" t="s">
        <v>386</v>
      </c>
      <c r="I744" s="85" t="n">
        <v>1</v>
      </c>
      <c r="J744" s="86" t="n">
        <v>1</v>
      </c>
      <c r="K744" s="87" t="n">
        <v>0.0077</v>
      </c>
      <c r="L744" s="88" t="n">
        <v>313096760.631209</v>
      </c>
      <c r="M744" s="89" t="n">
        <v>312806989.715685</v>
      </c>
      <c r="N744" s="90" t="str">
        <f>MIN(MAX((B744-'Calculation_Assumptions'!$B$5+1)/'Calculation_Assumptions'!$B$7,0),1)</f>
      </c>
      <c r="O744" s="91" t="str">
        <f>L744*I744</f>
      </c>
      <c r="P744" s="92" t="str">
        <f>M744*I744</f>
      </c>
      <c r="Q744" s="93" t="str">
        <f>P744*'Calculation_Assumptions'!$B$14*J744*K744</f>
      </c>
      <c r="R744" s="94" t="str">
        <f>O744*N744*J744*K744</f>
      </c>
      <c r="S744" s="95" t="str">
        <f>R744-Q744</f>
      </c>
      <c r="T744" s="96" t="str">
        <f>1/(1+'Calculation_Assumptions'!$B$8)^(B744-'Calculation_Assumptions'!$B$2)</f>
      </c>
      <c r="U744" s="97" t="str">
        <f>Q744*T744</f>
      </c>
      <c r="V744" s="98" t="str">
        <f>R744*T744</f>
      </c>
      <c r="W744" s="99" t="str">
        <f>S744*T744</f>
      </c>
      <c r="X744" t="n">
        <v>0</v>
      </c>
      <c r="Y744" s="100" t="n">
        <v>2017</v>
      </c>
      <c r="Z744" t="s">
        <v>389</v>
      </c>
      <c r="AA744" s="101" t="str">
        <f>IF(G744="shared-count-once",COUNTIFS($A$2:$A$807,A744,$B$2:$B$807,B744,$D$2:$D$807,D744),1)</f>
      </c>
    </row>
    <row r="745">
      <c r="A745" t="s">
        <v>76</v>
      </c>
      <c r="B745" s="79" t="n">
        <v>2040</v>
      </c>
      <c r="C745" t="s">
        <v>259</v>
      </c>
      <c r="D745" s="80" t="s">
        <v>409</v>
      </c>
      <c r="E745" s="81" t="s">
        <v>410</v>
      </c>
      <c r="F745" s="82" t="s">
        <v>262</v>
      </c>
      <c r="G745" s="83" t="s">
        <v>395</v>
      </c>
      <c r="H745" s="84" t="s">
        <v>386</v>
      </c>
      <c r="I745" s="85" t="n">
        <v>1</v>
      </c>
      <c r="J745" s="86" t="n">
        <v>1</v>
      </c>
      <c r="K745" s="87" t="n">
        <v>0.0077</v>
      </c>
      <c r="L745" s="88" t="n">
        <v>314457822.69727</v>
      </c>
      <c r="M745" s="89" t="n">
        <v>314109251.582649</v>
      </c>
      <c r="N745" s="90" t="str">
        <f>MIN(MAX((B745-'Calculation_Assumptions'!$B$5+1)/'Calculation_Assumptions'!$B$7,0),1)</f>
      </c>
      <c r="O745" s="91" t="str">
        <f>L745*I745</f>
      </c>
      <c r="P745" s="92" t="str">
        <f>M745*I745</f>
      </c>
      <c r="Q745" s="93" t="str">
        <f>P745*'Calculation_Assumptions'!$B$14*J745*K745</f>
      </c>
      <c r="R745" s="94" t="str">
        <f>O745*N745*J745*K745</f>
      </c>
      <c r="S745" s="95" t="str">
        <f>R745-Q745</f>
      </c>
      <c r="T745" s="96" t="str">
        <f>1/(1+'Calculation_Assumptions'!$B$8)^(B745-'Calculation_Assumptions'!$B$2)</f>
      </c>
      <c r="U745" s="97" t="str">
        <f>Q745*T745</f>
      </c>
      <c r="V745" s="98" t="str">
        <f>R745*T745</f>
      </c>
      <c r="W745" s="99" t="str">
        <f>S745*T745</f>
      </c>
      <c r="X745" t="n">
        <v>0</v>
      </c>
      <c r="Y745" s="100" t="n">
        <v>2017</v>
      </c>
      <c r="Z745" t="s">
        <v>389</v>
      </c>
      <c r="AA745" s="101" t="str">
        <f>IF(G745="shared-count-once",COUNTIFS($A$2:$A$807,A745,$B$2:$B$807,B745,$D$2:$D$807,D745),1)</f>
      </c>
    </row>
    <row r="746">
      <c r="A746" t="s">
        <v>76</v>
      </c>
      <c r="B746" s="79" t="n">
        <v>2041</v>
      </c>
      <c r="C746" t="s">
        <v>259</v>
      </c>
      <c r="D746" s="80" t="s">
        <v>409</v>
      </c>
      <c r="E746" s="81" t="s">
        <v>410</v>
      </c>
      <c r="F746" s="82" t="s">
        <v>262</v>
      </c>
      <c r="G746" s="83" t="s">
        <v>395</v>
      </c>
      <c r="H746" s="84" t="s">
        <v>386</v>
      </c>
      <c r="I746" s="85" t="n">
        <v>1</v>
      </c>
      <c r="J746" s="86" t="n">
        <v>1</v>
      </c>
      <c r="K746" s="87" t="n">
        <v>0.0077</v>
      </c>
      <c r="L746" s="88" t="n">
        <v>315762299.651562</v>
      </c>
      <c r="M746" s="89" t="n">
        <v>315352079.812423</v>
      </c>
      <c r="N746" s="90" t="str">
        <f>MIN(MAX((B746-'Calculation_Assumptions'!$B$5+1)/'Calculation_Assumptions'!$B$7,0),1)</f>
      </c>
      <c r="O746" s="91" t="str">
        <f>L746*I746</f>
      </c>
      <c r="P746" s="92" t="str">
        <f>M746*I746</f>
      </c>
      <c r="Q746" s="93" t="str">
        <f>P746*'Calculation_Assumptions'!$B$14*J746*K746</f>
      </c>
      <c r="R746" s="94" t="str">
        <f>O746*N746*J746*K746</f>
      </c>
      <c r="S746" s="95" t="str">
        <f>R746-Q746</f>
      </c>
      <c r="T746" s="96" t="str">
        <f>1/(1+'Calculation_Assumptions'!$B$8)^(B746-'Calculation_Assumptions'!$B$2)</f>
      </c>
      <c r="U746" s="97" t="str">
        <f>Q746*T746</f>
      </c>
      <c r="V746" s="98" t="str">
        <f>R746*T746</f>
      </c>
      <c r="W746" s="99" t="str">
        <f>S746*T746</f>
      </c>
      <c r="X746" t="n">
        <v>0</v>
      </c>
      <c r="Y746" s="100" t="n">
        <v>2017</v>
      </c>
      <c r="Z746" t="s">
        <v>389</v>
      </c>
      <c r="AA746" s="101" t="str">
        <f>IF(G746="shared-count-once",COUNTIFS($A$2:$A$807,A746,$B$2:$B$807,B746,$D$2:$D$807,D746),1)</f>
      </c>
    </row>
    <row r="747">
      <c r="A747" t="s">
        <v>76</v>
      </c>
      <c r="B747" s="79" t="n">
        <v>2042</v>
      </c>
      <c r="C747" t="s">
        <v>259</v>
      </c>
      <c r="D747" s="80" t="s">
        <v>409</v>
      </c>
      <c r="E747" s="81" t="s">
        <v>410</v>
      </c>
      <c r="F747" s="82" t="s">
        <v>262</v>
      </c>
      <c r="G747" s="83" t="s">
        <v>395</v>
      </c>
      <c r="H747" s="84" t="s">
        <v>386</v>
      </c>
      <c r="I747" s="85" t="n">
        <v>1</v>
      </c>
      <c r="J747" s="86" t="n">
        <v>1</v>
      </c>
      <c r="K747" s="87" t="n">
        <v>0.0077</v>
      </c>
      <c r="L747" s="88" t="n">
        <v>317010735.77488</v>
      </c>
      <c r="M747" s="89" t="n">
        <v>316395286.312016</v>
      </c>
      <c r="N747" s="90" t="str">
        <f>MIN(MAX((B747-'Calculation_Assumptions'!$B$5+1)/'Calculation_Assumptions'!$B$7,0),1)</f>
      </c>
      <c r="O747" s="91" t="str">
        <f>L747*I747</f>
      </c>
      <c r="P747" s="92" t="str">
        <f>M747*I747</f>
      </c>
      <c r="Q747" s="93" t="str">
        <f>P747*'Calculation_Assumptions'!$B$14*J747*K747</f>
      </c>
      <c r="R747" s="94" t="str">
        <f>O747*N747*J747*K747</f>
      </c>
      <c r="S747" s="95" t="str">
        <f>R747-Q747</f>
      </c>
      <c r="T747" s="96" t="str">
        <f>1/(1+'Calculation_Assumptions'!$B$8)^(B747-'Calculation_Assumptions'!$B$2)</f>
      </c>
      <c r="U747" s="97" t="str">
        <f>Q747*T747</f>
      </c>
      <c r="V747" s="98" t="str">
        <f>R747*T747</f>
      </c>
      <c r="W747" s="99" t="str">
        <f>S747*T747</f>
      </c>
      <c r="X747" t="n">
        <v>0</v>
      </c>
      <c r="Y747" s="100" t="n">
        <v>2017</v>
      </c>
      <c r="Z747" t="s">
        <v>389</v>
      </c>
      <c r="AA747" s="101" t="str">
        <f>IF(G747="shared-count-once",COUNTIFS($A$2:$A$807,A747,$B$2:$B$807,B747,$D$2:$D$807,D747),1)</f>
      </c>
    </row>
    <row r="748">
      <c r="A748" t="s">
        <v>76</v>
      </c>
      <c r="B748" s="79" t="n">
        <v>2043</v>
      </c>
      <c r="C748" t="s">
        <v>259</v>
      </c>
      <c r="D748" s="80" t="s">
        <v>409</v>
      </c>
      <c r="E748" s="81" t="s">
        <v>410</v>
      </c>
      <c r="F748" s="82" t="s">
        <v>262</v>
      </c>
      <c r="G748" s="83" t="s">
        <v>395</v>
      </c>
      <c r="H748" s="84" t="s">
        <v>386</v>
      </c>
      <c r="I748" s="85" t="n">
        <v>1</v>
      </c>
      <c r="J748" s="86" t="n">
        <v>1</v>
      </c>
      <c r="K748" s="87" t="n">
        <v>0.0077</v>
      </c>
      <c r="L748" s="88" t="n">
        <v>318158750.005661</v>
      </c>
      <c r="M748" s="89" t="n">
        <v>317619735.688289</v>
      </c>
      <c r="N748" s="90" t="str">
        <f>MIN(MAX((B748-'Calculation_Assumptions'!$B$5+1)/'Calculation_Assumptions'!$B$7,0),1)</f>
      </c>
      <c r="O748" s="91" t="str">
        <f>L748*I748</f>
      </c>
      <c r="P748" s="92" t="str">
        <f>M748*I748</f>
      </c>
      <c r="Q748" s="93" t="str">
        <f>P748*'Calculation_Assumptions'!$B$14*J748*K748</f>
      </c>
      <c r="R748" s="94" t="str">
        <f>O748*N748*J748*K748</f>
      </c>
      <c r="S748" s="95" t="str">
        <f>R748-Q748</f>
      </c>
      <c r="T748" s="96" t="str">
        <f>1/(1+'Calculation_Assumptions'!$B$8)^(B748-'Calculation_Assumptions'!$B$2)</f>
      </c>
      <c r="U748" s="97" t="str">
        <f>Q748*T748</f>
      </c>
      <c r="V748" s="98" t="str">
        <f>R748*T748</f>
      </c>
      <c r="W748" s="99" t="str">
        <f>S748*T748</f>
      </c>
      <c r="X748" t="n">
        <v>0</v>
      </c>
      <c r="Y748" s="100" t="n">
        <v>2017</v>
      </c>
      <c r="Z748" t="s">
        <v>389</v>
      </c>
      <c r="AA748" s="101" t="str">
        <f>IF(G748="shared-count-once",COUNTIFS($A$2:$A$807,A748,$B$2:$B$807,B748,$D$2:$D$807,D748),1)</f>
      </c>
    </row>
    <row r="749">
      <c r="A749" t="s">
        <v>76</v>
      </c>
      <c r="B749" s="79" t="n">
        <v>2044</v>
      </c>
      <c r="C749" t="s">
        <v>259</v>
      </c>
      <c r="D749" s="80" t="s">
        <v>409</v>
      </c>
      <c r="E749" s="81" t="s">
        <v>410</v>
      </c>
      <c r="F749" s="82" t="s">
        <v>262</v>
      </c>
      <c r="G749" s="83" t="s">
        <v>395</v>
      </c>
      <c r="H749" s="84" t="s">
        <v>386</v>
      </c>
      <c r="I749" s="85" t="n">
        <v>1</v>
      </c>
      <c r="J749" s="86" t="n">
        <v>1</v>
      </c>
      <c r="K749" s="87" t="n">
        <v>0.0077</v>
      </c>
      <c r="L749" s="88" t="n">
        <v>319305078.475065</v>
      </c>
      <c r="M749" s="89" t="n">
        <v>318697135.863652</v>
      </c>
      <c r="N749" s="90" t="str">
        <f>MIN(MAX((B749-'Calculation_Assumptions'!$B$5+1)/'Calculation_Assumptions'!$B$7,0),1)</f>
      </c>
      <c r="O749" s="91" t="str">
        <f>L749*I749</f>
      </c>
      <c r="P749" s="92" t="str">
        <f>M749*I749</f>
      </c>
      <c r="Q749" s="93" t="str">
        <f>P749*'Calculation_Assumptions'!$B$14*J749*K749</f>
      </c>
      <c r="R749" s="94" t="str">
        <f>O749*N749*J749*K749</f>
      </c>
      <c r="S749" s="95" t="str">
        <f>R749-Q749</f>
      </c>
      <c r="T749" s="96" t="str">
        <f>1/(1+'Calculation_Assumptions'!$B$8)^(B749-'Calculation_Assumptions'!$B$2)</f>
      </c>
      <c r="U749" s="97" t="str">
        <f>Q749*T749</f>
      </c>
      <c r="V749" s="98" t="str">
        <f>R749*T749</f>
      </c>
      <c r="W749" s="99" t="str">
        <f>S749*T749</f>
      </c>
      <c r="X749" t="n">
        <v>0</v>
      </c>
      <c r="Y749" s="100" t="n">
        <v>2017</v>
      </c>
      <c r="Z749" t="s">
        <v>389</v>
      </c>
      <c r="AA749" s="101" t="str">
        <f>IF(G749="shared-count-once",COUNTIFS($A$2:$A$807,A749,$B$2:$B$807,B749,$D$2:$D$807,D749),1)</f>
      </c>
    </row>
    <row r="750">
      <c r="A750" t="s">
        <v>76</v>
      </c>
      <c r="B750" s="79" t="n">
        <v>2045</v>
      </c>
      <c r="C750" t="s">
        <v>259</v>
      </c>
      <c r="D750" s="80" t="s">
        <v>409</v>
      </c>
      <c r="E750" s="81" t="s">
        <v>410</v>
      </c>
      <c r="F750" s="82" t="s">
        <v>262</v>
      </c>
      <c r="G750" s="83" t="s">
        <v>395</v>
      </c>
      <c r="H750" s="84" t="s">
        <v>386</v>
      </c>
      <c r="I750" s="85" t="n">
        <v>1</v>
      </c>
      <c r="J750" s="86" t="n">
        <v>1</v>
      </c>
      <c r="K750" s="87" t="n">
        <v>0.0077</v>
      </c>
      <c r="L750" s="88" t="n">
        <v>320395460.874147</v>
      </c>
      <c r="M750" s="89" t="n">
        <v>319717840.85179</v>
      </c>
      <c r="N750" s="90" t="str">
        <f>MIN(MAX((B750-'Calculation_Assumptions'!$B$5+1)/'Calculation_Assumptions'!$B$7,0),1)</f>
      </c>
      <c r="O750" s="91" t="str">
        <f>L750*I750</f>
      </c>
      <c r="P750" s="92" t="str">
        <f>M750*I750</f>
      </c>
      <c r="Q750" s="93" t="str">
        <f>P750*'Calculation_Assumptions'!$B$14*J750*K750</f>
      </c>
      <c r="R750" s="94" t="str">
        <f>O750*N750*J750*K750</f>
      </c>
      <c r="S750" s="95" t="str">
        <f>R750-Q750</f>
      </c>
      <c r="T750" s="96" t="str">
        <f>1/(1+'Calculation_Assumptions'!$B$8)^(B750-'Calculation_Assumptions'!$B$2)</f>
      </c>
      <c r="U750" s="97" t="str">
        <f>Q750*T750</f>
      </c>
      <c r="V750" s="98" t="str">
        <f>R750*T750</f>
      </c>
      <c r="W750" s="99" t="str">
        <f>S750*T750</f>
      </c>
      <c r="X750" t="n">
        <v>0</v>
      </c>
      <c r="Y750" s="100" t="n">
        <v>2017</v>
      </c>
      <c r="Z750" t="s">
        <v>389</v>
      </c>
      <c r="AA750" s="101" t="str">
        <f>IF(G750="shared-count-once",COUNTIFS($A$2:$A$807,A750,$B$2:$B$807,B750,$D$2:$D$807,D750),1)</f>
      </c>
    </row>
    <row r="751">
      <c r="A751" t="s">
        <v>76</v>
      </c>
      <c r="B751" s="79" t="n">
        <v>2046</v>
      </c>
      <c r="C751" t="s">
        <v>259</v>
      </c>
      <c r="D751" s="80" t="s">
        <v>409</v>
      </c>
      <c r="E751" s="81" t="s">
        <v>410</v>
      </c>
      <c r="F751" s="82" t="s">
        <v>262</v>
      </c>
      <c r="G751" s="83" t="s">
        <v>395</v>
      </c>
      <c r="H751" s="84" t="s">
        <v>386</v>
      </c>
      <c r="I751" s="85" t="n">
        <v>1</v>
      </c>
      <c r="J751" s="86" t="n">
        <v>1</v>
      </c>
      <c r="K751" s="87" t="n">
        <v>0.0077</v>
      </c>
      <c r="L751" s="88" t="n">
        <v>321430558.971018</v>
      </c>
      <c r="M751" s="89" t="n">
        <v>320683879.806276</v>
      </c>
      <c r="N751" s="90" t="str">
        <f>MIN(MAX((B751-'Calculation_Assumptions'!$B$5+1)/'Calculation_Assumptions'!$B$7,0),1)</f>
      </c>
      <c r="O751" s="91" t="str">
        <f>L751*I751</f>
      </c>
      <c r="P751" s="92" t="str">
        <f>M751*I751</f>
      </c>
      <c r="Q751" s="93" t="str">
        <f>P751*'Calculation_Assumptions'!$B$14*J751*K751</f>
      </c>
      <c r="R751" s="94" t="str">
        <f>O751*N751*J751*K751</f>
      </c>
      <c r="S751" s="95" t="str">
        <f>R751-Q751</f>
      </c>
      <c r="T751" s="96" t="str">
        <f>1/(1+'Calculation_Assumptions'!$B$8)^(B751-'Calculation_Assumptions'!$B$2)</f>
      </c>
      <c r="U751" s="97" t="str">
        <f>Q751*T751</f>
      </c>
      <c r="V751" s="98" t="str">
        <f>R751*T751</f>
      </c>
      <c r="W751" s="99" t="str">
        <f>S751*T751</f>
      </c>
      <c r="X751" t="n">
        <v>0</v>
      </c>
      <c r="Y751" s="100" t="n">
        <v>2017</v>
      </c>
      <c r="Z751" t="s">
        <v>389</v>
      </c>
      <c r="AA751" s="101" t="str">
        <f>IF(G751="shared-count-once",COUNTIFS($A$2:$A$807,A751,$B$2:$B$807,B751,$D$2:$D$807,D751),1)</f>
      </c>
    </row>
    <row r="752">
      <c r="A752" t="s">
        <v>76</v>
      </c>
      <c r="B752" s="79" t="n">
        <v>2047</v>
      </c>
      <c r="C752" t="s">
        <v>259</v>
      </c>
      <c r="D752" s="80" t="s">
        <v>409</v>
      </c>
      <c r="E752" s="81" t="s">
        <v>410</v>
      </c>
      <c r="F752" s="82" t="s">
        <v>262</v>
      </c>
      <c r="G752" s="83" t="s">
        <v>395</v>
      </c>
      <c r="H752" s="84" t="s">
        <v>386</v>
      </c>
      <c r="I752" s="85" t="n">
        <v>1</v>
      </c>
      <c r="J752" s="86" t="n">
        <v>1</v>
      </c>
      <c r="K752" s="87" t="n">
        <v>0.0077</v>
      </c>
      <c r="L752" s="88" t="n">
        <v>322411096.713551</v>
      </c>
      <c r="M752" s="89" t="n">
        <v>321595541.389526</v>
      </c>
      <c r="N752" s="90" t="str">
        <f>MIN(MAX((B752-'Calculation_Assumptions'!$B$5+1)/'Calculation_Assumptions'!$B$7,0),1)</f>
      </c>
      <c r="O752" s="91" t="str">
        <f>L752*I752</f>
      </c>
      <c r="P752" s="92" t="str">
        <f>M752*I752</f>
      </c>
      <c r="Q752" s="93" t="str">
        <f>P752*'Calculation_Assumptions'!$B$14*J752*K752</f>
      </c>
      <c r="R752" s="94" t="str">
        <f>O752*N752*J752*K752</f>
      </c>
      <c r="S752" s="95" t="str">
        <f>R752-Q752</f>
      </c>
      <c r="T752" s="96" t="str">
        <f>1/(1+'Calculation_Assumptions'!$B$8)^(B752-'Calculation_Assumptions'!$B$2)</f>
      </c>
      <c r="U752" s="97" t="str">
        <f>Q752*T752</f>
      </c>
      <c r="V752" s="98" t="str">
        <f>R752*T752</f>
      </c>
      <c r="W752" s="99" t="str">
        <f>S752*T752</f>
      </c>
      <c r="X752" t="n">
        <v>0</v>
      </c>
      <c r="Y752" s="100" t="n">
        <v>2017</v>
      </c>
      <c r="Z752" t="s">
        <v>389</v>
      </c>
      <c r="AA752" s="101" t="str">
        <f>IF(G752="shared-count-once",COUNTIFS($A$2:$A$807,A752,$B$2:$B$807,B752,$D$2:$D$807,D752),1)</f>
      </c>
    </row>
    <row r="753">
      <c r="A753" t="s">
        <v>76</v>
      </c>
      <c r="B753" s="79" t="n">
        <v>2048</v>
      </c>
      <c r="C753" t="s">
        <v>259</v>
      </c>
      <c r="D753" s="80" t="s">
        <v>409</v>
      </c>
      <c r="E753" s="81" t="s">
        <v>410</v>
      </c>
      <c r="F753" s="82" t="s">
        <v>262</v>
      </c>
      <c r="G753" s="83" t="s">
        <v>395</v>
      </c>
      <c r="H753" s="84" t="s">
        <v>386</v>
      </c>
      <c r="I753" s="85" t="n">
        <v>1</v>
      </c>
      <c r="J753" s="86" t="n">
        <v>1</v>
      </c>
      <c r="K753" s="87" t="n">
        <v>0.0077</v>
      </c>
      <c r="L753" s="88" t="n">
        <v>323337875.603966</v>
      </c>
      <c r="M753" s="89" t="n">
        <v>322453622.669464</v>
      </c>
      <c r="N753" s="90" t="str">
        <f>MIN(MAX((B753-'Calculation_Assumptions'!$B$5+1)/'Calculation_Assumptions'!$B$7,0),1)</f>
      </c>
      <c r="O753" s="91" t="str">
        <f>L753*I753</f>
      </c>
      <c r="P753" s="92" t="str">
        <f>M753*I753</f>
      </c>
      <c r="Q753" s="93" t="str">
        <f>P753*'Calculation_Assumptions'!$B$14*J753*K753</f>
      </c>
      <c r="R753" s="94" t="str">
        <f>O753*N753*J753*K753</f>
      </c>
      <c r="S753" s="95" t="str">
        <f>R753-Q753</f>
      </c>
      <c r="T753" s="96" t="str">
        <f>1/(1+'Calculation_Assumptions'!$B$8)^(B753-'Calculation_Assumptions'!$B$2)</f>
      </c>
      <c r="U753" s="97" t="str">
        <f>Q753*T753</f>
      </c>
      <c r="V753" s="98" t="str">
        <f>R753*T753</f>
      </c>
      <c r="W753" s="99" t="str">
        <f>S753*T753</f>
      </c>
      <c r="X753" t="n">
        <v>0</v>
      </c>
      <c r="Y753" s="100" t="n">
        <v>2017</v>
      </c>
      <c r="Z753" t="s">
        <v>389</v>
      </c>
      <c r="AA753" s="101" t="str">
        <f>IF(G753="shared-count-once",COUNTIFS($A$2:$A$807,A753,$B$2:$B$807,B753,$D$2:$D$807,D753),1)</f>
      </c>
    </row>
    <row r="754">
      <c r="A754" t="s">
        <v>76</v>
      </c>
      <c r="B754" s="79" t="n">
        <v>2049</v>
      </c>
      <c r="C754" t="s">
        <v>259</v>
      </c>
      <c r="D754" s="80" t="s">
        <v>409</v>
      </c>
      <c r="E754" s="81" t="s">
        <v>410</v>
      </c>
      <c r="F754" s="82" t="s">
        <v>262</v>
      </c>
      <c r="G754" s="83" t="s">
        <v>395</v>
      </c>
      <c r="H754" s="84" t="s">
        <v>386</v>
      </c>
      <c r="I754" s="85" t="n">
        <v>1</v>
      </c>
      <c r="J754" s="86" t="n">
        <v>1</v>
      </c>
      <c r="K754" s="87" t="n">
        <v>0.0077</v>
      </c>
      <c r="L754" s="88" t="n">
        <v>324211859.675226</v>
      </c>
      <c r="M754" s="89" t="n">
        <v>323259246.716719</v>
      </c>
      <c r="N754" s="90" t="str">
        <f>MIN(MAX((B754-'Calculation_Assumptions'!$B$5+1)/'Calculation_Assumptions'!$B$7,0),1)</f>
      </c>
      <c r="O754" s="91" t="str">
        <f>L754*I754</f>
      </c>
      <c r="P754" s="92" t="str">
        <f>M754*I754</f>
      </c>
      <c r="Q754" s="93" t="str">
        <f>P754*'Calculation_Assumptions'!$B$14*J754*K754</f>
      </c>
      <c r="R754" s="94" t="str">
        <f>O754*N754*J754*K754</f>
      </c>
      <c r="S754" s="95" t="str">
        <f>R754-Q754</f>
      </c>
      <c r="T754" s="96" t="str">
        <f>1/(1+'Calculation_Assumptions'!$B$8)^(B754-'Calculation_Assumptions'!$B$2)</f>
      </c>
      <c r="U754" s="97" t="str">
        <f>Q754*T754</f>
      </c>
      <c r="V754" s="98" t="str">
        <f>R754*T754</f>
      </c>
      <c r="W754" s="99" t="str">
        <f>S754*T754</f>
      </c>
      <c r="X754" t="n">
        <v>0</v>
      </c>
      <c r="Y754" s="100" t="n">
        <v>2017</v>
      </c>
      <c r="Z754" t="s">
        <v>389</v>
      </c>
      <c r="AA754" s="101" t="str">
        <f>IF(G754="shared-count-once",COUNTIFS($A$2:$A$807,A754,$B$2:$B$807,B754,$D$2:$D$807,D754),1)</f>
      </c>
    </row>
    <row r="755">
      <c r="A755" t="s">
        <v>76</v>
      </c>
      <c r="B755" s="79" t="n">
        <v>2050</v>
      </c>
      <c r="C755" t="s">
        <v>259</v>
      </c>
      <c r="D755" s="80" t="s">
        <v>409</v>
      </c>
      <c r="E755" s="81" t="s">
        <v>410</v>
      </c>
      <c r="F755" s="82" t="s">
        <v>262</v>
      </c>
      <c r="G755" s="83" t="s">
        <v>395</v>
      </c>
      <c r="H755" s="84" t="s">
        <v>386</v>
      </c>
      <c r="I755" s="85" t="n">
        <v>1</v>
      </c>
      <c r="J755" s="86" t="n">
        <v>1</v>
      </c>
      <c r="K755" s="87" t="n">
        <v>0.0077</v>
      </c>
      <c r="L755" s="88" t="n">
        <v>325034214.935484</v>
      </c>
      <c r="M755" s="89" t="n">
        <v>324013738.182479</v>
      </c>
      <c r="N755" s="90" t="str">
        <f>MIN(MAX((B755-'Calculation_Assumptions'!$B$5+1)/'Calculation_Assumptions'!$B$7,0),1)</f>
      </c>
      <c r="O755" s="91" t="str">
        <f>L755*I755</f>
      </c>
      <c r="P755" s="92" t="str">
        <f>M755*I755</f>
      </c>
      <c r="Q755" s="93" t="str">
        <f>P755*'Calculation_Assumptions'!$B$14*J755*K755</f>
      </c>
      <c r="R755" s="94" t="str">
        <f>O755*N755*J755*K755</f>
      </c>
      <c r="S755" s="95" t="str">
        <f>R755-Q755</f>
      </c>
      <c r="T755" s="96" t="str">
        <f>1/(1+'Calculation_Assumptions'!$B$8)^(B755-'Calculation_Assumptions'!$B$2)</f>
      </c>
      <c r="U755" s="97" t="str">
        <f>Q755*T755</f>
      </c>
      <c r="V755" s="98" t="str">
        <f>R755*T755</f>
      </c>
      <c r="W755" s="99" t="str">
        <f>S755*T755</f>
      </c>
      <c r="X755" t="n">
        <v>0</v>
      </c>
      <c r="Y755" s="100" t="n">
        <v>2017</v>
      </c>
      <c r="Z755" t="s">
        <v>389</v>
      </c>
      <c r="AA755" s="101" t="str">
        <f>IF(G755="shared-count-once",COUNTIFS($A$2:$A$807,A755,$B$2:$B$807,B755,$D$2:$D$807,D755),1)</f>
      </c>
    </row>
    <row r="756">
      <c r="A756" t="s">
        <v>76</v>
      </c>
      <c r="B756" s="79" t="n">
        <v>2025</v>
      </c>
      <c r="C756" t="s">
        <v>267</v>
      </c>
      <c r="D756" s="80" t="s">
        <v>411</v>
      </c>
      <c r="E756" s="81" t="s">
        <v>412</v>
      </c>
      <c r="F756" s="82" t="s">
        <v>270</v>
      </c>
      <c r="G756" s="83" t="s">
        <v>395</v>
      </c>
      <c r="H756" s="84" t="s">
        <v>386</v>
      </c>
      <c r="I756" s="85" t="n">
        <v>1</v>
      </c>
      <c r="J756" s="86" t="n">
        <v>1</v>
      </c>
      <c r="K756" s="87" t="n">
        <v>0.0077</v>
      </c>
      <c r="L756" s="88" t="n">
        <v>288000821.106462</v>
      </c>
      <c r="M756" s="89" t="n">
        <v>288000821.106462</v>
      </c>
      <c r="N756" s="90" t="str">
        <f>MIN(MAX((B756-'Calculation_Assumptions'!$B$5+1)/'Calculation_Assumptions'!$B$7,0),1)</f>
      </c>
      <c r="O756" s="91" t="str">
        <f>L756*I756</f>
      </c>
      <c r="P756" s="92" t="str">
        <f>M756*I756</f>
      </c>
      <c r="Q756" s="93" t="str">
        <f>P756*'Calculation_Assumptions'!$B$14*J756*K756</f>
      </c>
      <c r="R756" s="94" t="str">
        <f>O756*N756*J756*K756</f>
      </c>
      <c r="S756" s="95" t="str">
        <f>R756-Q756</f>
      </c>
      <c r="T756" s="96" t="str">
        <f>1/(1+'Calculation_Assumptions'!$B$8)^(B756-'Calculation_Assumptions'!$B$2)</f>
      </c>
      <c r="U756" s="97" t="str">
        <f>Q756*T756</f>
      </c>
      <c r="V756" s="98" t="str">
        <f>R756*T756</f>
      </c>
      <c r="W756" s="99" t="str">
        <f>S756*T756</f>
      </c>
      <c r="X756" t="n">
        <v>0</v>
      </c>
      <c r="Y756" s="100" t="n">
        <v>2017</v>
      </c>
      <c r="Z756" t="s">
        <v>389</v>
      </c>
      <c r="AA756" s="101" t="str">
        <f>IF(G756="shared-count-once",COUNTIFS($A$2:$A$807,A756,$B$2:$B$807,B756,$D$2:$D$807,D756),1)</f>
      </c>
    </row>
    <row r="757">
      <c r="A757" t="s">
        <v>76</v>
      </c>
      <c r="B757" s="79" t="n">
        <v>2026</v>
      </c>
      <c r="C757" t="s">
        <v>267</v>
      </c>
      <c r="D757" s="80" t="s">
        <v>411</v>
      </c>
      <c r="E757" s="81" t="s">
        <v>412</v>
      </c>
      <c r="F757" s="82" t="s">
        <v>270</v>
      </c>
      <c r="G757" s="83" t="s">
        <v>395</v>
      </c>
      <c r="H757" s="84" t="s">
        <v>386</v>
      </c>
      <c r="I757" s="85" t="n">
        <v>1</v>
      </c>
      <c r="J757" s="86" t="n">
        <v>1</v>
      </c>
      <c r="K757" s="87" t="n">
        <v>0.0077</v>
      </c>
      <c r="L757" s="88" t="n">
        <v>290123496.103219</v>
      </c>
      <c r="M757" s="89" t="n">
        <v>290123496.103219</v>
      </c>
      <c r="N757" s="90" t="str">
        <f>MIN(MAX((B757-'Calculation_Assumptions'!$B$5+1)/'Calculation_Assumptions'!$B$7,0),1)</f>
      </c>
      <c r="O757" s="91" t="str">
        <f>L757*I757</f>
      </c>
      <c r="P757" s="92" t="str">
        <f>M757*I757</f>
      </c>
      <c r="Q757" s="93" t="str">
        <f>P757*'Calculation_Assumptions'!$B$14*J757*K757</f>
      </c>
      <c r="R757" s="94" t="str">
        <f>O757*N757*J757*K757</f>
      </c>
      <c r="S757" s="95" t="str">
        <f>R757-Q757</f>
      </c>
      <c r="T757" s="96" t="str">
        <f>1/(1+'Calculation_Assumptions'!$B$8)^(B757-'Calculation_Assumptions'!$B$2)</f>
      </c>
      <c r="U757" s="97" t="str">
        <f>Q757*T757</f>
      </c>
      <c r="V757" s="98" t="str">
        <f>R757*T757</f>
      </c>
      <c r="W757" s="99" t="str">
        <f>S757*T757</f>
      </c>
      <c r="X757" t="n">
        <v>0</v>
      </c>
      <c r="Y757" s="100" t="n">
        <v>2017</v>
      </c>
      <c r="Z757" t="s">
        <v>389</v>
      </c>
      <c r="AA757" s="101" t="str">
        <f>IF(G757="shared-count-once",COUNTIFS($A$2:$A$807,A757,$B$2:$B$807,B757,$D$2:$D$807,D757),1)</f>
      </c>
    </row>
    <row r="758">
      <c r="A758" t="s">
        <v>76</v>
      </c>
      <c r="B758" s="79" t="n">
        <v>2027</v>
      </c>
      <c r="C758" t="s">
        <v>267</v>
      </c>
      <c r="D758" s="80" t="s">
        <v>411</v>
      </c>
      <c r="E758" s="81" t="s">
        <v>412</v>
      </c>
      <c r="F758" s="82" t="s">
        <v>270</v>
      </c>
      <c r="G758" s="83" t="s">
        <v>395</v>
      </c>
      <c r="H758" s="84" t="s">
        <v>386</v>
      </c>
      <c r="I758" s="85" t="n">
        <v>1</v>
      </c>
      <c r="J758" s="86" t="n">
        <v>1</v>
      </c>
      <c r="K758" s="87" t="n">
        <v>0.0077</v>
      </c>
      <c r="L758" s="88" t="n">
        <v>292252895.096956</v>
      </c>
      <c r="M758" s="89" t="n">
        <v>292252895.096956</v>
      </c>
      <c r="N758" s="90" t="str">
        <f>MIN(MAX((B758-'Calculation_Assumptions'!$B$5+1)/'Calculation_Assumptions'!$B$7,0),1)</f>
      </c>
      <c r="O758" s="91" t="str">
        <f>L758*I758</f>
      </c>
      <c r="P758" s="92" t="str">
        <f>M758*I758</f>
      </c>
      <c r="Q758" s="93" t="str">
        <f>P758*'Calculation_Assumptions'!$B$14*J758*K758</f>
      </c>
      <c r="R758" s="94" t="str">
        <f>O758*N758*J758*K758</f>
      </c>
      <c r="S758" s="95" t="str">
        <f>R758-Q758</f>
      </c>
      <c r="T758" s="96" t="str">
        <f>1/(1+'Calculation_Assumptions'!$B$8)^(B758-'Calculation_Assumptions'!$B$2)</f>
      </c>
      <c r="U758" s="97" t="str">
        <f>Q758*T758</f>
      </c>
      <c r="V758" s="98" t="str">
        <f>R758*T758</f>
      </c>
      <c r="W758" s="99" t="str">
        <f>S758*T758</f>
      </c>
      <c r="X758" t="n">
        <v>0</v>
      </c>
      <c r="Y758" s="100" t="n">
        <v>2017</v>
      </c>
      <c r="Z758" t="s">
        <v>389</v>
      </c>
      <c r="AA758" s="101" t="str">
        <f>IF(G758="shared-count-once",COUNTIFS($A$2:$A$807,A758,$B$2:$B$807,B758,$D$2:$D$807,D758),1)</f>
      </c>
    </row>
    <row r="759">
      <c r="A759" t="s">
        <v>76</v>
      </c>
      <c r="B759" s="79" t="n">
        <v>2028</v>
      </c>
      <c r="C759" t="s">
        <v>267</v>
      </c>
      <c r="D759" s="80" t="s">
        <v>411</v>
      </c>
      <c r="E759" s="81" t="s">
        <v>412</v>
      </c>
      <c r="F759" s="82" t="s">
        <v>270</v>
      </c>
      <c r="G759" s="83" t="s">
        <v>395</v>
      </c>
      <c r="H759" s="84" t="s">
        <v>386</v>
      </c>
      <c r="I759" s="85" t="n">
        <v>1</v>
      </c>
      <c r="J759" s="86" t="n">
        <v>1</v>
      </c>
      <c r="K759" s="87" t="n">
        <v>0.0077</v>
      </c>
      <c r="L759" s="88" t="n">
        <v>294317373.248038</v>
      </c>
      <c r="M759" s="89" t="n">
        <v>294314895.305465</v>
      </c>
      <c r="N759" s="90" t="str">
        <f>MIN(MAX((B759-'Calculation_Assumptions'!$B$5+1)/'Calculation_Assumptions'!$B$7,0),1)</f>
      </c>
      <c r="O759" s="91" t="str">
        <f>L759*I759</f>
      </c>
      <c r="P759" s="92" t="str">
        <f>M759*I759</f>
      </c>
      <c r="Q759" s="93" t="str">
        <f>P759*'Calculation_Assumptions'!$B$14*J759*K759</f>
      </c>
      <c r="R759" s="94" t="str">
        <f>O759*N759*J759*K759</f>
      </c>
      <c r="S759" s="95" t="str">
        <f>R759-Q759</f>
      </c>
      <c r="T759" s="96" t="str">
        <f>1/(1+'Calculation_Assumptions'!$B$8)^(B759-'Calculation_Assumptions'!$B$2)</f>
      </c>
      <c r="U759" s="97" t="str">
        <f>Q759*T759</f>
      </c>
      <c r="V759" s="98" t="str">
        <f>R759*T759</f>
      </c>
      <c r="W759" s="99" t="str">
        <f>S759*T759</f>
      </c>
      <c r="X759" t="n">
        <v>0</v>
      </c>
      <c r="Y759" s="100" t="n">
        <v>2017</v>
      </c>
      <c r="Z759" t="s">
        <v>389</v>
      </c>
      <c r="AA759" s="101" t="str">
        <f>IF(G759="shared-count-once",COUNTIFS($A$2:$A$807,A759,$B$2:$B$807,B759,$D$2:$D$807,D759),1)</f>
      </c>
    </row>
    <row r="760">
      <c r="A760" t="s">
        <v>76</v>
      </c>
      <c r="B760" s="79" t="n">
        <v>2029</v>
      </c>
      <c r="C760" t="s">
        <v>267</v>
      </c>
      <c r="D760" s="80" t="s">
        <v>411</v>
      </c>
      <c r="E760" s="81" t="s">
        <v>412</v>
      </c>
      <c r="F760" s="82" t="s">
        <v>270</v>
      </c>
      <c r="G760" s="83" t="s">
        <v>395</v>
      </c>
      <c r="H760" s="84" t="s">
        <v>386</v>
      </c>
      <c r="I760" s="85" t="n">
        <v>1</v>
      </c>
      <c r="J760" s="86" t="n">
        <v>1</v>
      </c>
      <c r="K760" s="87" t="n">
        <v>0.0077</v>
      </c>
      <c r="L760" s="88" t="n">
        <v>296300392.819394</v>
      </c>
      <c r="M760" s="89" t="n">
        <v>296341062.542853</v>
      </c>
      <c r="N760" s="90" t="str">
        <f>MIN(MAX((B760-'Calculation_Assumptions'!$B$5+1)/'Calculation_Assumptions'!$B$7,0),1)</f>
      </c>
      <c r="O760" s="91" t="str">
        <f>L760*I760</f>
      </c>
      <c r="P760" s="92" t="str">
        <f>M760*I760</f>
      </c>
      <c r="Q760" s="93" t="str">
        <f>P760*'Calculation_Assumptions'!$B$14*J760*K760</f>
      </c>
      <c r="R760" s="94" t="str">
        <f>O760*N760*J760*K760</f>
      </c>
      <c r="S760" s="95" t="str">
        <f>R760-Q760</f>
      </c>
      <c r="T760" s="96" t="str">
        <f>1/(1+'Calculation_Assumptions'!$B$8)^(B760-'Calculation_Assumptions'!$B$2)</f>
      </c>
      <c r="U760" s="97" t="str">
        <f>Q760*T760</f>
      </c>
      <c r="V760" s="98" t="str">
        <f>R760*T760</f>
      </c>
      <c r="W760" s="99" t="str">
        <f>S760*T760</f>
      </c>
      <c r="X760" t="n">
        <v>0</v>
      </c>
      <c r="Y760" s="100" t="n">
        <v>2017</v>
      </c>
      <c r="Z760" t="s">
        <v>389</v>
      </c>
      <c r="AA760" s="101" t="str">
        <f>IF(G760="shared-count-once",COUNTIFS($A$2:$A$807,A760,$B$2:$B$807,B760,$D$2:$D$807,D760),1)</f>
      </c>
    </row>
    <row r="761">
      <c r="A761" t="s">
        <v>76</v>
      </c>
      <c r="B761" s="79" t="n">
        <v>2030</v>
      </c>
      <c r="C761" t="s">
        <v>267</v>
      </c>
      <c r="D761" s="80" t="s">
        <v>411</v>
      </c>
      <c r="E761" s="81" t="s">
        <v>412</v>
      </c>
      <c r="F761" s="82" t="s">
        <v>270</v>
      </c>
      <c r="G761" s="83" t="s">
        <v>395</v>
      </c>
      <c r="H761" s="84" t="s">
        <v>386</v>
      </c>
      <c r="I761" s="85" t="n">
        <v>1</v>
      </c>
      <c r="J761" s="86" t="n">
        <v>1</v>
      </c>
      <c r="K761" s="87" t="n">
        <v>0.0077</v>
      </c>
      <c r="L761" s="88" t="n">
        <v>298303185.826537</v>
      </c>
      <c r="M761" s="89" t="n">
        <v>298280286.057263</v>
      </c>
      <c r="N761" s="90" t="str">
        <f>MIN(MAX((B761-'Calculation_Assumptions'!$B$5+1)/'Calculation_Assumptions'!$B$7,0),1)</f>
      </c>
      <c r="O761" s="91" t="str">
        <f>L761*I761</f>
      </c>
      <c r="P761" s="92" t="str">
        <f>M761*I761</f>
      </c>
      <c r="Q761" s="93" t="str">
        <f>P761*'Calculation_Assumptions'!$B$14*J761*K761</f>
      </c>
      <c r="R761" s="94" t="str">
        <f>O761*N761*J761*K761</f>
      </c>
      <c r="S761" s="95" t="str">
        <f>R761-Q761</f>
      </c>
      <c r="T761" s="96" t="str">
        <f>1/(1+'Calculation_Assumptions'!$B$8)^(B761-'Calculation_Assumptions'!$B$2)</f>
      </c>
      <c r="U761" s="97" t="str">
        <f>Q761*T761</f>
      </c>
      <c r="V761" s="98" t="str">
        <f>R761*T761</f>
      </c>
      <c r="W761" s="99" t="str">
        <f>S761*T761</f>
      </c>
      <c r="X761" t="n">
        <v>0</v>
      </c>
      <c r="Y761" s="100" t="n">
        <v>2017</v>
      </c>
      <c r="Z761" t="s">
        <v>389</v>
      </c>
      <c r="AA761" s="101" t="str">
        <f>IF(G761="shared-count-once",COUNTIFS($A$2:$A$807,A761,$B$2:$B$807,B761,$D$2:$D$807,D761),1)</f>
      </c>
    </row>
    <row r="762">
      <c r="A762" t="s">
        <v>76</v>
      </c>
      <c r="B762" s="79" t="n">
        <v>2031</v>
      </c>
      <c r="C762" t="s">
        <v>267</v>
      </c>
      <c r="D762" s="80" t="s">
        <v>411</v>
      </c>
      <c r="E762" s="81" t="s">
        <v>412</v>
      </c>
      <c r="F762" s="82" t="s">
        <v>270</v>
      </c>
      <c r="G762" s="83" t="s">
        <v>395</v>
      </c>
      <c r="H762" s="84" t="s">
        <v>386</v>
      </c>
      <c r="I762" s="85" t="n">
        <v>1</v>
      </c>
      <c r="J762" s="86" t="n">
        <v>1</v>
      </c>
      <c r="K762" s="87" t="n">
        <v>0.0077</v>
      </c>
      <c r="L762" s="88" t="n">
        <v>300196273.385416</v>
      </c>
      <c r="M762" s="89" t="n">
        <v>300152603.254782</v>
      </c>
      <c r="N762" s="90" t="str">
        <f>MIN(MAX((B762-'Calculation_Assumptions'!$B$5+1)/'Calculation_Assumptions'!$B$7,0),1)</f>
      </c>
      <c r="O762" s="91" t="str">
        <f>L762*I762</f>
      </c>
      <c r="P762" s="92" t="str">
        <f>M762*I762</f>
      </c>
      <c r="Q762" s="93" t="str">
        <f>P762*'Calculation_Assumptions'!$B$14*J762*K762</f>
      </c>
      <c r="R762" s="94" t="str">
        <f>O762*N762*J762*K762</f>
      </c>
      <c r="S762" s="95" t="str">
        <f>R762-Q762</f>
      </c>
      <c r="T762" s="96" t="str">
        <f>1/(1+'Calculation_Assumptions'!$B$8)^(B762-'Calculation_Assumptions'!$B$2)</f>
      </c>
      <c r="U762" s="97" t="str">
        <f>Q762*T762</f>
      </c>
      <c r="V762" s="98" t="str">
        <f>R762*T762</f>
      </c>
      <c r="W762" s="99" t="str">
        <f>S762*T762</f>
      </c>
      <c r="X762" t="n">
        <v>0</v>
      </c>
      <c r="Y762" s="100" t="n">
        <v>2017</v>
      </c>
      <c r="Z762" t="s">
        <v>389</v>
      </c>
      <c r="AA762" s="101" t="str">
        <f>IF(G762="shared-count-once",COUNTIFS($A$2:$A$807,A762,$B$2:$B$807,B762,$D$2:$D$807,D762),1)</f>
      </c>
    </row>
    <row r="763">
      <c r="A763" t="s">
        <v>76</v>
      </c>
      <c r="B763" s="79" t="n">
        <v>2032</v>
      </c>
      <c r="C763" t="s">
        <v>267</v>
      </c>
      <c r="D763" s="80" t="s">
        <v>411</v>
      </c>
      <c r="E763" s="81" t="s">
        <v>412</v>
      </c>
      <c r="F763" s="82" t="s">
        <v>270</v>
      </c>
      <c r="G763" s="83" t="s">
        <v>395</v>
      </c>
      <c r="H763" s="84" t="s">
        <v>386</v>
      </c>
      <c r="I763" s="85" t="n">
        <v>1</v>
      </c>
      <c r="J763" s="86" t="n">
        <v>1</v>
      </c>
      <c r="K763" s="87" t="n">
        <v>0.0077</v>
      </c>
      <c r="L763" s="88" t="n">
        <v>301958259.790884</v>
      </c>
      <c r="M763" s="89" t="n">
        <v>301959399.633888</v>
      </c>
      <c r="N763" s="90" t="str">
        <f>MIN(MAX((B763-'Calculation_Assumptions'!$B$5+1)/'Calculation_Assumptions'!$B$7,0),1)</f>
      </c>
      <c r="O763" s="91" t="str">
        <f>L763*I763</f>
      </c>
      <c r="P763" s="92" t="str">
        <f>M763*I763</f>
      </c>
      <c r="Q763" s="93" t="str">
        <f>P763*'Calculation_Assumptions'!$B$14*J763*K763</f>
      </c>
      <c r="R763" s="94" t="str">
        <f>O763*N763*J763*K763</f>
      </c>
      <c r="S763" s="95" t="str">
        <f>R763-Q763</f>
      </c>
      <c r="T763" s="96" t="str">
        <f>1/(1+'Calculation_Assumptions'!$B$8)^(B763-'Calculation_Assumptions'!$B$2)</f>
      </c>
      <c r="U763" s="97" t="str">
        <f>Q763*T763</f>
      </c>
      <c r="V763" s="98" t="str">
        <f>R763*T763</f>
      </c>
      <c r="W763" s="99" t="str">
        <f>S763*T763</f>
      </c>
      <c r="X763" t="n">
        <v>0</v>
      </c>
      <c r="Y763" s="100" t="n">
        <v>2017</v>
      </c>
      <c r="Z763" t="s">
        <v>389</v>
      </c>
      <c r="AA763" s="101" t="str">
        <f>IF(G763="shared-count-once",COUNTIFS($A$2:$A$807,A763,$B$2:$B$807,B763,$D$2:$D$807,D763),1)</f>
      </c>
    </row>
    <row r="764">
      <c r="A764" t="s">
        <v>76</v>
      </c>
      <c r="B764" s="79" t="n">
        <v>2033</v>
      </c>
      <c r="C764" t="s">
        <v>267</v>
      </c>
      <c r="D764" s="80" t="s">
        <v>411</v>
      </c>
      <c r="E764" s="81" t="s">
        <v>412</v>
      </c>
      <c r="F764" s="82" t="s">
        <v>270</v>
      </c>
      <c r="G764" s="83" t="s">
        <v>395</v>
      </c>
      <c r="H764" s="84" t="s">
        <v>386</v>
      </c>
      <c r="I764" s="85" t="n">
        <v>1</v>
      </c>
      <c r="J764" s="86" t="n">
        <v>1</v>
      </c>
      <c r="K764" s="87" t="n">
        <v>0.0077</v>
      </c>
      <c r="L764" s="88" t="n">
        <v>303726787.443174</v>
      </c>
      <c r="M764" s="89" t="n">
        <v>303701035.202051</v>
      </c>
      <c r="N764" s="90" t="str">
        <f>MIN(MAX((B764-'Calculation_Assumptions'!$B$5+1)/'Calculation_Assumptions'!$B$7,0),1)</f>
      </c>
      <c r="O764" s="91" t="str">
        <f>L764*I764</f>
      </c>
      <c r="P764" s="92" t="str">
        <f>M764*I764</f>
      </c>
      <c r="Q764" s="93" t="str">
        <f>P764*'Calculation_Assumptions'!$B$14*J764*K764</f>
      </c>
      <c r="R764" s="94" t="str">
        <f>O764*N764*J764*K764</f>
      </c>
      <c r="S764" s="95" t="str">
        <f>R764-Q764</f>
      </c>
      <c r="T764" s="96" t="str">
        <f>1/(1+'Calculation_Assumptions'!$B$8)^(B764-'Calculation_Assumptions'!$B$2)</f>
      </c>
      <c r="U764" s="97" t="str">
        <f>Q764*T764</f>
      </c>
      <c r="V764" s="98" t="str">
        <f>R764*T764</f>
      </c>
      <c r="W764" s="99" t="str">
        <f>S764*T764</f>
      </c>
      <c r="X764" t="n">
        <v>0</v>
      </c>
      <c r="Y764" s="100" t="n">
        <v>2017</v>
      </c>
      <c r="Z764" t="s">
        <v>389</v>
      </c>
      <c r="AA764" s="101" t="str">
        <f>IF(G764="shared-count-once",COUNTIFS($A$2:$A$807,A764,$B$2:$B$807,B764,$D$2:$D$807,D764),1)</f>
      </c>
    </row>
    <row r="765">
      <c r="A765" t="s">
        <v>76</v>
      </c>
      <c r="B765" s="79" t="n">
        <v>2034</v>
      </c>
      <c r="C765" t="s">
        <v>267</v>
      </c>
      <c r="D765" s="80" t="s">
        <v>411</v>
      </c>
      <c r="E765" s="81" t="s">
        <v>412</v>
      </c>
      <c r="F765" s="82" t="s">
        <v>270</v>
      </c>
      <c r="G765" s="83" t="s">
        <v>395</v>
      </c>
      <c r="H765" s="84" t="s">
        <v>386</v>
      </c>
      <c r="I765" s="85" t="n">
        <v>1</v>
      </c>
      <c r="J765" s="86" t="n">
        <v>1</v>
      </c>
      <c r="K765" s="87" t="n">
        <v>0.0077</v>
      </c>
      <c r="L765" s="88" t="n">
        <v>305436022.714483</v>
      </c>
      <c r="M765" s="89" t="n">
        <v>305377998.093319</v>
      </c>
      <c r="N765" s="90" t="str">
        <f>MIN(MAX((B765-'Calculation_Assumptions'!$B$5+1)/'Calculation_Assumptions'!$B$7,0),1)</f>
      </c>
      <c r="O765" s="91" t="str">
        <f>L765*I765</f>
      </c>
      <c r="P765" s="92" t="str">
        <f>M765*I765</f>
      </c>
      <c r="Q765" s="93" t="str">
        <f>P765*'Calculation_Assumptions'!$B$14*J765*K765</f>
      </c>
      <c r="R765" s="94" t="str">
        <f>O765*N765*J765*K765</f>
      </c>
      <c r="S765" s="95" t="str">
        <f>R765-Q765</f>
      </c>
      <c r="T765" s="96" t="str">
        <f>1/(1+'Calculation_Assumptions'!$B$8)^(B765-'Calculation_Assumptions'!$B$2)</f>
      </c>
      <c r="U765" s="97" t="str">
        <f>Q765*T765</f>
      </c>
      <c r="V765" s="98" t="str">
        <f>R765*T765</f>
      </c>
      <c r="W765" s="99" t="str">
        <f>S765*T765</f>
      </c>
      <c r="X765" t="n">
        <v>0</v>
      </c>
      <c r="Y765" s="100" t="n">
        <v>2017</v>
      </c>
      <c r="Z765" t="s">
        <v>389</v>
      </c>
      <c r="AA765" s="101" t="str">
        <f>IF(G765="shared-count-once",COUNTIFS($A$2:$A$807,A765,$B$2:$B$807,B765,$D$2:$D$807,D765),1)</f>
      </c>
    </row>
    <row r="766">
      <c r="A766" t="s">
        <v>76</v>
      </c>
      <c r="B766" s="79" t="n">
        <v>2035</v>
      </c>
      <c r="C766" t="s">
        <v>267</v>
      </c>
      <c r="D766" s="80" t="s">
        <v>411</v>
      </c>
      <c r="E766" s="81" t="s">
        <v>412</v>
      </c>
      <c r="F766" s="82" t="s">
        <v>270</v>
      </c>
      <c r="G766" s="83" t="s">
        <v>395</v>
      </c>
      <c r="H766" s="84" t="s">
        <v>386</v>
      </c>
      <c r="I766" s="85" t="n">
        <v>1</v>
      </c>
      <c r="J766" s="86" t="n">
        <v>1</v>
      </c>
      <c r="K766" s="87" t="n">
        <v>0.0077</v>
      </c>
      <c r="L766" s="88" t="n">
        <v>307084503.869544</v>
      </c>
      <c r="M766" s="89" t="n">
        <v>306989258.29407</v>
      </c>
      <c r="N766" s="90" t="str">
        <f>MIN(MAX((B766-'Calculation_Assumptions'!$B$5+1)/'Calculation_Assumptions'!$B$7,0),1)</f>
      </c>
      <c r="O766" s="91" t="str">
        <f>L766*I766</f>
      </c>
      <c r="P766" s="92" t="str">
        <f>M766*I766</f>
      </c>
      <c r="Q766" s="93" t="str">
        <f>P766*'Calculation_Assumptions'!$B$14*J766*K766</f>
      </c>
      <c r="R766" s="94" t="str">
        <f>O766*N766*J766*K766</f>
      </c>
      <c r="S766" s="95" t="str">
        <f>R766-Q766</f>
      </c>
      <c r="T766" s="96" t="str">
        <f>1/(1+'Calculation_Assumptions'!$B$8)^(B766-'Calculation_Assumptions'!$B$2)</f>
      </c>
      <c r="U766" s="97" t="str">
        <f>Q766*T766</f>
      </c>
      <c r="V766" s="98" t="str">
        <f>R766*T766</f>
      </c>
      <c r="W766" s="99" t="str">
        <f>S766*T766</f>
      </c>
      <c r="X766" t="n">
        <v>0</v>
      </c>
      <c r="Y766" s="100" t="n">
        <v>2017</v>
      </c>
      <c r="Z766" t="s">
        <v>389</v>
      </c>
      <c r="AA766" s="101" t="str">
        <f>IF(G766="shared-count-once",COUNTIFS($A$2:$A$807,A766,$B$2:$B$807,B766,$D$2:$D$807,D766),1)</f>
      </c>
    </row>
    <row r="767">
      <c r="A767" t="s">
        <v>76</v>
      </c>
      <c r="B767" s="79" t="n">
        <v>2036</v>
      </c>
      <c r="C767" t="s">
        <v>267</v>
      </c>
      <c r="D767" s="80" t="s">
        <v>411</v>
      </c>
      <c r="E767" s="81" t="s">
        <v>412</v>
      </c>
      <c r="F767" s="82" t="s">
        <v>270</v>
      </c>
      <c r="G767" s="83" t="s">
        <v>395</v>
      </c>
      <c r="H767" s="84" t="s">
        <v>386</v>
      </c>
      <c r="I767" s="85" t="n">
        <v>1</v>
      </c>
      <c r="J767" s="86" t="n">
        <v>1</v>
      </c>
      <c r="K767" s="87" t="n">
        <v>0.0077</v>
      </c>
      <c r="L767" s="88" t="n">
        <v>308674578.680747</v>
      </c>
      <c r="M767" s="89" t="n">
        <v>308537399.672094</v>
      </c>
      <c r="N767" s="90" t="str">
        <f>MIN(MAX((B767-'Calculation_Assumptions'!$B$5+1)/'Calculation_Assumptions'!$B$7,0),1)</f>
      </c>
      <c r="O767" s="91" t="str">
        <f>L767*I767</f>
      </c>
      <c r="P767" s="92" t="str">
        <f>M767*I767</f>
      </c>
      <c r="Q767" s="93" t="str">
        <f>P767*'Calculation_Assumptions'!$B$14*J767*K767</f>
      </c>
      <c r="R767" s="94" t="str">
        <f>O767*N767*J767*K767</f>
      </c>
      <c r="S767" s="95" t="str">
        <f>R767-Q767</f>
      </c>
      <c r="T767" s="96" t="str">
        <f>1/(1+'Calculation_Assumptions'!$B$8)^(B767-'Calculation_Assumptions'!$B$2)</f>
      </c>
      <c r="U767" s="97" t="str">
        <f>Q767*T767</f>
      </c>
      <c r="V767" s="98" t="str">
        <f>R767*T767</f>
      </c>
      <c r="W767" s="99" t="str">
        <f>S767*T767</f>
      </c>
      <c r="X767" t="n">
        <v>0</v>
      </c>
      <c r="Y767" s="100" t="n">
        <v>2017</v>
      </c>
      <c r="Z767" t="s">
        <v>389</v>
      </c>
      <c r="AA767" s="101" t="str">
        <f>IF(G767="shared-count-once",COUNTIFS($A$2:$A$807,A767,$B$2:$B$807,B767,$D$2:$D$807,D767),1)</f>
      </c>
    </row>
    <row r="768">
      <c r="A768" t="s">
        <v>76</v>
      </c>
      <c r="B768" s="79" t="n">
        <v>2037</v>
      </c>
      <c r="C768" t="s">
        <v>267</v>
      </c>
      <c r="D768" s="80" t="s">
        <v>411</v>
      </c>
      <c r="E768" s="81" t="s">
        <v>412</v>
      </c>
      <c r="F768" s="82" t="s">
        <v>270</v>
      </c>
      <c r="G768" s="83" t="s">
        <v>395</v>
      </c>
      <c r="H768" s="84" t="s">
        <v>386</v>
      </c>
      <c r="I768" s="85" t="n">
        <v>1</v>
      </c>
      <c r="J768" s="86" t="n">
        <v>1</v>
      </c>
      <c r="K768" s="87" t="n">
        <v>0.0077</v>
      </c>
      <c r="L768" s="88" t="n">
        <v>310206624.908372</v>
      </c>
      <c r="M768" s="89" t="n">
        <v>310023120.393472</v>
      </c>
      <c r="N768" s="90" t="str">
        <f>MIN(MAX((B768-'Calculation_Assumptions'!$B$5+1)/'Calculation_Assumptions'!$B$7,0),1)</f>
      </c>
      <c r="O768" s="91" t="str">
        <f>L768*I768</f>
      </c>
      <c r="P768" s="92" t="str">
        <f>M768*I768</f>
      </c>
      <c r="Q768" s="93" t="str">
        <f>P768*'Calculation_Assumptions'!$B$14*J768*K768</f>
      </c>
      <c r="R768" s="94" t="str">
        <f>O768*N768*J768*K768</f>
      </c>
      <c r="S768" s="95" t="str">
        <f>R768-Q768</f>
      </c>
      <c r="T768" s="96" t="str">
        <f>1/(1+'Calculation_Assumptions'!$B$8)^(B768-'Calculation_Assumptions'!$B$2)</f>
      </c>
      <c r="U768" s="97" t="str">
        <f>Q768*T768</f>
      </c>
      <c r="V768" s="98" t="str">
        <f>R768*T768</f>
      </c>
      <c r="W768" s="99" t="str">
        <f>S768*T768</f>
      </c>
      <c r="X768" t="n">
        <v>0</v>
      </c>
      <c r="Y768" s="100" t="n">
        <v>2017</v>
      </c>
      <c r="Z768" t="s">
        <v>389</v>
      </c>
      <c r="AA768" s="101" t="str">
        <f>IF(G768="shared-count-once",COUNTIFS($A$2:$A$807,A768,$B$2:$B$807,B768,$D$2:$D$807,D768),1)</f>
      </c>
    </row>
    <row r="769">
      <c r="A769" t="s">
        <v>76</v>
      </c>
      <c r="B769" s="79" t="n">
        <v>2038</v>
      </c>
      <c r="C769" t="s">
        <v>267</v>
      </c>
      <c r="D769" s="80" t="s">
        <v>411</v>
      </c>
      <c r="E769" s="81" t="s">
        <v>412</v>
      </c>
      <c r="F769" s="82" t="s">
        <v>270</v>
      </c>
      <c r="G769" s="83" t="s">
        <v>395</v>
      </c>
      <c r="H769" s="84" t="s">
        <v>386</v>
      </c>
      <c r="I769" s="85" t="n">
        <v>1</v>
      </c>
      <c r="J769" s="86" t="n">
        <v>1</v>
      </c>
      <c r="K769" s="87" t="n">
        <v>0.0077</v>
      </c>
      <c r="L769" s="88" t="n">
        <v>311680372.519886</v>
      </c>
      <c r="M769" s="89" t="n">
        <v>311445837.134625</v>
      </c>
      <c r="N769" s="90" t="str">
        <f>MIN(MAX((B769-'Calculation_Assumptions'!$B$5+1)/'Calculation_Assumptions'!$B$7,0),1)</f>
      </c>
      <c r="O769" s="91" t="str">
        <f>L769*I769</f>
      </c>
      <c r="P769" s="92" t="str">
        <f>M769*I769</f>
      </c>
      <c r="Q769" s="93" t="str">
        <f>P769*'Calculation_Assumptions'!$B$14*J769*K769</f>
      </c>
      <c r="R769" s="94" t="str">
        <f>O769*N769*J769*K769</f>
      </c>
      <c r="S769" s="95" t="str">
        <f>R769-Q769</f>
      </c>
      <c r="T769" s="96" t="str">
        <f>1/(1+'Calculation_Assumptions'!$B$8)^(B769-'Calculation_Assumptions'!$B$2)</f>
      </c>
      <c r="U769" s="97" t="str">
        <f>Q769*T769</f>
      </c>
      <c r="V769" s="98" t="str">
        <f>R769*T769</f>
      </c>
      <c r="W769" s="99" t="str">
        <f>S769*T769</f>
      </c>
      <c r="X769" t="n">
        <v>0</v>
      </c>
      <c r="Y769" s="100" t="n">
        <v>2017</v>
      </c>
      <c r="Z769" t="s">
        <v>389</v>
      </c>
      <c r="AA769" s="101" t="str">
        <f>IF(G769="shared-count-once",COUNTIFS($A$2:$A$807,A769,$B$2:$B$807,B769,$D$2:$D$807,D769),1)</f>
      </c>
    </row>
    <row r="770">
      <c r="A770" t="s">
        <v>76</v>
      </c>
      <c r="B770" s="79" t="n">
        <v>2039</v>
      </c>
      <c r="C770" t="s">
        <v>267</v>
      </c>
      <c r="D770" s="80" t="s">
        <v>411</v>
      </c>
      <c r="E770" s="81" t="s">
        <v>412</v>
      </c>
      <c r="F770" s="82" t="s">
        <v>270</v>
      </c>
      <c r="G770" s="83" t="s">
        <v>395</v>
      </c>
      <c r="H770" s="84" t="s">
        <v>386</v>
      </c>
      <c r="I770" s="85" t="n">
        <v>1</v>
      </c>
      <c r="J770" s="86" t="n">
        <v>1</v>
      </c>
      <c r="K770" s="87" t="n">
        <v>0.0077</v>
      </c>
      <c r="L770" s="88" t="n">
        <v>313096760.631209</v>
      </c>
      <c r="M770" s="89" t="n">
        <v>312806989.715685</v>
      </c>
      <c r="N770" s="90" t="str">
        <f>MIN(MAX((B770-'Calculation_Assumptions'!$B$5+1)/'Calculation_Assumptions'!$B$7,0),1)</f>
      </c>
      <c r="O770" s="91" t="str">
        <f>L770*I770</f>
      </c>
      <c r="P770" s="92" t="str">
        <f>M770*I770</f>
      </c>
      <c r="Q770" s="93" t="str">
        <f>P770*'Calculation_Assumptions'!$B$14*J770*K770</f>
      </c>
      <c r="R770" s="94" t="str">
        <f>O770*N770*J770*K770</f>
      </c>
      <c r="S770" s="95" t="str">
        <f>R770-Q770</f>
      </c>
      <c r="T770" s="96" t="str">
        <f>1/(1+'Calculation_Assumptions'!$B$8)^(B770-'Calculation_Assumptions'!$B$2)</f>
      </c>
      <c r="U770" s="97" t="str">
        <f>Q770*T770</f>
      </c>
      <c r="V770" s="98" t="str">
        <f>R770*T770</f>
      </c>
      <c r="W770" s="99" t="str">
        <f>S770*T770</f>
      </c>
      <c r="X770" t="n">
        <v>0</v>
      </c>
      <c r="Y770" s="100" t="n">
        <v>2017</v>
      </c>
      <c r="Z770" t="s">
        <v>389</v>
      </c>
      <c r="AA770" s="101" t="str">
        <f>IF(G770="shared-count-once",COUNTIFS($A$2:$A$807,A770,$B$2:$B$807,B770,$D$2:$D$807,D770),1)</f>
      </c>
    </row>
    <row r="771">
      <c r="A771" t="s">
        <v>76</v>
      </c>
      <c r="B771" s="79" t="n">
        <v>2040</v>
      </c>
      <c r="C771" t="s">
        <v>267</v>
      </c>
      <c r="D771" s="80" t="s">
        <v>411</v>
      </c>
      <c r="E771" s="81" t="s">
        <v>412</v>
      </c>
      <c r="F771" s="82" t="s">
        <v>270</v>
      </c>
      <c r="G771" s="83" t="s">
        <v>395</v>
      </c>
      <c r="H771" s="84" t="s">
        <v>386</v>
      </c>
      <c r="I771" s="85" t="n">
        <v>1</v>
      </c>
      <c r="J771" s="86" t="n">
        <v>1</v>
      </c>
      <c r="K771" s="87" t="n">
        <v>0.0077</v>
      </c>
      <c r="L771" s="88" t="n">
        <v>314457822.69727</v>
      </c>
      <c r="M771" s="89" t="n">
        <v>314109251.582649</v>
      </c>
      <c r="N771" s="90" t="str">
        <f>MIN(MAX((B771-'Calculation_Assumptions'!$B$5+1)/'Calculation_Assumptions'!$B$7,0),1)</f>
      </c>
      <c r="O771" s="91" t="str">
        <f>L771*I771</f>
      </c>
      <c r="P771" s="92" t="str">
        <f>M771*I771</f>
      </c>
      <c r="Q771" s="93" t="str">
        <f>P771*'Calculation_Assumptions'!$B$14*J771*K771</f>
      </c>
      <c r="R771" s="94" t="str">
        <f>O771*N771*J771*K771</f>
      </c>
      <c r="S771" s="95" t="str">
        <f>R771-Q771</f>
      </c>
      <c r="T771" s="96" t="str">
        <f>1/(1+'Calculation_Assumptions'!$B$8)^(B771-'Calculation_Assumptions'!$B$2)</f>
      </c>
      <c r="U771" s="97" t="str">
        <f>Q771*T771</f>
      </c>
      <c r="V771" s="98" t="str">
        <f>R771*T771</f>
      </c>
      <c r="W771" s="99" t="str">
        <f>S771*T771</f>
      </c>
      <c r="X771" t="n">
        <v>0</v>
      </c>
      <c r="Y771" s="100" t="n">
        <v>2017</v>
      </c>
      <c r="Z771" t="s">
        <v>389</v>
      </c>
      <c r="AA771" s="101" t="str">
        <f>IF(G771="shared-count-once",COUNTIFS($A$2:$A$807,A771,$B$2:$B$807,B771,$D$2:$D$807,D771),1)</f>
      </c>
    </row>
    <row r="772">
      <c r="A772" t="s">
        <v>76</v>
      </c>
      <c r="B772" s="79" t="n">
        <v>2041</v>
      </c>
      <c r="C772" t="s">
        <v>267</v>
      </c>
      <c r="D772" s="80" t="s">
        <v>411</v>
      </c>
      <c r="E772" s="81" t="s">
        <v>412</v>
      </c>
      <c r="F772" s="82" t="s">
        <v>270</v>
      </c>
      <c r="G772" s="83" t="s">
        <v>395</v>
      </c>
      <c r="H772" s="84" t="s">
        <v>386</v>
      </c>
      <c r="I772" s="85" t="n">
        <v>1</v>
      </c>
      <c r="J772" s="86" t="n">
        <v>1</v>
      </c>
      <c r="K772" s="87" t="n">
        <v>0.0077</v>
      </c>
      <c r="L772" s="88" t="n">
        <v>315762299.651562</v>
      </c>
      <c r="M772" s="89" t="n">
        <v>315352079.812423</v>
      </c>
      <c r="N772" s="90" t="str">
        <f>MIN(MAX((B772-'Calculation_Assumptions'!$B$5+1)/'Calculation_Assumptions'!$B$7,0),1)</f>
      </c>
      <c r="O772" s="91" t="str">
        <f>L772*I772</f>
      </c>
      <c r="P772" s="92" t="str">
        <f>M772*I772</f>
      </c>
      <c r="Q772" s="93" t="str">
        <f>P772*'Calculation_Assumptions'!$B$14*J772*K772</f>
      </c>
      <c r="R772" s="94" t="str">
        <f>O772*N772*J772*K772</f>
      </c>
      <c r="S772" s="95" t="str">
        <f>R772-Q772</f>
      </c>
      <c r="T772" s="96" t="str">
        <f>1/(1+'Calculation_Assumptions'!$B$8)^(B772-'Calculation_Assumptions'!$B$2)</f>
      </c>
      <c r="U772" s="97" t="str">
        <f>Q772*T772</f>
      </c>
      <c r="V772" s="98" t="str">
        <f>R772*T772</f>
      </c>
      <c r="W772" s="99" t="str">
        <f>S772*T772</f>
      </c>
      <c r="X772" t="n">
        <v>0</v>
      </c>
      <c r="Y772" s="100" t="n">
        <v>2017</v>
      </c>
      <c r="Z772" t="s">
        <v>389</v>
      </c>
      <c r="AA772" s="101" t="str">
        <f>IF(G772="shared-count-once",COUNTIFS($A$2:$A$807,A772,$B$2:$B$807,B772,$D$2:$D$807,D772),1)</f>
      </c>
    </row>
    <row r="773">
      <c r="A773" t="s">
        <v>76</v>
      </c>
      <c r="B773" s="79" t="n">
        <v>2042</v>
      </c>
      <c r="C773" t="s">
        <v>267</v>
      </c>
      <c r="D773" s="80" t="s">
        <v>411</v>
      </c>
      <c r="E773" s="81" t="s">
        <v>412</v>
      </c>
      <c r="F773" s="82" t="s">
        <v>270</v>
      </c>
      <c r="G773" s="83" t="s">
        <v>395</v>
      </c>
      <c r="H773" s="84" t="s">
        <v>386</v>
      </c>
      <c r="I773" s="85" t="n">
        <v>1</v>
      </c>
      <c r="J773" s="86" t="n">
        <v>1</v>
      </c>
      <c r="K773" s="87" t="n">
        <v>0.0077</v>
      </c>
      <c r="L773" s="88" t="n">
        <v>317010735.77488</v>
      </c>
      <c r="M773" s="89" t="n">
        <v>316395286.312016</v>
      </c>
      <c r="N773" s="90" t="str">
        <f>MIN(MAX((B773-'Calculation_Assumptions'!$B$5+1)/'Calculation_Assumptions'!$B$7,0),1)</f>
      </c>
      <c r="O773" s="91" t="str">
        <f>L773*I773</f>
      </c>
      <c r="P773" s="92" t="str">
        <f>M773*I773</f>
      </c>
      <c r="Q773" s="93" t="str">
        <f>P773*'Calculation_Assumptions'!$B$14*J773*K773</f>
      </c>
      <c r="R773" s="94" t="str">
        <f>O773*N773*J773*K773</f>
      </c>
      <c r="S773" s="95" t="str">
        <f>R773-Q773</f>
      </c>
      <c r="T773" s="96" t="str">
        <f>1/(1+'Calculation_Assumptions'!$B$8)^(B773-'Calculation_Assumptions'!$B$2)</f>
      </c>
      <c r="U773" s="97" t="str">
        <f>Q773*T773</f>
      </c>
      <c r="V773" s="98" t="str">
        <f>R773*T773</f>
      </c>
      <c r="W773" s="99" t="str">
        <f>S773*T773</f>
      </c>
      <c r="X773" t="n">
        <v>0</v>
      </c>
      <c r="Y773" s="100" t="n">
        <v>2017</v>
      </c>
      <c r="Z773" t="s">
        <v>389</v>
      </c>
      <c r="AA773" s="101" t="str">
        <f>IF(G773="shared-count-once",COUNTIFS($A$2:$A$807,A773,$B$2:$B$807,B773,$D$2:$D$807,D773),1)</f>
      </c>
    </row>
    <row r="774">
      <c r="A774" t="s">
        <v>76</v>
      </c>
      <c r="B774" s="79" t="n">
        <v>2043</v>
      </c>
      <c r="C774" t="s">
        <v>267</v>
      </c>
      <c r="D774" s="80" t="s">
        <v>411</v>
      </c>
      <c r="E774" s="81" t="s">
        <v>412</v>
      </c>
      <c r="F774" s="82" t="s">
        <v>270</v>
      </c>
      <c r="G774" s="83" t="s">
        <v>395</v>
      </c>
      <c r="H774" s="84" t="s">
        <v>386</v>
      </c>
      <c r="I774" s="85" t="n">
        <v>1</v>
      </c>
      <c r="J774" s="86" t="n">
        <v>1</v>
      </c>
      <c r="K774" s="87" t="n">
        <v>0.0077</v>
      </c>
      <c r="L774" s="88" t="n">
        <v>318158750.005661</v>
      </c>
      <c r="M774" s="89" t="n">
        <v>317619735.688289</v>
      </c>
      <c r="N774" s="90" t="str">
        <f>MIN(MAX((B774-'Calculation_Assumptions'!$B$5+1)/'Calculation_Assumptions'!$B$7,0),1)</f>
      </c>
      <c r="O774" s="91" t="str">
        <f>L774*I774</f>
      </c>
      <c r="P774" s="92" t="str">
        <f>M774*I774</f>
      </c>
      <c r="Q774" s="93" t="str">
        <f>P774*'Calculation_Assumptions'!$B$14*J774*K774</f>
      </c>
      <c r="R774" s="94" t="str">
        <f>O774*N774*J774*K774</f>
      </c>
      <c r="S774" s="95" t="str">
        <f>R774-Q774</f>
      </c>
      <c r="T774" s="96" t="str">
        <f>1/(1+'Calculation_Assumptions'!$B$8)^(B774-'Calculation_Assumptions'!$B$2)</f>
      </c>
      <c r="U774" s="97" t="str">
        <f>Q774*T774</f>
      </c>
      <c r="V774" s="98" t="str">
        <f>R774*T774</f>
      </c>
      <c r="W774" s="99" t="str">
        <f>S774*T774</f>
      </c>
      <c r="X774" t="n">
        <v>0</v>
      </c>
      <c r="Y774" s="100" t="n">
        <v>2017</v>
      </c>
      <c r="Z774" t="s">
        <v>389</v>
      </c>
      <c r="AA774" s="101" t="str">
        <f>IF(G774="shared-count-once",COUNTIFS($A$2:$A$807,A774,$B$2:$B$807,B774,$D$2:$D$807,D774),1)</f>
      </c>
    </row>
    <row r="775">
      <c r="A775" t="s">
        <v>76</v>
      </c>
      <c r="B775" s="79" t="n">
        <v>2044</v>
      </c>
      <c r="C775" t="s">
        <v>267</v>
      </c>
      <c r="D775" s="80" t="s">
        <v>411</v>
      </c>
      <c r="E775" s="81" t="s">
        <v>412</v>
      </c>
      <c r="F775" s="82" t="s">
        <v>270</v>
      </c>
      <c r="G775" s="83" t="s">
        <v>395</v>
      </c>
      <c r="H775" s="84" t="s">
        <v>386</v>
      </c>
      <c r="I775" s="85" t="n">
        <v>1</v>
      </c>
      <c r="J775" s="86" t="n">
        <v>1</v>
      </c>
      <c r="K775" s="87" t="n">
        <v>0.0077</v>
      </c>
      <c r="L775" s="88" t="n">
        <v>319305078.475065</v>
      </c>
      <c r="M775" s="89" t="n">
        <v>318697135.863652</v>
      </c>
      <c r="N775" s="90" t="str">
        <f>MIN(MAX((B775-'Calculation_Assumptions'!$B$5+1)/'Calculation_Assumptions'!$B$7,0),1)</f>
      </c>
      <c r="O775" s="91" t="str">
        <f>L775*I775</f>
      </c>
      <c r="P775" s="92" t="str">
        <f>M775*I775</f>
      </c>
      <c r="Q775" s="93" t="str">
        <f>P775*'Calculation_Assumptions'!$B$14*J775*K775</f>
      </c>
      <c r="R775" s="94" t="str">
        <f>O775*N775*J775*K775</f>
      </c>
      <c r="S775" s="95" t="str">
        <f>R775-Q775</f>
      </c>
      <c r="T775" s="96" t="str">
        <f>1/(1+'Calculation_Assumptions'!$B$8)^(B775-'Calculation_Assumptions'!$B$2)</f>
      </c>
      <c r="U775" s="97" t="str">
        <f>Q775*T775</f>
      </c>
      <c r="V775" s="98" t="str">
        <f>R775*T775</f>
      </c>
      <c r="W775" s="99" t="str">
        <f>S775*T775</f>
      </c>
      <c r="X775" t="n">
        <v>0</v>
      </c>
      <c r="Y775" s="100" t="n">
        <v>2017</v>
      </c>
      <c r="Z775" t="s">
        <v>389</v>
      </c>
      <c r="AA775" s="101" t="str">
        <f>IF(G775="shared-count-once",COUNTIFS($A$2:$A$807,A775,$B$2:$B$807,B775,$D$2:$D$807,D775),1)</f>
      </c>
    </row>
    <row r="776">
      <c r="A776" t="s">
        <v>76</v>
      </c>
      <c r="B776" s="79" t="n">
        <v>2045</v>
      </c>
      <c r="C776" t="s">
        <v>267</v>
      </c>
      <c r="D776" s="80" t="s">
        <v>411</v>
      </c>
      <c r="E776" s="81" t="s">
        <v>412</v>
      </c>
      <c r="F776" s="82" t="s">
        <v>270</v>
      </c>
      <c r="G776" s="83" t="s">
        <v>395</v>
      </c>
      <c r="H776" s="84" t="s">
        <v>386</v>
      </c>
      <c r="I776" s="85" t="n">
        <v>1</v>
      </c>
      <c r="J776" s="86" t="n">
        <v>1</v>
      </c>
      <c r="K776" s="87" t="n">
        <v>0.0077</v>
      </c>
      <c r="L776" s="88" t="n">
        <v>320395460.874147</v>
      </c>
      <c r="M776" s="89" t="n">
        <v>319717840.85179</v>
      </c>
      <c r="N776" s="90" t="str">
        <f>MIN(MAX((B776-'Calculation_Assumptions'!$B$5+1)/'Calculation_Assumptions'!$B$7,0),1)</f>
      </c>
      <c r="O776" s="91" t="str">
        <f>L776*I776</f>
      </c>
      <c r="P776" s="92" t="str">
        <f>M776*I776</f>
      </c>
      <c r="Q776" s="93" t="str">
        <f>P776*'Calculation_Assumptions'!$B$14*J776*K776</f>
      </c>
      <c r="R776" s="94" t="str">
        <f>O776*N776*J776*K776</f>
      </c>
      <c r="S776" s="95" t="str">
        <f>R776-Q776</f>
      </c>
      <c r="T776" s="96" t="str">
        <f>1/(1+'Calculation_Assumptions'!$B$8)^(B776-'Calculation_Assumptions'!$B$2)</f>
      </c>
      <c r="U776" s="97" t="str">
        <f>Q776*T776</f>
      </c>
      <c r="V776" s="98" t="str">
        <f>R776*T776</f>
      </c>
      <c r="W776" s="99" t="str">
        <f>S776*T776</f>
      </c>
      <c r="X776" t="n">
        <v>0</v>
      </c>
      <c r="Y776" s="100" t="n">
        <v>2017</v>
      </c>
      <c r="Z776" t="s">
        <v>389</v>
      </c>
      <c r="AA776" s="101" t="str">
        <f>IF(G776="shared-count-once",COUNTIFS($A$2:$A$807,A776,$B$2:$B$807,B776,$D$2:$D$807,D776),1)</f>
      </c>
    </row>
    <row r="777">
      <c r="A777" t="s">
        <v>76</v>
      </c>
      <c r="B777" s="79" t="n">
        <v>2046</v>
      </c>
      <c r="C777" t="s">
        <v>267</v>
      </c>
      <c r="D777" s="80" t="s">
        <v>411</v>
      </c>
      <c r="E777" s="81" t="s">
        <v>412</v>
      </c>
      <c r="F777" s="82" t="s">
        <v>270</v>
      </c>
      <c r="G777" s="83" t="s">
        <v>395</v>
      </c>
      <c r="H777" s="84" t="s">
        <v>386</v>
      </c>
      <c r="I777" s="85" t="n">
        <v>1</v>
      </c>
      <c r="J777" s="86" t="n">
        <v>1</v>
      </c>
      <c r="K777" s="87" t="n">
        <v>0.0077</v>
      </c>
      <c r="L777" s="88" t="n">
        <v>321430558.971018</v>
      </c>
      <c r="M777" s="89" t="n">
        <v>320683879.806276</v>
      </c>
      <c r="N777" s="90" t="str">
        <f>MIN(MAX((B777-'Calculation_Assumptions'!$B$5+1)/'Calculation_Assumptions'!$B$7,0),1)</f>
      </c>
      <c r="O777" s="91" t="str">
        <f>L777*I777</f>
      </c>
      <c r="P777" s="92" t="str">
        <f>M777*I777</f>
      </c>
      <c r="Q777" s="93" t="str">
        <f>P777*'Calculation_Assumptions'!$B$14*J777*K777</f>
      </c>
      <c r="R777" s="94" t="str">
        <f>O777*N777*J777*K777</f>
      </c>
      <c r="S777" s="95" t="str">
        <f>R777-Q777</f>
      </c>
      <c r="T777" s="96" t="str">
        <f>1/(1+'Calculation_Assumptions'!$B$8)^(B777-'Calculation_Assumptions'!$B$2)</f>
      </c>
      <c r="U777" s="97" t="str">
        <f>Q777*T777</f>
      </c>
      <c r="V777" s="98" t="str">
        <f>R777*T777</f>
      </c>
      <c r="W777" s="99" t="str">
        <f>S777*T777</f>
      </c>
      <c r="X777" t="n">
        <v>0</v>
      </c>
      <c r="Y777" s="100" t="n">
        <v>2017</v>
      </c>
      <c r="Z777" t="s">
        <v>389</v>
      </c>
      <c r="AA777" s="101" t="str">
        <f>IF(G777="shared-count-once",COUNTIFS($A$2:$A$807,A777,$B$2:$B$807,B777,$D$2:$D$807,D777),1)</f>
      </c>
    </row>
    <row r="778">
      <c r="A778" t="s">
        <v>76</v>
      </c>
      <c r="B778" s="79" t="n">
        <v>2047</v>
      </c>
      <c r="C778" t="s">
        <v>267</v>
      </c>
      <c r="D778" s="80" t="s">
        <v>411</v>
      </c>
      <c r="E778" s="81" t="s">
        <v>412</v>
      </c>
      <c r="F778" s="82" t="s">
        <v>270</v>
      </c>
      <c r="G778" s="83" t="s">
        <v>395</v>
      </c>
      <c r="H778" s="84" t="s">
        <v>386</v>
      </c>
      <c r="I778" s="85" t="n">
        <v>1</v>
      </c>
      <c r="J778" s="86" t="n">
        <v>1</v>
      </c>
      <c r="K778" s="87" t="n">
        <v>0.0077</v>
      </c>
      <c r="L778" s="88" t="n">
        <v>322411096.713551</v>
      </c>
      <c r="M778" s="89" t="n">
        <v>321595541.389526</v>
      </c>
      <c r="N778" s="90" t="str">
        <f>MIN(MAX((B778-'Calculation_Assumptions'!$B$5+1)/'Calculation_Assumptions'!$B$7,0),1)</f>
      </c>
      <c r="O778" s="91" t="str">
        <f>L778*I778</f>
      </c>
      <c r="P778" s="92" t="str">
        <f>M778*I778</f>
      </c>
      <c r="Q778" s="93" t="str">
        <f>P778*'Calculation_Assumptions'!$B$14*J778*K778</f>
      </c>
      <c r="R778" s="94" t="str">
        <f>O778*N778*J778*K778</f>
      </c>
      <c r="S778" s="95" t="str">
        <f>R778-Q778</f>
      </c>
      <c r="T778" s="96" t="str">
        <f>1/(1+'Calculation_Assumptions'!$B$8)^(B778-'Calculation_Assumptions'!$B$2)</f>
      </c>
      <c r="U778" s="97" t="str">
        <f>Q778*T778</f>
      </c>
      <c r="V778" s="98" t="str">
        <f>R778*T778</f>
      </c>
      <c r="W778" s="99" t="str">
        <f>S778*T778</f>
      </c>
      <c r="X778" t="n">
        <v>0</v>
      </c>
      <c r="Y778" s="100" t="n">
        <v>2017</v>
      </c>
      <c r="Z778" t="s">
        <v>389</v>
      </c>
      <c r="AA778" s="101" t="str">
        <f>IF(G778="shared-count-once",COUNTIFS($A$2:$A$807,A778,$B$2:$B$807,B778,$D$2:$D$807,D778),1)</f>
      </c>
    </row>
    <row r="779">
      <c r="A779" t="s">
        <v>76</v>
      </c>
      <c r="B779" s="79" t="n">
        <v>2048</v>
      </c>
      <c r="C779" t="s">
        <v>267</v>
      </c>
      <c r="D779" s="80" t="s">
        <v>411</v>
      </c>
      <c r="E779" s="81" t="s">
        <v>412</v>
      </c>
      <c r="F779" s="82" t="s">
        <v>270</v>
      </c>
      <c r="G779" s="83" t="s">
        <v>395</v>
      </c>
      <c r="H779" s="84" t="s">
        <v>386</v>
      </c>
      <c r="I779" s="85" t="n">
        <v>1</v>
      </c>
      <c r="J779" s="86" t="n">
        <v>1</v>
      </c>
      <c r="K779" s="87" t="n">
        <v>0.0077</v>
      </c>
      <c r="L779" s="88" t="n">
        <v>323337875.603966</v>
      </c>
      <c r="M779" s="89" t="n">
        <v>322453622.669464</v>
      </c>
      <c r="N779" s="90" t="str">
        <f>MIN(MAX((B779-'Calculation_Assumptions'!$B$5+1)/'Calculation_Assumptions'!$B$7,0),1)</f>
      </c>
      <c r="O779" s="91" t="str">
        <f>L779*I779</f>
      </c>
      <c r="P779" s="92" t="str">
        <f>M779*I779</f>
      </c>
      <c r="Q779" s="93" t="str">
        <f>P779*'Calculation_Assumptions'!$B$14*J779*K779</f>
      </c>
      <c r="R779" s="94" t="str">
        <f>O779*N779*J779*K779</f>
      </c>
      <c r="S779" s="95" t="str">
        <f>R779-Q779</f>
      </c>
      <c r="T779" s="96" t="str">
        <f>1/(1+'Calculation_Assumptions'!$B$8)^(B779-'Calculation_Assumptions'!$B$2)</f>
      </c>
      <c r="U779" s="97" t="str">
        <f>Q779*T779</f>
      </c>
      <c r="V779" s="98" t="str">
        <f>R779*T779</f>
      </c>
      <c r="W779" s="99" t="str">
        <f>S779*T779</f>
      </c>
      <c r="X779" t="n">
        <v>0</v>
      </c>
      <c r="Y779" s="100" t="n">
        <v>2017</v>
      </c>
      <c r="Z779" t="s">
        <v>389</v>
      </c>
      <c r="AA779" s="101" t="str">
        <f>IF(G779="shared-count-once",COUNTIFS($A$2:$A$807,A779,$B$2:$B$807,B779,$D$2:$D$807,D779),1)</f>
      </c>
    </row>
    <row r="780">
      <c r="A780" t="s">
        <v>76</v>
      </c>
      <c r="B780" s="79" t="n">
        <v>2049</v>
      </c>
      <c r="C780" t="s">
        <v>267</v>
      </c>
      <c r="D780" s="80" t="s">
        <v>411</v>
      </c>
      <c r="E780" s="81" t="s">
        <v>412</v>
      </c>
      <c r="F780" s="82" t="s">
        <v>270</v>
      </c>
      <c r="G780" s="83" t="s">
        <v>395</v>
      </c>
      <c r="H780" s="84" t="s">
        <v>386</v>
      </c>
      <c r="I780" s="85" t="n">
        <v>1</v>
      </c>
      <c r="J780" s="86" t="n">
        <v>1</v>
      </c>
      <c r="K780" s="87" t="n">
        <v>0.0077</v>
      </c>
      <c r="L780" s="88" t="n">
        <v>324211859.675226</v>
      </c>
      <c r="M780" s="89" t="n">
        <v>323259246.716719</v>
      </c>
      <c r="N780" s="90" t="str">
        <f>MIN(MAX((B780-'Calculation_Assumptions'!$B$5+1)/'Calculation_Assumptions'!$B$7,0),1)</f>
      </c>
      <c r="O780" s="91" t="str">
        <f>L780*I780</f>
      </c>
      <c r="P780" s="92" t="str">
        <f>M780*I780</f>
      </c>
      <c r="Q780" s="93" t="str">
        <f>P780*'Calculation_Assumptions'!$B$14*J780*K780</f>
      </c>
      <c r="R780" s="94" t="str">
        <f>O780*N780*J780*K780</f>
      </c>
      <c r="S780" s="95" t="str">
        <f>R780-Q780</f>
      </c>
      <c r="T780" s="96" t="str">
        <f>1/(1+'Calculation_Assumptions'!$B$8)^(B780-'Calculation_Assumptions'!$B$2)</f>
      </c>
      <c r="U780" s="97" t="str">
        <f>Q780*T780</f>
      </c>
      <c r="V780" s="98" t="str">
        <f>R780*T780</f>
      </c>
      <c r="W780" s="99" t="str">
        <f>S780*T780</f>
      </c>
      <c r="X780" t="n">
        <v>0</v>
      </c>
      <c r="Y780" s="100" t="n">
        <v>2017</v>
      </c>
      <c r="Z780" t="s">
        <v>389</v>
      </c>
      <c r="AA780" s="101" t="str">
        <f>IF(G780="shared-count-once",COUNTIFS($A$2:$A$807,A780,$B$2:$B$807,B780,$D$2:$D$807,D780),1)</f>
      </c>
    </row>
    <row r="781">
      <c r="A781" t="s">
        <v>76</v>
      </c>
      <c r="B781" s="79" t="n">
        <v>2050</v>
      </c>
      <c r="C781" t="s">
        <v>267</v>
      </c>
      <c r="D781" s="80" t="s">
        <v>411</v>
      </c>
      <c r="E781" s="81" t="s">
        <v>412</v>
      </c>
      <c r="F781" s="82" t="s">
        <v>270</v>
      </c>
      <c r="G781" s="83" t="s">
        <v>395</v>
      </c>
      <c r="H781" s="84" t="s">
        <v>386</v>
      </c>
      <c r="I781" s="85" t="n">
        <v>1</v>
      </c>
      <c r="J781" s="86" t="n">
        <v>1</v>
      </c>
      <c r="K781" s="87" t="n">
        <v>0.0077</v>
      </c>
      <c r="L781" s="88" t="n">
        <v>325034214.935484</v>
      </c>
      <c r="M781" s="89" t="n">
        <v>324013738.182479</v>
      </c>
      <c r="N781" s="90" t="str">
        <f>MIN(MAX((B781-'Calculation_Assumptions'!$B$5+1)/'Calculation_Assumptions'!$B$7,0),1)</f>
      </c>
      <c r="O781" s="91" t="str">
        <f>L781*I781</f>
      </c>
      <c r="P781" s="92" t="str">
        <f>M781*I781</f>
      </c>
      <c r="Q781" s="93" t="str">
        <f>P781*'Calculation_Assumptions'!$B$14*J781*K781</f>
      </c>
      <c r="R781" s="94" t="str">
        <f>O781*N781*J781*K781</f>
      </c>
      <c r="S781" s="95" t="str">
        <f>R781-Q781</f>
      </c>
      <c r="T781" s="96" t="str">
        <f>1/(1+'Calculation_Assumptions'!$B$8)^(B781-'Calculation_Assumptions'!$B$2)</f>
      </c>
      <c r="U781" s="97" t="str">
        <f>Q781*T781</f>
      </c>
      <c r="V781" s="98" t="str">
        <f>R781*T781</f>
      </c>
      <c r="W781" s="99" t="str">
        <f>S781*T781</f>
      </c>
      <c r="X781" t="n">
        <v>0</v>
      </c>
      <c r="Y781" s="100" t="n">
        <v>2017</v>
      </c>
      <c r="Z781" t="s">
        <v>389</v>
      </c>
      <c r="AA781" s="101" t="str">
        <f>IF(G781="shared-count-once",COUNTIFS($A$2:$A$807,A781,$B$2:$B$807,B781,$D$2:$D$807,D781),1)</f>
      </c>
    </row>
    <row r="782">
      <c r="A782" t="s">
        <v>76</v>
      </c>
      <c r="B782" s="79" t="n">
        <v>2025</v>
      </c>
      <c r="C782" t="s">
        <v>274</v>
      </c>
      <c r="D782" s="80" t="s">
        <v>413</v>
      </c>
      <c r="E782" s="81" t="s">
        <v>414</v>
      </c>
      <c r="F782" s="82" t="s">
        <v>277</v>
      </c>
      <c r="G782" s="83" t="s">
        <v>395</v>
      </c>
      <c r="H782" s="84" t="s">
        <v>386</v>
      </c>
      <c r="I782" s="85" t="n">
        <v>1</v>
      </c>
      <c r="J782" s="86" t="n">
        <v>1</v>
      </c>
      <c r="K782" s="87" t="n">
        <v>0.0077</v>
      </c>
      <c r="L782" s="88" t="n">
        <v>288000821.106462</v>
      </c>
      <c r="M782" s="89" t="n">
        <v>288000821.106462</v>
      </c>
      <c r="N782" s="90" t="str">
        <f>MIN(MAX((B782-'Calculation_Assumptions'!$B$5+1)/'Calculation_Assumptions'!$B$7,0),1)</f>
      </c>
      <c r="O782" s="91" t="str">
        <f>L782*I782</f>
      </c>
      <c r="P782" s="92" t="str">
        <f>M782*I782</f>
      </c>
      <c r="Q782" s="93" t="str">
        <f>P782*'Calculation_Assumptions'!$B$14*J782*K782</f>
      </c>
      <c r="R782" s="94" t="str">
        <f>O782*N782*J782*K782</f>
      </c>
      <c r="S782" s="95" t="str">
        <f>R782-Q782</f>
      </c>
      <c r="T782" s="96" t="str">
        <f>1/(1+'Calculation_Assumptions'!$B$8)^(B782-'Calculation_Assumptions'!$B$2)</f>
      </c>
      <c r="U782" s="97" t="str">
        <f>Q782*T782</f>
      </c>
      <c r="V782" s="98" t="str">
        <f>R782*T782</f>
      </c>
      <c r="W782" s="99" t="str">
        <f>S782*T782</f>
      </c>
      <c r="X782" t="n">
        <v>0</v>
      </c>
      <c r="Y782" s="100" t="n">
        <v>2017</v>
      </c>
      <c r="Z782" t="s">
        <v>389</v>
      </c>
      <c r="AA782" s="101" t="str">
        <f>IF(G782="shared-count-once",COUNTIFS($A$2:$A$807,A782,$B$2:$B$807,B782,$D$2:$D$807,D782),1)</f>
      </c>
    </row>
    <row r="783">
      <c r="A783" t="s">
        <v>76</v>
      </c>
      <c r="B783" s="79" t="n">
        <v>2026</v>
      </c>
      <c r="C783" t="s">
        <v>274</v>
      </c>
      <c r="D783" s="80" t="s">
        <v>413</v>
      </c>
      <c r="E783" s="81" t="s">
        <v>414</v>
      </c>
      <c r="F783" s="82" t="s">
        <v>277</v>
      </c>
      <c r="G783" s="83" t="s">
        <v>395</v>
      </c>
      <c r="H783" s="84" t="s">
        <v>386</v>
      </c>
      <c r="I783" s="85" t="n">
        <v>1</v>
      </c>
      <c r="J783" s="86" t="n">
        <v>1</v>
      </c>
      <c r="K783" s="87" t="n">
        <v>0.0077</v>
      </c>
      <c r="L783" s="88" t="n">
        <v>290123496.103219</v>
      </c>
      <c r="M783" s="89" t="n">
        <v>290123496.103219</v>
      </c>
      <c r="N783" s="90" t="str">
        <f>MIN(MAX((B783-'Calculation_Assumptions'!$B$5+1)/'Calculation_Assumptions'!$B$7,0),1)</f>
      </c>
      <c r="O783" s="91" t="str">
        <f>L783*I783</f>
      </c>
      <c r="P783" s="92" t="str">
        <f>M783*I783</f>
      </c>
      <c r="Q783" s="93" t="str">
        <f>P783*'Calculation_Assumptions'!$B$14*J783*K783</f>
      </c>
      <c r="R783" s="94" t="str">
        <f>O783*N783*J783*K783</f>
      </c>
      <c r="S783" s="95" t="str">
        <f>R783-Q783</f>
      </c>
      <c r="T783" s="96" t="str">
        <f>1/(1+'Calculation_Assumptions'!$B$8)^(B783-'Calculation_Assumptions'!$B$2)</f>
      </c>
      <c r="U783" s="97" t="str">
        <f>Q783*T783</f>
      </c>
      <c r="V783" s="98" t="str">
        <f>R783*T783</f>
      </c>
      <c r="W783" s="99" t="str">
        <f>S783*T783</f>
      </c>
      <c r="X783" t="n">
        <v>0</v>
      </c>
      <c r="Y783" s="100" t="n">
        <v>2017</v>
      </c>
      <c r="Z783" t="s">
        <v>389</v>
      </c>
      <c r="AA783" s="101" t="str">
        <f>IF(G783="shared-count-once",COUNTIFS($A$2:$A$807,A783,$B$2:$B$807,B783,$D$2:$D$807,D783),1)</f>
      </c>
    </row>
    <row r="784">
      <c r="A784" t="s">
        <v>76</v>
      </c>
      <c r="B784" s="79" t="n">
        <v>2027</v>
      </c>
      <c r="C784" t="s">
        <v>274</v>
      </c>
      <c r="D784" s="80" t="s">
        <v>413</v>
      </c>
      <c r="E784" s="81" t="s">
        <v>414</v>
      </c>
      <c r="F784" s="82" t="s">
        <v>277</v>
      </c>
      <c r="G784" s="83" t="s">
        <v>395</v>
      </c>
      <c r="H784" s="84" t="s">
        <v>386</v>
      </c>
      <c r="I784" s="85" t="n">
        <v>1</v>
      </c>
      <c r="J784" s="86" t="n">
        <v>1</v>
      </c>
      <c r="K784" s="87" t="n">
        <v>0.0077</v>
      </c>
      <c r="L784" s="88" t="n">
        <v>292252895.096956</v>
      </c>
      <c r="M784" s="89" t="n">
        <v>292252895.096956</v>
      </c>
      <c r="N784" s="90" t="str">
        <f>MIN(MAX((B784-'Calculation_Assumptions'!$B$5+1)/'Calculation_Assumptions'!$B$7,0),1)</f>
      </c>
      <c r="O784" s="91" t="str">
        <f>L784*I784</f>
      </c>
      <c r="P784" s="92" t="str">
        <f>M784*I784</f>
      </c>
      <c r="Q784" s="93" t="str">
        <f>P784*'Calculation_Assumptions'!$B$14*J784*K784</f>
      </c>
      <c r="R784" s="94" t="str">
        <f>O784*N784*J784*K784</f>
      </c>
      <c r="S784" s="95" t="str">
        <f>R784-Q784</f>
      </c>
      <c r="T784" s="96" t="str">
        <f>1/(1+'Calculation_Assumptions'!$B$8)^(B784-'Calculation_Assumptions'!$B$2)</f>
      </c>
      <c r="U784" s="97" t="str">
        <f>Q784*T784</f>
      </c>
      <c r="V784" s="98" t="str">
        <f>R784*T784</f>
      </c>
      <c r="W784" s="99" t="str">
        <f>S784*T784</f>
      </c>
      <c r="X784" t="n">
        <v>0</v>
      </c>
      <c r="Y784" s="100" t="n">
        <v>2017</v>
      </c>
      <c r="Z784" t="s">
        <v>389</v>
      </c>
      <c r="AA784" s="101" t="str">
        <f>IF(G784="shared-count-once",COUNTIFS($A$2:$A$807,A784,$B$2:$B$807,B784,$D$2:$D$807,D784),1)</f>
      </c>
    </row>
    <row r="785">
      <c r="A785" t="s">
        <v>76</v>
      </c>
      <c r="B785" s="79" t="n">
        <v>2028</v>
      </c>
      <c r="C785" t="s">
        <v>274</v>
      </c>
      <c r="D785" s="80" t="s">
        <v>413</v>
      </c>
      <c r="E785" s="81" t="s">
        <v>414</v>
      </c>
      <c r="F785" s="82" t="s">
        <v>277</v>
      </c>
      <c r="G785" s="83" t="s">
        <v>395</v>
      </c>
      <c r="H785" s="84" t="s">
        <v>386</v>
      </c>
      <c r="I785" s="85" t="n">
        <v>1</v>
      </c>
      <c r="J785" s="86" t="n">
        <v>1</v>
      </c>
      <c r="K785" s="87" t="n">
        <v>0.0077</v>
      </c>
      <c r="L785" s="88" t="n">
        <v>294317373.248038</v>
      </c>
      <c r="M785" s="89" t="n">
        <v>294314895.305465</v>
      </c>
      <c r="N785" s="90" t="str">
        <f>MIN(MAX((B785-'Calculation_Assumptions'!$B$5+1)/'Calculation_Assumptions'!$B$7,0),1)</f>
      </c>
      <c r="O785" s="91" t="str">
        <f>L785*I785</f>
      </c>
      <c r="P785" s="92" t="str">
        <f>M785*I785</f>
      </c>
      <c r="Q785" s="93" t="str">
        <f>P785*'Calculation_Assumptions'!$B$14*J785*K785</f>
      </c>
      <c r="R785" s="94" t="str">
        <f>O785*N785*J785*K785</f>
      </c>
      <c r="S785" s="95" t="str">
        <f>R785-Q785</f>
      </c>
      <c r="T785" s="96" t="str">
        <f>1/(1+'Calculation_Assumptions'!$B$8)^(B785-'Calculation_Assumptions'!$B$2)</f>
      </c>
      <c r="U785" s="97" t="str">
        <f>Q785*T785</f>
      </c>
      <c r="V785" s="98" t="str">
        <f>R785*T785</f>
      </c>
      <c r="W785" s="99" t="str">
        <f>S785*T785</f>
      </c>
      <c r="X785" t="n">
        <v>0</v>
      </c>
      <c r="Y785" s="100" t="n">
        <v>2017</v>
      </c>
      <c r="Z785" t="s">
        <v>389</v>
      </c>
      <c r="AA785" s="101" t="str">
        <f>IF(G785="shared-count-once",COUNTIFS($A$2:$A$807,A785,$B$2:$B$807,B785,$D$2:$D$807,D785),1)</f>
      </c>
    </row>
    <row r="786">
      <c r="A786" t="s">
        <v>76</v>
      </c>
      <c r="B786" s="79" t="n">
        <v>2029</v>
      </c>
      <c r="C786" t="s">
        <v>274</v>
      </c>
      <c r="D786" s="80" t="s">
        <v>413</v>
      </c>
      <c r="E786" s="81" t="s">
        <v>414</v>
      </c>
      <c r="F786" s="82" t="s">
        <v>277</v>
      </c>
      <c r="G786" s="83" t="s">
        <v>395</v>
      </c>
      <c r="H786" s="84" t="s">
        <v>386</v>
      </c>
      <c r="I786" s="85" t="n">
        <v>1</v>
      </c>
      <c r="J786" s="86" t="n">
        <v>1</v>
      </c>
      <c r="K786" s="87" t="n">
        <v>0.0077</v>
      </c>
      <c r="L786" s="88" t="n">
        <v>296300392.819394</v>
      </c>
      <c r="M786" s="89" t="n">
        <v>296341062.542853</v>
      </c>
      <c r="N786" s="90" t="str">
        <f>MIN(MAX((B786-'Calculation_Assumptions'!$B$5+1)/'Calculation_Assumptions'!$B$7,0),1)</f>
      </c>
      <c r="O786" s="91" t="str">
        <f>L786*I786</f>
      </c>
      <c r="P786" s="92" t="str">
        <f>M786*I786</f>
      </c>
      <c r="Q786" s="93" t="str">
        <f>P786*'Calculation_Assumptions'!$B$14*J786*K786</f>
      </c>
      <c r="R786" s="94" t="str">
        <f>O786*N786*J786*K786</f>
      </c>
      <c r="S786" s="95" t="str">
        <f>R786-Q786</f>
      </c>
      <c r="T786" s="96" t="str">
        <f>1/(1+'Calculation_Assumptions'!$B$8)^(B786-'Calculation_Assumptions'!$B$2)</f>
      </c>
      <c r="U786" s="97" t="str">
        <f>Q786*T786</f>
      </c>
      <c r="V786" s="98" t="str">
        <f>R786*T786</f>
      </c>
      <c r="W786" s="99" t="str">
        <f>S786*T786</f>
      </c>
      <c r="X786" t="n">
        <v>0</v>
      </c>
      <c r="Y786" s="100" t="n">
        <v>2017</v>
      </c>
      <c r="Z786" t="s">
        <v>389</v>
      </c>
      <c r="AA786" s="101" t="str">
        <f>IF(G786="shared-count-once",COUNTIFS($A$2:$A$807,A786,$B$2:$B$807,B786,$D$2:$D$807,D786),1)</f>
      </c>
    </row>
    <row r="787">
      <c r="A787" t="s">
        <v>76</v>
      </c>
      <c r="B787" s="79" t="n">
        <v>2030</v>
      </c>
      <c r="C787" t="s">
        <v>274</v>
      </c>
      <c r="D787" s="80" t="s">
        <v>413</v>
      </c>
      <c r="E787" s="81" t="s">
        <v>414</v>
      </c>
      <c r="F787" s="82" t="s">
        <v>277</v>
      </c>
      <c r="G787" s="83" t="s">
        <v>395</v>
      </c>
      <c r="H787" s="84" t="s">
        <v>386</v>
      </c>
      <c r="I787" s="85" t="n">
        <v>1</v>
      </c>
      <c r="J787" s="86" t="n">
        <v>1</v>
      </c>
      <c r="K787" s="87" t="n">
        <v>0.0077</v>
      </c>
      <c r="L787" s="88" t="n">
        <v>298303185.826537</v>
      </c>
      <c r="M787" s="89" t="n">
        <v>298280286.057263</v>
      </c>
      <c r="N787" s="90" t="str">
        <f>MIN(MAX((B787-'Calculation_Assumptions'!$B$5+1)/'Calculation_Assumptions'!$B$7,0),1)</f>
      </c>
      <c r="O787" s="91" t="str">
        <f>L787*I787</f>
      </c>
      <c r="P787" s="92" t="str">
        <f>M787*I787</f>
      </c>
      <c r="Q787" s="93" t="str">
        <f>P787*'Calculation_Assumptions'!$B$14*J787*K787</f>
      </c>
      <c r="R787" s="94" t="str">
        <f>O787*N787*J787*K787</f>
      </c>
      <c r="S787" s="95" t="str">
        <f>R787-Q787</f>
      </c>
      <c r="T787" s="96" t="str">
        <f>1/(1+'Calculation_Assumptions'!$B$8)^(B787-'Calculation_Assumptions'!$B$2)</f>
      </c>
      <c r="U787" s="97" t="str">
        <f>Q787*T787</f>
      </c>
      <c r="V787" s="98" t="str">
        <f>R787*T787</f>
      </c>
      <c r="W787" s="99" t="str">
        <f>S787*T787</f>
      </c>
      <c r="X787" t="n">
        <v>0</v>
      </c>
      <c r="Y787" s="100" t="n">
        <v>2017</v>
      </c>
      <c r="Z787" t="s">
        <v>389</v>
      </c>
      <c r="AA787" s="101" t="str">
        <f>IF(G787="shared-count-once",COUNTIFS($A$2:$A$807,A787,$B$2:$B$807,B787,$D$2:$D$807,D787),1)</f>
      </c>
    </row>
    <row r="788">
      <c r="A788" t="s">
        <v>76</v>
      </c>
      <c r="B788" s="79" t="n">
        <v>2031</v>
      </c>
      <c r="C788" t="s">
        <v>274</v>
      </c>
      <c r="D788" s="80" t="s">
        <v>413</v>
      </c>
      <c r="E788" s="81" t="s">
        <v>414</v>
      </c>
      <c r="F788" s="82" t="s">
        <v>277</v>
      </c>
      <c r="G788" s="83" t="s">
        <v>395</v>
      </c>
      <c r="H788" s="84" t="s">
        <v>386</v>
      </c>
      <c r="I788" s="85" t="n">
        <v>1</v>
      </c>
      <c r="J788" s="86" t="n">
        <v>1</v>
      </c>
      <c r="K788" s="87" t="n">
        <v>0.0077</v>
      </c>
      <c r="L788" s="88" t="n">
        <v>300196273.385416</v>
      </c>
      <c r="M788" s="89" t="n">
        <v>300152603.254782</v>
      </c>
      <c r="N788" s="90" t="str">
        <f>MIN(MAX((B788-'Calculation_Assumptions'!$B$5+1)/'Calculation_Assumptions'!$B$7,0),1)</f>
      </c>
      <c r="O788" s="91" t="str">
        <f>L788*I788</f>
      </c>
      <c r="P788" s="92" t="str">
        <f>M788*I788</f>
      </c>
      <c r="Q788" s="93" t="str">
        <f>P788*'Calculation_Assumptions'!$B$14*J788*K788</f>
      </c>
      <c r="R788" s="94" t="str">
        <f>O788*N788*J788*K788</f>
      </c>
      <c r="S788" s="95" t="str">
        <f>R788-Q788</f>
      </c>
      <c r="T788" s="96" t="str">
        <f>1/(1+'Calculation_Assumptions'!$B$8)^(B788-'Calculation_Assumptions'!$B$2)</f>
      </c>
      <c r="U788" s="97" t="str">
        <f>Q788*T788</f>
      </c>
      <c r="V788" s="98" t="str">
        <f>R788*T788</f>
      </c>
      <c r="W788" s="99" t="str">
        <f>S788*T788</f>
      </c>
      <c r="X788" t="n">
        <v>0</v>
      </c>
      <c r="Y788" s="100" t="n">
        <v>2017</v>
      </c>
      <c r="Z788" t="s">
        <v>389</v>
      </c>
      <c r="AA788" s="101" t="str">
        <f>IF(G788="shared-count-once",COUNTIFS($A$2:$A$807,A788,$B$2:$B$807,B788,$D$2:$D$807,D788),1)</f>
      </c>
    </row>
    <row r="789">
      <c r="A789" t="s">
        <v>76</v>
      </c>
      <c r="B789" s="79" t="n">
        <v>2032</v>
      </c>
      <c r="C789" t="s">
        <v>274</v>
      </c>
      <c r="D789" s="80" t="s">
        <v>413</v>
      </c>
      <c r="E789" s="81" t="s">
        <v>414</v>
      </c>
      <c r="F789" s="82" t="s">
        <v>277</v>
      </c>
      <c r="G789" s="83" t="s">
        <v>395</v>
      </c>
      <c r="H789" s="84" t="s">
        <v>386</v>
      </c>
      <c r="I789" s="85" t="n">
        <v>1</v>
      </c>
      <c r="J789" s="86" t="n">
        <v>1</v>
      </c>
      <c r="K789" s="87" t="n">
        <v>0.0077</v>
      </c>
      <c r="L789" s="88" t="n">
        <v>301958259.790884</v>
      </c>
      <c r="M789" s="89" t="n">
        <v>301959399.633888</v>
      </c>
      <c r="N789" s="90" t="str">
        <f>MIN(MAX((B789-'Calculation_Assumptions'!$B$5+1)/'Calculation_Assumptions'!$B$7,0),1)</f>
      </c>
      <c r="O789" s="91" t="str">
        <f>L789*I789</f>
      </c>
      <c r="P789" s="92" t="str">
        <f>M789*I789</f>
      </c>
      <c r="Q789" s="93" t="str">
        <f>P789*'Calculation_Assumptions'!$B$14*J789*K789</f>
      </c>
      <c r="R789" s="94" t="str">
        <f>O789*N789*J789*K789</f>
      </c>
      <c r="S789" s="95" t="str">
        <f>R789-Q789</f>
      </c>
      <c r="T789" s="96" t="str">
        <f>1/(1+'Calculation_Assumptions'!$B$8)^(B789-'Calculation_Assumptions'!$B$2)</f>
      </c>
      <c r="U789" s="97" t="str">
        <f>Q789*T789</f>
      </c>
      <c r="V789" s="98" t="str">
        <f>R789*T789</f>
      </c>
      <c r="W789" s="99" t="str">
        <f>S789*T789</f>
      </c>
      <c r="X789" t="n">
        <v>0</v>
      </c>
      <c r="Y789" s="100" t="n">
        <v>2017</v>
      </c>
      <c r="Z789" t="s">
        <v>389</v>
      </c>
      <c r="AA789" s="101" t="str">
        <f>IF(G789="shared-count-once",COUNTIFS($A$2:$A$807,A789,$B$2:$B$807,B789,$D$2:$D$807,D789),1)</f>
      </c>
    </row>
    <row r="790">
      <c r="A790" t="s">
        <v>76</v>
      </c>
      <c r="B790" s="79" t="n">
        <v>2033</v>
      </c>
      <c r="C790" t="s">
        <v>274</v>
      </c>
      <c r="D790" s="80" t="s">
        <v>413</v>
      </c>
      <c r="E790" s="81" t="s">
        <v>414</v>
      </c>
      <c r="F790" s="82" t="s">
        <v>277</v>
      </c>
      <c r="G790" s="83" t="s">
        <v>395</v>
      </c>
      <c r="H790" s="84" t="s">
        <v>386</v>
      </c>
      <c r="I790" s="85" t="n">
        <v>1</v>
      </c>
      <c r="J790" s="86" t="n">
        <v>1</v>
      </c>
      <c r="K790" s="87" t="n">
        <v>0.0077</v>
      </c>
      <c r="L790" s="88" t="n">
        <v>303726787.443174</v>
      </c>
      <c r="M790" s="89" t="n">
        <v>303701035.202051</v>
      </c>
      <c r="N790" s="90" t="str">
        <f>MIN(MAX((B790-'Calculation_Assumptions'!$B$5+1)/'Calculation_Assumptions'!$B$7,0),1)</f>
      </c>
      <c r="O790" s="91" t="str">
        <f>L790*I790</f>
      </c>
      <c r="P790" s="92" t="str">
        <f>M790*I790</f>
      </c>
      <c r="Q790" s="93" t="str">
        <f>P790*'Calculation_Assumptions'!$B$14*J790*K790</f>
      </c>
      <c r="R790" s="94" t="str">
        <f>O790*N790*J790*K790</f>
      </c>
      <c r="S790" s="95" t="str">
        <f>R790-Q790</f>
      </c>
      <c r="T790" s="96" t="str">
        <f>1/(1+'Calculation_Assumptions'!$B$8)^(B790-'Calculation_Assumptions'!$B$2)</f>
      </c>
      <c r="U790" s="97" t="str">
        <f>Q790*T790</f>
      </c>
      <c r="V790" s="98" t="str">
        <f>R790*T790</f>
      </c>
      <c r="W790" s="99" t="str">
        <f>S790*T790</f>
      </c>
      <c r="X790" t="n">
        <v>0</v>
      </c>
      <c r="Y790" s="100" t="n">
        <v>2017</v>
      </c>
      <c r="Z790" t="s">
        <v>389</v>
      </c>
      <c r="AA790" s="101" t="str">
        <f>IF(G790="shared-count-once",COUNTIFS($A$2:$A$807,A790,$B$2:$B$807,B790,$D$2:$D$807,D790),1)</f>
      </c>
    </row>
    <row r="791">
      <c r="A791" t="s">
        <v>76</v>
      </c>
      <c r="B791" s="79" t="n">
        <v>2034</v>
      </c>
      <c r="C791" t="s">
        <v>274</v>
      </c>
      <c r="D791" s="80" t="s">
        <v>413</v>
      </c>
      <c r="E791" s="81" t="s">
        <v>414</v>
      </c>
      <c r="F791" s="82" t="s">
        <v>277</v>
      </c>
      <c r="G791" s="83" t="s">
        <v>395</v>
      </c>
      <c r="H791" s="84" t="s">
        <v>386</v>
      </c>
      <c r="I791" s="85" t="n">
        <v>1</v>
      </c>
      <c r="J791" s="86" t="n">
        <v>1</v>
      </c>
      <c r="K791" s="87" t="n">
        <v>0.0077</v>
      </c>
      <c r="L791" s="88" t="n">
        <v>305436022.714483</v>
      </c>
      <c r="M791" s="89" t="n">
        <v>305377998.093319</v>
      </c>
      <c r="N791" s="90" t="str">
        <f>MIN(MAX((B791-'Calculation_Assumptions'!$B$5+1)/'Calculation_Assumptions'!$B$7,0),1)</f>
      </c>
      <c r="O791" s="91" t="str">
        <f>L791*I791</f>
      </c>
      <c r="P791" s="92" t="str">
        <f>M791*I791</f>
      </c>
      <c r="Q791" s="93" t="str">
        <f>P791*'Calculation_Assumptions'!$B$14*J791*K791</f>
      </c>
      <c r="R791" s="94" t="str">
        <f>O791*N791*J791*K791</f>
      </c>
      <c r="S791" s="95" t="str">
        <f>R791-Q791</f>
      </c>
      <c r="T791" s="96" t="str">
        <f>1/(1+'Calculation_Assumptions'!$B$8)^(B791-'Calculation_Assumptions'!$B$2)</f>
      </c>
      <c r="U791" s="97" t="str">
        <f>Q791*T791</f>
      </c>
      <c r="V791" s="98" t="str">
        <f>R791*T791</f>
      </c>
      <c r="W791" s="99" t="str">
        <f>S791*T791</f>
      </c>
      <c r="X791" t="n">
        <v>0</v>
      </c>
      <c r="Y791" s="100" t="n">
        <v>2017</v>
      </c>
      <c r="Z791" t="s">
        <v>389</v>
      </c>
      <c r="AA791" s="101" t="str">
        <f>IF(G791="shared-count-once",COUNTIFS($A$2:$A$807,A791,$B$2:$B$807,B791,$D$2:$D$807,D791),1)</f>
      </c>
    </row>
    <row r="792">
      <c r="A792" t="s">
        <v>76</v>
      </c>
      <c r="B792" s="79" t="n">
        <v>2035</v>
      </c>
      <c r="C792" t="s">
        <v>274</v>
      </c>
      <c r="D792" s="80" t="s">
        <v>413</v>
      </c>
      <c r="E792" s="81" t="s">
        <v>414</v>
      </c>
      <c r="F792" s="82" t="s">
        <v>277</v>
      </c>
      <c r="G792" s="83" t="s">
        <v>395</v>
      </c>
      <c r="H792" s="84" t="s">
        <v>386</v>
      </c>
      <c r="I792" s="85" t="n">
        <v>1</v>
      </c>
      <c r="J792" s="86" t="n">
        <v>1</v>
      </c>
      <c r="K792" s="87" t="n">
        <v>0.0077</v>
      </c>
      <c r="L792" s="88" t="n">
        <v>307084503.869544</v>
      </c>
      <c r="M792" s="89" t="n">
        <v>306989258.29407</v>
      </c>
      <c r="N792" s="90" t="str">
        <f>MIN(MAX((B792-'Calculation_Assumptions'!$B$5+1)/'Calculation_Assumptions'!$B$7,0),1)</f>
      </c>
      <c r="O792" s="91" t="str">
        <f>L792*I792</f>
      </c>
      <c r="P792" s="92" t="str">
        <f>M792*I792</f>
      </c>
      <c r="Q792" s="93" t="str">
        <f>P792*'Calculation_Assumptions'!$B$14*J792*K792</f>
      </c>
      <c r="R792" s="94" t="str">
        <f>O792*N792*J792*K792</f>
      </c>
      <c r="S792" s="95" t="str">
        <f>R792-Q792</f>
      </c>
      <c r="T792" s="96" t="str">
        <f>1/(1+'Calculation_Assumptions'!$B$8)^(B792-'Calculation_Assumptions'!$B$2)</f>
      </c>
      <c r="U792" s="97" t="str">
        <f>Q792*T792</f>
      </c>
      <c r="V792" s="98" t="str">
        <f>R792*T792</f>
      </c>
      <c r="W792" s="99" t="str">
        <f>S792*T792</f>
      </c>
      <c r="X792" t="n">
        <v>0</v>
      </c>
      <c r="Y792" s="100" t="n">
        <v>2017</v>
      </c>
      <c r="Z792" t="s">
        <v>389</v>
      </c>
      <c r="AA792" s="101" t="str">
        <f>IF(G792="shared-count-once",COUNTIFS($A$2:$A$807,A792,$B$2:$B$807,B792,$D$2:$D$807,D792),1)</f>
      </c>
    </row>
    <row r="793">
      <c r="A793" t="s">
        <v>76</v>
      </c>
      <c r="B793" s="79" t="n">
        <v>2036</v>
      </c>
      <c r="C793" t="s">
        <v>274</v>
      </c>
      <c r="D793" s="80" t="s">
        <v>413</v>
      </c>
      <c r="E793" s="81" t="s">
        <v>414</v>
      </c>
      <c r="F793" s="82" t="s">
        <v>277</v>
      </c>
      <c r="G793" s="83" t="s">
        <v>395</v>
      </c>
      <c r="H793" s="84" t="s">
        <v>386</v>
      </c>
      <c r="I793" s="85" t="n">
        <v>1</v>
      </c>
      <c r="J793" s="86" t="n">
        <v>1</v>
      </c>
      <c r="K793" s="87" t="n">
        <v>0.0077</v>
      </c>
      <c r="L793" s="88" t="n">
        <v>308674578.680747</v>
      </c>
      <c r="M793" s="89" t="n">
        <v>308537399.672094</v>
      </c>
      <c r="N793" s="90" t="str">
        <f>MIN(MAX((B793-'Calculation_Assumptions'!$B$5+1)/'Calculation_Assumptions'!$B$7,0),1)</f>
      </c>
      <c r="O793" s="91" t="str">
        <f>L793*I793</f>
      </c>
      <c r="P793" s="92" t="str">
        <f>M793*I793</f>
      </c>
      <c r="Q793" s="93" t="str">
        <f>P793*'Calculation_Assumptions'!$B$14*J793*K793</f>
      </c>
      <c r="R793" s="94" t="str">
        <f>O793*N793*J793*K793</f>
      </c>
      <c r="S793" s="95" t="str">
        <f>R793-Q793</f>
      </c>
      <c r="T793" s="96" t="str">
        <f>1/(1+'Calculation_Assumptions'!$B$8)^(B793-'Calculation_Assumptions'!$B$2)</f>
      </c>
      <c r="U793" s="97" t="str">
        <f>Q793*T793</f>
      </c>
      <c r="V793" s="98" t="str">
        <f>R793*T793</f>
      </c>
      <c r="W793" s="99" t="str">
        <f>S793*T793</f>
      </c>
      <c r="X793" t="n">
        <v>0</v>
      </c>
      <c r="Y793" s="100" t="n">
        <v>2017</v>
      </c>
      <c r="Z793" t="s">
        <v>389</v>
      </c>
      <c r="AA793" s="101" t="str">
        <f>IF(G793="shared-count-once",COUNTIFS($A$2:$A$807,A793,$B$2:$B$807,B793,$D$2:$D$807,D793),1)</f>
      </c>
    </row>
    <row r="794">
      <c r="A794" t="s">
        <v>76</v>
      </c>
      <c r="B794" s="79" t="n">
        <v>2037</v>
      </c>
      <c r="C794" t="s">
        <v>274</v>
      </c>
      <c r="D794" s="80" t="s">
        <v>413</v>
      </c>
      <c r="E794" s="81" t="s">
        <v>414</v>
      </c>
      <c r="F794" s="82" t="s">
        <v>277</v>
      </c>
      <c r="G794" s="83" t="s">
        <v>395</v>
      </c>
      <c r="H794" s="84" t="s">
        <v>386</v>
      </c>
      <c r="I794" s="85" t="n">
        <v>1</v>
      </c>
      <c r="J794" s="86" t="n">
        <v>1</v>
      </c>
      <c r="K794" s="87" t="n">
        <v>0.0077</v>
      </c>
      <c r="L794" s="88" t="n">
        <v>310206624.908372</v>
      </c>
      <c r="M794" s="89" t="n">
        <v>310023120.393472</v>
      </c>
      <c r="N794" s="90" t="str">
        <f>MIN(MAX((B794-'Calculation_Assumptions'!$B$5+1)/'Calculation_Assumptions'!$B$7,0),1)</f>
      </c>
      <c r="O794" s="91" t="str">
        <f>L794*I794</f>
      </c>
      <c r="P794" s="92" t="str">
        <f>M794*I794</f>
      </c>
      <c r="Q794" s="93" t="str">
        <f>P794*'Calculation_Assumptions'!$B$14*J794*K794</f>
      </c>
      <c r="R794" s="94" t="str">
        <f>O794*N794*J794*K794</f>
      </c>
      <c r="S794" s="95" t="str">
        <f>R794-Q794</f>
      </c>
      <c r="T794" s="96" t="str">
        <f>1/(1+'Calculation_Assumptions'!$B$8)^(B794-'Calculation_Assumptions'!$B$2)</f>
      </c>
      <c r="U794" s="97" t="str">
        <f>Q794*T794</f>
      </c>
      <c r="V794" s="98" t="str">
        <f>R794*T794</f>
      </c>
      <c r="W794" s="99" t="str">
        <f>S794*T794</f>
      </c>
      <c r="X794" t="n">
        <v>0</v>
      </c>
      <c r="Y794" s="100" t="n">
        <v>2017</v>
      </c>
      <c r="Z794" t="s">
        <v>389</v>
      </c>
      <c r="AA794" s="101" t="str">
        <f>IF(G794="shared-count-once",COUNTIFS($A$2:$A$807,A794,$B$2:$B$807,B794,$D$2:$D$807,D794),1)</f>
      </c>
    </row>
    <row r="795">
      <c r="A795" t="s">
        <v>76</v>
      </c>
      <c r="B795" s="79" t="n">
        <v>2038</v>
      </c>
      <c r="C795" t="s">
        <v>274</v>
      </c>
      <c r="D795" s="80" t="s">
        <v>413</v>
      </c>
      <c r="E795" s="81" t="s">
        <v>414</v>
      </c>
      <c r="F795" s="82" t="s">
        <v>277</v>
      </c>
      <c r="G795" s="83" t="s">
        <v>395</v>
      </c>
      <c r="H795" s="84" t="s">
        <v>386</v>
      </c>
      <c r="I795" s="85" t="n">
        <v>1</v>
      </c>
      <c r="J795" s="86" t="n">
        <v>1</v>
      </c>
      <c r="K795" s="87" t="n">
        <v>0.0077</v>
      </c>
      <c r="L795" s="88" t="n">
        <v>311680372.519886</v>
      </c>
      <c r="M795" s="89" t="n">
        <v>311445837.134625</v>
      </c>
      <c r="N795" s="90" t="str">
        <f>MIN(MAX((B795-'Calculation_Assumptions'!$B$5+1)/'Calculation_Assumptions'!$B$7,0),1)</f>
      </c>
      <c r="O795" s="91" t="str">
        <f>L795*I795</f>
      </c>
      <c r="P795" s="92" t="str">
        <f>M795*I795</f>
      </c>
      <c r="Q795" s="93" t="str">
        <f>P795*'Calculation_Assumptions'!$B$14*J795*K795</f>
      </c>
      <c r="R795" s="94" t="str">
        <f>O795*N795*J795*K795</f>
      </c>
      <c r="S795" s="95" t="str">
        <f>R795-Q795</f>
      </c>
      <c r="T795" s="96" t="str">
        <f>1/(1+'Calculation_Assumptions'!$B$8)^(B795-'Calculation_Assumptions'!$B$2)</f>
      </c>
      <c r="U795" s="97" t="str">
        <f>Q795*T795</f>
      </c>
      <c r="V795" s="98" t="str">
        <f>R795*T795</f>
      </c>
      <c r="W795" s="99" t="str">
        <f>S795*T795</f>
      </c>
      <c r="X795" t="n">
        <v>0</v>
      </c>
      <c r="Y795" s="100" t="n">
        <v>2017</v>
      </c>
      <c r="Z795" t="s">
        <v>389</v>
      </c>
      <c r="AA795" s="101" t="str">
        <f>IF(G795="shared-count-once",COUNTIFS($A$2:$A$807,A795,$B$2:$B$807,B795,$D$2:$D$807,D795),1)</f>
      </c>
    </row>
    <row r="796">
      <c r="A796" t="s">
        <v>76</v>
      </c>
      <c r="B796" s="79" t="n">
        <v>2039</v>
      </c>
      <c r="C796" t="s">
        <v>274</v>
      </c>
      <c r="D796" s="80" t="s">
        <v>413</v>
      </c>
      <c r="E796" s="81" t="s">
        <v>414</v>
      </c>
      <c r="F796" s="82" t="s">
        <v>277</v>
      </c>
      <c r="G796" s="83" t="s">
        <v>395</v>
      </c>
      <c r="H796" s="84" t="s">
        <v>386</v>
      </c>
      <c r="I796" s="85" t="n">
        <v>1</v>
      </c>
      <c r="J796" s="86" t="n">
        <v>1</v>
      </c>
      <c r="K796" s="87" t="n">
        <v>0.0077</v>
      </c>
      <c r="L796" s="88" t="n">
        <v>313096760.631209</v>
      </c>
      <c r="M796" s="89" t="n">
        <v>312806989.715685</v>
      </c>
      <c r="N796" s="90" t="str">
        <f>MIN(MAX((B796-'Calculation_Assumptions'!$B$5+1)/'Calculation_Assumptions'!$B$7,0),1)</f>
      </c>
      <c r="O796" s="91" t="str">
        <f>L796*I796</f>
      </c>
      <c r="P796" s="92" t="str">
        <f>M796*I796</f>
      </c>
      <c r="Q796" s="93" t="str">
        <f>P796*'Calculation_Assumptions'!$B$14*J796*K796</f>
      </c>
      <c r="R796" s="94" t="str">
        <f>O796*N796*J796*K796</f>
      </c>
      <c r="S796" s="95" t="str">
        <f>R796-Q796</f>
      </c>
      <c r="T796" s="96" t="str">
        <f>1/(1+'Calculation_Assumptions'!$B$8)^(B796-'Calculation_Assumptions'!$B$2)</f>
      </c>
      <c r="U796" s="97" t="str">
        <f>Q796*T796</f>
      </c>
      <c r="V796" s="98" t="str">
        <f>R796*T796</f>
      </c>
      <c r="W796" s="99" t="str">
        <f>S796*T796</f>
      </c>
      <c r="X796" t="n">
        <v>0</v>
      </c>
      <c r="Y796" s="100" t="n">
        <v>2017</v>
      </c>
      <c r="Z796" t="s">
        <v>389</v>
      </c>
      <c r="AA796" s="101" t="str">
        <f>IF(G796="shared-count-once",COUNTIFS($A$2:$A$807,A796,$B$2:$B$807,B796,$D$2:$D$807,D796),1)</f>
      </c>
    </row>
    <row r="797">
      <c r="A797" t="s">
        <v>76</v>
      </c>
      <c r="B797" s="79" t="n">
        <v>2040</v>
      </c>
      <c r="C797" t="s">
        <v>274</v>
      </c>
      <c r="D797" s="80" t="s">
        <v>413</v>
      </c>
      <c r="E797" s="81" t="s">
        <v>414</v>
      </c>
      <c r="F797" s="82" t="s">
        <v>277</v>
      </c>
      <c r="G797" s="83" t="s">
        <v>395</v>
      </c>
      <c r="H797" s="84" t="s">
        <v>386</v>
      </c>
      <c r="I797" s="85" t="n">
        <v>1</v>
      </c>
      <c r="J797" s="86" t="n">
        <v>1</v>
      </c>
      <c r="K797" s="87" t="n">
        <v>0.0077</v>
      </c>
      <c r="L797" s="88" t="n">
        <v>314457822.69727</v>
      </c>
      <c r="M797" s="89" t="n">
        <v>314109251.582649</v>
      </c>
      <c r="N797" s="90" t="str">
        <f>MIN(MAX((B797-'Calculation_Assumptions'!$B$5+1)/'Calculation_Assumptions'!$B$7,0),1)</f>
      </c>
      <c r="O797" s="91" t="str">
        <f>L797*I797</f>
      </c>
      <c r="P797" s="92" t="str">
        <f>M797*I797</f>
      </c>
      <c r="Q797" s="93" t="str">
        <f>P797*'Calculation_Assumptions'!$B$14*J797*K797</f>
      </c>
      <c r="R797" s="94" t="str">
        <f>O797*N797*J797*K797</f>
      </c>
      <c r="S797" s="95" t="str">
        <f>R797-Q797</f>
      </c>
      <c r="T797" s="96" t="str">
        <f>1/(1+'Calculation_Assumptions'!$B$8)^(B797-'Calculation_Assumptions'!$B$2)</f>
      </c>
      <c r="U797" s="97" t="str">
        <f>Q797*T797</f>
      </c>
      <c r="V797" s="98" t="str">
        <f>R797*T797</f>
      </c>
      <c r="W797" s="99" t="str">
        <f>S797*T797</f>
      </c>
      <c r="X797" t="n">
        <v>0</v>
      </c>
      <c r="Y797" s="100" t="n">
        <v>2017</v>
      </c>
      <c r="Z797" t="s">
        <v>389</v>
      </c>
      <c r="AA797" s="101" t="str">
        <f>IF(G797="shared-count-once",COUNTIFS($A$2:$A$807,A797,$B$2:$B$807,B797,$D$2:$D$807,D797),1)</f>
      </c>
    </row>
    <row r="798">
      <c r="A798" t="s">
        <v>76</v>
      </c>
      <c r="B798" s="79" t="n">
        <v>2041</v>
      </c>
      <c r="C798" t="s">
        <v>274</v>
      </c>
      <c r="D798" s="80" t="s">
        <v>413</v>
      </c>
      <c r="E798" s="81" t="s">
        <v>414</v>
      </c>
      <c r="F798" s="82" t="s">
        <v>277</v>
      </c>
      <c r="G798" s="83" t="s">
        <v>395</v>
      </c>
      <c r="H798" s="84" t="s">
        <v>386</v>
      </c>
      <c r="I798" s="85" t="n">
        <v>1</v>
      </c>
      <c r="J798" s="86" t="n">
        <v>1</v>
      </c>
      <c r="K798" s="87" t="n">
        <v>0.0077</v>
      </c>
      <c r="L798" s="88" t="n">
        <v>315762299.651562</v>
      </c>
      <c r="M798" s="89" t="n">
        <v>315352079.812423</v>
      </c>
      <c r="N798" s="90" t="str">
        <f>MIN(MAX((B798-'Calculation_Assumptions'!$B$5+1)/'Calculation_Assumptions'!$B$7,0),1)</f>
      </c>
      <c r="O798" s="91" t="str">
        <f>L798*I798</f>
      </c>
      <c r="P798" s="92" t="str">
        <f>M798*I798</f>
      </c>
      <c r="Q798" s="93" t="str">
        <f>P798*'Calculation_Assumptions'!$B$14*J798*K798</f>
      </c>
      <c r="R798" s="94" t="str">
        <f>O798*N798*J798*K798</f>
      </c>
      <c r="S798" s="95" t="str">
        <f>R798-Q798</f>
      </c>
      <c r="T798" s="96" t="str">
        <f>1/(1+'Calculation_Assumptions'!$B$8)^(B798-'Calculation_Assumptions'!$B$2)</f>
      </c>
      <c r="U798" s="97" t="str">
        <f>Q798*T798</f>
      </c>
      <c r="V798" s="98" t="str">
        <f>R798*T798</f>
      </c>
      <c r="W798" s="99" t="str">
        <f>S798*T798</f>
      </c>
      <c r="X798" t="n">
        <v>0</v>
      </c>
      <c r="Y798" s="100" t="n">
        <v>2017</v>
      </c>
      <c r="Z798" t="s">
        <v>389</v>
      </c>
      <c r="AA798" s="101" t="str">
        <f>IF(G798="shared-count-once",COUNTIFS($A$2:$A$807,A798,$B$2:$B$807,B798,$D$2:$D$807,D798),1)</f>
      </c>
    </row>
    <row r="799">
      <c r="A799" t="s">
        <v>76</v>
      </c>
      <c r="B799" s="79" t="n">
        <v>2042</v>
      </c>
      <c r="C799" t="s">
        <v>274</v>
      </c>
      <c r="D799" s="80" t="s">
        <v>413</v>
      </c>
      <c r="E799" s="81" t="s">
        <v>414</v>
      </c>
      <c r="F799" s="82" t="s">
        <v>277</v>
      </c>
      <c r="G799" s="83" t="s">
        <v>395</v>
      </c>
      <c r="H799" s="84" t="s">
        <v>386</v>
      </c>
      <c r="I799" s="85" t="n">
        <v>1</v>
      </c>
      <c r="J799" s="86" t="n">
        <v>1</v>
      </c>
      <c r="K799" s="87" t="n">
        <v>0.0077</v>
      </c>
      <c r="L799" s="88" t="n">
        <v>317010735.77488</v>
      </c>
      <c r="M799" s="89" t="n">
        <v>316395286.312016</v>
      </c>
      <c r="N799" s="90" t="str">
        <f>MIN(MAX((B799-'Calculation_Assumptions'!$B$5+1)/'Calculation_Assumptions'!$B$7,0),1)</f>
      </c>
      <c r="O799" s="91" t="str">
        <f>L799*I799</f>
      </c>
      <c r="P799" s="92" t="str">
        <f>M799*I799</f>
      </c>
      <c r="Q799" s="93" t="str">
        <f>P799*'Calculation_Assumptions'!$B$14*J799*K799</f>
      </c>
      <c r="R799" s="94" t="str">
        <f>O799*N799*J799*K799</f>
      </c>
      <c r="S799" s="95" t="str">
        <f>R799-Q799</f>
      </c>
      <c r="T799" s="96" t="str">
        <f>1/(1+'Calculation_Assumptions'!$B$8)^(B799-'Calculation_Assumptions'!$B$2)</f>
      </c>
      <c r="U799" s="97" t="str">
        <f>Q799*T799</f>
      </c>
      <c r="V799" s="98" t="str">
        <f>R799*T799</f>
      </c>
      <c r="W799" s="99" t="str">
        <f>S799*T799</f>
      </c>
      <c r="X799" t="n">
        <v>0</v>
      </c>
      <c r="Y799" s="100" t="n">
        <v>2017</v>
      </c>
      <c r="Z799" t="s">
        <v>389</v>
      </c>
      <c r="AA799" s="101" t="str">
        <f>IF(G799="shared-count-once",COUNTIFS($A$2:$A$807,A799,$B$2:$B$807,B799,$D$2:$D$807,D799),1)</f>
      </c>
    </row>
    <row r="800">
      <c r="A800" t="s">
        <v>76</v>
      </c>
      <c r="B800" s="79" t="n">
        <v>2043</v>
      </c>
      <c r="C800" t="s">
        <v>274</v>
      </c>
      <c r="D800" s="80" t="s">
        <v>413</v>
      </c>
      <c r="E800" s="81" t="s">
        <v>414</v>
      </c>
      <c r="F800" s="82" t="s">
        <v>277</v>
      </c>
      <c r="G800" s="83" t="s">
        <v>395</v>
      </c>
      <c r="H800" s="84" t="s">
        <v>386</v>
      </c>
      <c r="I800" s="85" t="n">
        <v>1</v>
      </c>
      <c r="J800" s="86" t="n">
        <v>1</v>
      </c>
      <c r="K800" s="87" t="n">
        <v>0.0077</v>
      </c>
      <c r="L800" s="88" t="n">
        <v>318158750.005661</v>
      </c>
      <c r="M800" s="89" t="n">
        <v>317619735.688289</v>
      </c>
      <c r="N800" s="90" t="str">
        <f>MIN(MAX((B800-'Calculation_Assumptions'!$B$5+1)/'Calculation_Assumptions'!$B$7,0),1)</f>
      </c>
      <c r="O800" s="91" t="str">
        <f>L800*I800</f>
      </c>
      <c r="P800" s="92" t="str">
        <f>M800*I800</f>
      </c>
      <c r="Q800" s="93" t="str">
        <f>P800*'Calculation_Assumptions'!$B$14*J800*K800</f>
      </c>
      <c r="R800" s="94" t="str">
        <f>O800*N800*J800*K800</f>
      </c>
      <c r="S800" s="95" t="str">
        <f>R800-Q800</f>
      </c>
      <c r="T800" s="96" t="str">
        <f>1/(1+'Calculation_Assumptions'!$B$8)^(B800-'Calculation_Assumptions'!$B$2)</f>
      </c>
      <c r="U800" s="97" t="str">
        <f>Q800*T800</f>
      </c>
      <c r="V800" s="98" t="str">
        <f>R800*T800</f>
      </c>
      <c r="W800" s="99" t="str">
        <f>S800*T800</f>
      </c>
      <c r="X800" t="n">
        <v>0</v>
      </c>
      <c r="Y800" s="100" t="n">
        <v>2017</v>
      </c>
      <c r="Z800" t="s">
        <v>389</v>
      </c>
      <c r="AA800" s="101" t="str">
        <f>IF(G800="shared-count-once",COUNTIFS($A$2:$A$807,A800,$B$2:$B$807,B800,$D$2:$D$807,D800),1)</f>
      </c>
    </row>
    <row r="801">
      <c r="A801" t="s">
        <v>76</v>
      </c>
      <c r="B801" s="79" t="n">
        <v>2044</v>
      </c>
      <c r="C801" t="s">
        <v>274</v>
      </c>
      <c r="D801" s="80" t="s">
        <v>413</v>
      </c>
      <c r="E801" s="81" t="s">
        <v>414</v>
      </c>
      <c r="F801" s="82" t="s">
        <v>277</v>
      </c>
      <c r="G801" s="83" t="s">
        <v>395</v>
      </c>
      <c r="H801" s="84" t="s">
        <v>386</v>
      </c>
      <c r="I801" s="85" t="n">
        <v>1</v>
      </c>
      <c r="J801" s="86" t="n">
        <v>1</v>
      </c>
      <c r="K801" s="87" t="n">
        <v>0.0077</v>
      </c>
      <c r="L801" s="88" t="n">
        <v>319305078.475065</v>
      </c>
      <c r="M801" s="89" t="n">
        <v>318697135.863652</v>
      </c>
      <c r="N801" s="90" t="str">
        <f>MIN(MAX((B801-'Calculation_Assumptions'!$B$5+1)/'Calculation_Assumptions'!$B$7,0),1)</f>
      </c>
      <c r="O801" s="91" t="str">
        <f>L801*I801</f>
      </c>
      <c r="P801" s="92" t="str">
        <f>M801*I801</f>
      </c>
      <c r="Q801" s="93" t="str">
        <f>P801*'Calculation_Assumptions'!$B$14*J801*K801</f>
      </c>
      <c r="R801" s="94" t="str">
        <f>O801*N801*J801*K801</f>
      </c>
      <c r="S801" s="95" t="str">
        <f>R801-Q801</f>
      </c>
      <c r="T801" s="96" t="str">
        <f>1/(1+'Calculation_Assumptions'!$B$8)^(B801-'Calculation_Assumptions'!$B$2)</f>
      </c>
      <c r="U801" s="97" t="str">
        <f>Q801*T801</f>
      </c>
      <c r="V801" s="98" t="str">
        <f>R801*T801</f>
      </c>
      <c r="W801" s="99" t="str">
        <f>S801*T801</f>
      </c>
      <c r="X801" t="n">
        <v>0</v>
      </c>
      <c r="Y801" s="100" t="n">
        <v>2017</v>
      </c>
      <c r="Z801" t="s">
        <v>389</v>
      </c>
      <c r="AA801" s="101" t="str">
        <f>IF(G801="shared-count-once",COUNTIFS($A$2:$A$807,A801,$B$2:$B$807,B801,$D$2:$D$807,D801),1)</f>
      </c>
    </row>
    <row r="802">
      <c r="A802" t="s">
        <v>76</v>
      </c>
      <c r="B802" s="79" t="n">
        <v>2045</v>
      </c>
      <c r="C802" t="s">
        <v>274</v>
      </c>
      <c r="D802" s="80" t="s">
        <v>413</v>
      </c>
      <c r="E802" s="81" t="s">
        <v>414</v>
      </c>
      <c r="F802" s="82" t="s">
        <v>277</v>
      </c>
      <c r="G802" s="83" t="s">
        <v>395</v>
      </c>
      <c r="H802" s="84" t="s">
        <v>386</v>
      </c>
      <c r="I802" s="85" t="n">
        <v>1</v>
      </c>
      <c r="J802" s="86" t="n">
        <v>1</v>
      </c>
      <c r="K802" s="87" t="n">
        <v>0.0077</v>
      </c>
      <c r="L802" s="88" t="n">
        <v>320395460.874147</v>
      </c>
      <c r="M802" s="89" t="n">
        <v>319717840.85179</v>
      </c>
      <c r="N802" s="90" t="str">
        <f>MIN(MAX((B802-'Calculation_Assumptions'!$B$5+1)/'Calculation_Assumptions'!$B$7,0),1)</f>
      </c>
      <c r="O802" s="91" t="str">
        <f>L802*I802</f>
      </c>
      <c r="P802" s="92" t="str">
        <f>M802*I802</f>
      </c>
      <c r="Q802" s="93" t="str">
        <f>P802*'Calculation_Assumptions'!$B$14*J802*K802</f>
      </c>
      <c r="R802" s="94" t="str">
        <f>O802*N802*J802*K802</f>
      </c>
      <c r="S802" s="95" t="str">
        <f>R802-Q802</f>
      </c>
      <c r="T802" s="96" t="str">
        <f>1/(1+'Calculation_Assumptions'!$B$8)^(B802-'Calculation_Assumptions'!$B$2)</f>
      </c>
      <c r="U802" s="97" t="str">
        <f>Q802*T802</f>
      </c>
      <c r="V802" s="98" t="str">
        <f>R802*T802</f>
      </c>
      <c r="W802" s="99" t="str">
        <f>S802*T802</f>
      </c>
      <c r="X802" t="n">
        <v>0</v>
      </c>
      <c r="Y802" s="100" t="n">
        <v>2017</v>
      </c>
      <c r="Z802" t="s">
        <v>389</v>
      </c>
      <c r="AA802" s="101" t="str">
        <f>IF(G802="shared-count-once",COUNTIFS($A$2:$A$807,A802,$B$2:$B$807,B802,$D$2:$D$807,D802),1)</f>
      </c>
    </row>
    <row r="803">
      <c r="A803" t="s">
        <v>76</v>
      </c>
      <c r="B803" s="79" t="n">
        <v>2046</v>
      </c>
      <c r="C803" t="s">
        <v>274</v>
      </c>
      <c r="D803" s="80" t="s">
        <v>413</v>
      </c>
      <c r="E803" s="81" t="s">
        <v>414</v>
      </c>
      <c r="F803" s="82" t="s">
        <v>277</v>
      </c>
      <c r="G803" s="83" t="s">
        <v>395</v>
      </c>
      <c r="H803" s="84" t="s">
        <v>386</v>
      </c>
      <c r="I803" s="85" t="n">
        <v>1</v>
      </c>
      <c r="J803" s="86" t="n">
        <v>1</v>
      </c>
      <c r="K803" s="87" t="n">
        <v>0.0077</v>
      </c>
      <c r="L803" s="88" t="n">
        <v>321430558.971018</v>
      </c>
      <c r="M803" s="89" t="n">
        <v>320683879.806276</v>
      </c>
      <c r="N803" s="90" t="str">
        <f>MIN(MAX((B803-'Calculation_Assumptions'!$B$5+1)/'Calculation_Assumptions'!$B$7,0),1)</f>
      </c>
      <c r="O803" s="91" t="str">
        <f>L803*I803</f>
      </c>
      <c r="P803" s="92" t="str">
        <f>M803*I803</f>
      </c>
      <c r="Q803" s="93" t="str">
        <f>P803*'Calculation_Assumptions'!$B$14*J803*K803</f>
      </c>
      <c r="R803" s="94" t="str">
        <f>O803*N803*J803*K803</f>
      </c>
      <c r="S803" s="95" t="str">
        <f>R803-Q803</f>
      </c>
      <c r="T803" s="96" t="str">
        <f>1/(1+'Calculation_Assumptions'!$B$8)^(B803-'Calculation_Assumptions'!$B$2)</f>
      </c>
      <c r="U803" s="97" t="str">
        <f>Q803*T803</f>
      </c>
      <c r="V803" s="98" t="str">
        <f>R803*T803</f>
      </c>
      <c r="W803" s="99" t="str">
        <f>S803*T803</f>
      </c>
      <c r="X803" t="n">
        <v>0</v>
      </c>
      <c r="Y803" s="100" t="n">
        <v>2017</v>
      </c>
      <c r="Z803" t="s">
        <v>389</v>
      </c>
      <c r="AA803" s="101" t="str">
        <f>IF(G803="shared-count-once",COUNTIFS($A$2:$A$807,A803,$B$2:$B$807,B803,$D$2:$D$807,D803),1)</f>
      </c>
    </row>
    <row r="804">
      <c r="A804" t="s">
        <v>76</v>
      </c>
      <c r="B804" s="79" t="n">
        <v>2047</v>
      </c>
      <c r="C804" t="s">
        <v>274</v>
      </c>
      <c r="D804" s="80" t="s">
        <v>413</v>
      </c>
      <c r="E804" s="81" t="s">
        <v>414</v>
      </c>
      <c r="F804" s="82" t="s">
        <v>277</v>
      </c>
      <c r="G804" s="83" t="s">
        <v>395</v>
      </c>
      <c r="H804" s="84" t="s">
        <v>386</v>
      </c>
      <c r="I804" s="85" t="n">
        <v>1</v>
      </c>
      <c r="J804" s="86" t="n">
        <v>1</v>
      </c>
      <c r="K804" s="87" t="n">
        <v>0.0077</v>
      </c>
      <c r="L804" s="88" t="n">
        <v>322411096.713551</v>
      </c>
      <c r="M804" s="89" t="n">
        <v>321595541.389526</v>
      </c>
      <c r="N804" s="90" t="str">
        <f>MIN(MAX((B804-'Calculation_Assumptions'!$B$5+1)/'Calculation_Assumptions'!$B$7,0),1)</f>
      </c>
      <c r="O804" s="91" t="str">
        <f>L804*I804</f>
      </c>
      <c r="P804" s="92" t="str">
        <f>M804*I804</f>
      </c>
      <c r="Q804" s="93" t="str">
        <f>P804*'Calculation_Assumptions'!$B$14*J804*K804</f>
      </c>
      <c r="R804" s="94" t="str">
        <f>O804*N804*J804*K804</f>
      </c>
      <c r="S804" s="95" t="str">
        <f>R804-Q804</f>
      </c>
      <c r="T804" s="96" t="str">
        <f>1/(1+'Calculation_Assumptions'!$B$8)^(B804-'Calculation_Assumptions'!$B$2)</f>
      </c>
      <c r="U804" s="97" t="str">
        <f>Q804*T804</f>
      </c>
      <c r="V804" s="98" t="str">
        <f>R804*T804</f>
      </c>
      <c r="W804" s="99" t="str">
        <f>S804*T804</f>
      </c>
      <c r="X804" t="n">
        <v>0</v>
      </c>
      <c r="Y804" s="100" t="n">
        <v>2017</v>
      </c>
      <c r="Z804" t="s">
        <v>389</v>
      </c>
      <c r="AA804" s="101" t="str">
        <f>IF(G804="shared-count-once",COUNTIFS($A$2:$A$807,A804,$B$2:$B$807,B804,$D$2:$D$807,D804),1)</f>
      </c>
    </row>
    <row r="805">
      <c r="A805" t="s">
        <v>76</v>
      </c>
      <c r="B805" s="79" t="n">
        <v>2048</v>
      </c>
      <c r="C805" t="s">
        <v>274</v>
      </c>
      <c r="D805" s="80" t="s">
        <v>413</v>
      </c>
      <c r="E805" s="81" t="s">
        <v>414</v>
      </c>
      <c r="F805" s="82" t="s">
        <v>277</v>
      </c>
      <c r="G805" s="83" t="s">
        <v>395</v>
      </c>
      <c r="H805" s="84" t="s">
        <v>386</v>
      </c>
      <c r="I805" s="85" t="n">
        <v>1</v>
      </c>
      <c r="J805" s="86" t="n">
        <v>1</v>
      </c>
      <c r="K805" s="87" t="n">
        <v>0.0077</v>
      </c>
      <c r="L805" s="88" t="n">
        <v>323337875.603966</v>
      </c>
      <c r="M805" s="89" t="n">
        <v>322453622.669464</v>
      </c>
      <c r="N805" s="90" t="str">
        <f>MIN(MAX((B805-'Calculation_Assumptions'!$B$5+1)/'Calculation_Assumptions'!$B$7,0),1)</f>
      </c>
      <c r="O805" s="91" t="str">
        <f>L805*I805</f>
      </c>
      <c r="P805" s="92" t="str">
        <f>M805*I805</f>
      </c>
      <c r="Q805" s="93" t="str">
        <f>P805*'Calculation_Assumptions'!$B$14*J805*K805</f>
      </c>
      <c r="R805" s="94" t="str">
        <f>O805*N805*J805*K805</f>
      </c>
      <c r="S805" s="95" t="str">
        <f>R805-Q805</f>
      </c>
      <c r="T805" s="96" t="str">
        <f>1/(1+'Calculation_Assumptions'!$B$8)^(B805-'Calculation_Assumptions'!$B$2)</f>
      </c>
      <c r="U805" s="97" t="str">
        <f>Q805*T805</f>
      </c>
      <c r="V805" s="98" t="str">
        <f>R805*T805</f>
      </c>
      <c r="W805" s="99" t="str">
        <f>S805*T805</f>
      </c>
      <c r="X805" t="n">
        <v>0</v>
      </c>
      <c r="Y805" s="100" t="n">
        <v>2017</v>
      </c>
      <c r="Z805" t="s">
        <v>389</v>
      </c>
      <c r="AA805" s="101" t="str">
        <f>IF(G805="shared-count-once",COUNTIFS($A$2:$A$807,A805,$B$2:$B$807,B805,$D$2:$D$807,D805),1)</f>
      </c>
    </row>
    <row r="806">
      <c r="A806" t="s">
        <v>76</v>
      </c>
      <c r="B806" s="79" t="n">
        <v>2049</v>
      </c>
      <c r="C806" t="s">
        <v>274</v>
      </c>
      <c r="D806" s="80" t="s">
        <v>413</v>
      </c>
      <c r="E806" s="81" t="s">
        <v>414</v>
      </c>
      <c r="F806" s="82" t="s">
        <v>277</v>
      </c>
      <c r="G806" s="83" t="s">
        <v>395</v>
      </c>
      <c r="H806" s="84" t="s">
        <v>386</v>
      </c>
      <c r="I806" s="85" t="n">
        <v>1</v>
      </c>
      <c r="J806" s="86" t="n">
        <v>1</v>
      </c>
      <c r="K806" s="87" t="n">
        <v>0.0077</v>
      </c>
      <c r="L806" s="88" t="n">
        <v>324211859.675226</v>
      </c>
      <c r="M806" s="89" t="n">
        <v>323259246.716719</v>
      </c>
      <c r="N806" s="90" t="str">
        <f>MIN(MAX((B806-'Calculation_Assumptions'!$B$5+1)/'Calculation_Assumptions'!$B$7,0),1)</f>
      </c>
      <c r="O806" s="91" t="str">
        <f>L806*I806</f>
      </c>
      <c r="P806" s="92" t="str">
        <f>M806*I806</f>
      </c>
      <c r="Q806" s="93" t="str">
        <f>P806*'Calculation_Assumptions'!$B$14*J806*K806</f>
      </c>
      <c r="R806" s="94" t="str">
        <f>O806*N806*J806*K806</f>
      </c>
      <c r="S806" s="95" t="str">
        <f>R806-Q806</f>
      </c>
      <c r="T806" s="96" t="str">
        <f>1/(1+'Calculation_Assumptions'!$B$8)^(B806-'Calculation_Assumptions'!$B$2)</f>
      </c>
      <c r="U806" s="97" t="str">
        <f>Q806*T806</f>
      </c>
      <c r="V806" s="98" t="str">
        <f>R806*T806</f>
      </c>
      <c r="W806" s="99" t="str">
        <f>S806*T806</f>
      </c>
      <c r="X806" t="n">
        <v>0</v>
      </c>
      <c r="Y806" s="100" t="n">
        <v>2017</v>
      </c>
      <c r="Z806" t="s">
        <v>389</v>
      </c>
      <c r="AA806" s="101" t="str">
        <f>IF(G806="shared-count-once",COUNTIFS($A$2:$A$807,A806,$B$2:$B$807,B806,$D$2:$D$807,D806),1)</f>
      </c>
    </row>
    <row r="807">
      <c r="A807" t="s">
        <v>76</v>
      </c>
      <c r="B807" s="79" t="n">
        <v>2050</v>
      </c>
      <c r="C807" t="s">
        <v>274</v>
      </c>
      <c r="D807" s="80" t="s">
        <v>413</v>
      </c>
      <c r="E807" s="81" t="s">
        <v>414</v>
      </c>
      <c r="F807" s="82" t="s">
        <v>277</v>
      </c>
      <c r="G807" s="83" t="s">
        <v>395</v>
      </c>
      <c r="H807" s="84" t="s">
        <v>386</v>
      </c>
      <c r="I807" s="85" t="n">
        <v>1</v>
      </c>
      <c r="J807" s="86" t="n">
        <v>1</v>
      </c>
      <c r="K807" s="87" t="n">
        <v>0.0077</v>
      </c>
      <c r="L807" s="88" t="n">
        <v>325034214.935484</v>
      </c>
      <c r="M807" s="89" t="n">
        <v>324013738.182479</v>
      </c>
      <c r="N807" s="90" t="str">
        <f>MIN(MAX((B807-'Calculation_Assumptions'!$B$5+1)/'Calculation_Assumptions'!$B$7,0),1)</f>
      </c>
      <c r="O807" s="91" t="str">
        <f>L807*I807</f>
      </c>
      <c r="P807" s="92" t="str">
        <f>M807*I807</f>
      </c>
      <c r="Q807" s="93" t="str">
        <f>P807*'Calculation_Assumptions'!$B$14*J807*K807</f>
      </c>
      <c r="R807" s="94" t="str">
        <f>O807*N807*J807*K807</f>
      </c>
      <c r="S807" s="95" t="str">
        <f>R807-Q807</f>
      </c>
      <c r="T807" s="96" t="str">
        <f>1/(1+'Calculation_Assumptions'!$B$8)^(B807-'Calculation_Assumptions'!$B$2)</f>
      </c>
      <c r="U807" s="97" t="str">
        <f>Q807*T807</f>
      </c>
      <c r="V807" s="98" t="str">
        <f>R807*T807</f>
      </c>
      <c r="W807" s="99" t="str">
        <f>S807*T807</f>
      </c>
      <c r="X807" t="n">
        <v>0</v>
      </c>
      <c r="Y807" s="100" t="n">
        <v>2017</v>
      </c>
      <c r="Z807" t="s">
        <v>389</v>
      </c>
      <c r="AA807" s="101" t="str">
        <f>IF(G807="shared-count-once",COUNTIFS($A$2:$A$807,A807,$B$2:$B$807,B807,$D$2:$D$807,D807),1)</f>
      </c>
    </row>
  </sheetData>
  <autoFilter ref="A1:AA1"/>
  <pageMargins left="0.7" right="0.7" top="0.75" bottom="0.75" header="0.3" footer="0.3"/>
  <pageSetup paperSize="9"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5.71" hidden="0" customWidth="1"/>
    <col min="4" max="4" width="15.71" hidden="0" customWidth="1"/>
    <col min="5" max="5" width="18.71" hidden="0" customWidth="1"/>
    <col min="6" max="6" width="23.71" hidden="0" customWidth="1"/>
    <col min="7" max="7" width="29.71" hidden="0" customWidth="1"/>
    <col min="8" max="8" width="34.71" hidden="0" customWidth="1"/>
  </cols>
  <sheetData>
    <row r="1" ht="28" customHeight="1">
      <c r="A1" s="1" t="s">
        <v>415</v>
      </c>
      <c r="B1" s="1" t="s">
        <v>28</v>
      </c>
      <c r="C1" s="1" t="s">
        <v>441</v>
      </c>
      <c r="D1" s="1" t="s">
        <v>442</v>
      </c>
      <c r="E1" s="1" t="s">
        <v>443</v>
      </c>
      <c r="F1" s="1" t="s">
        <v>444</v>
      </c>
      <c r="G1" s="1" t="s">
        <v>445</v>
      </c>
      <c r="H1" s="1" t="s">
        <v>446</v>
      </c>
    </row>
    <row r="2">
      <c r="A2" t="s">
        <v>171</v>
      </c>
      <c r="B2" s="102" t="n">
        <v>2025</v>
      </c>
      <c r="C2" s="103" t="str">
        <f>SUMIFS('Annual_Cost'!$Q$2:$Q$807,'Annual_Cost'!$A$2:$A$807,A2,'Annual_Cost'!$B$2:$B$807,B2)</f>
      </c>
      <c r="D2" s="104" t="str">
        <f>SUMIFS('Annual_Cost'!$R$2:$R$807,'Annual_Cost'!$A$2:$A$807,A2,'Annual_Cost'!$B$2:$B$807,B2)</f>
      </c>
      <c r="E2" s="105" t="str">
        <f>SUMIFS('Annual_Cost'!$S$2:$S$807,'Annual_Cost'!$A$2:$A$807,A2,'Annual_Cost'!$B$2:$B$807,B2)</f>
      </c>
      <c r="F2" s="106" t="str">
        <f>SUMIFS('Annual_Cost'!$W$2:$W$807,'Annual_Cost'!$A$2:$A$807,A2,'Annual_Cost'!$B$2:$B$807,B2)</f>
      </c>
      <c r="G2" s="107" t="str">
        <f>SUMIFS($E$2:E2,$A$2:A2,A2)</f>
      </c>
      <c r="H2" s="108" t="str">
        <f>SUMIFS($F$2:F2,$A$2:A2,A2)</f>
      </c>
    </row>
    <row r="3">
      <c r="A3" t="s">
        <v>171</v>
      </c>
      <c r="B3" s="102" t="n">
        <v>2026</v>
      </c>
      <c r="C3" s="103" t="str">
        <f>SUMIFS('Annual_Cost'!$Q$2:$Q$807,'Annual_Cost'!$A$2:$A$807,A3,'Annual_Cost'!$B$2:$B$807,B3)</f>
      </c>
      <c r="D3" s="104" t="str">
        <f>SUMIFS('Annual_Cost'!$R$2:$R$807,'Annual_Cost'!$A$2:$A$807,A3,'Annual_Cost'!$B$2:$B$807,B3)</f>
      </c>
      <c r="E3" s="105" t="str">
        <f>SUMIFS('Annual_Cost'!$S$2:$S$807,'Annual_Cost'!$A$2:$A$807,A3,'Annual_Cost'!$B$2:$B$807,B3)</f>
      </c>
      <c r="F3" s="106" t="str">
        <f>SUMIFS('Annual_Cost'!$W$2:$W$807,'Annual_Cost'!$A$2:$A$807,A3,'Annual_Cost'!$B$2:$B$807,B3)</f>
      </c>
      <c r="G3" s="107" t="str">
        <f>SUMIFS($E$2:E3,$A$2:A3,A3)</f>
      </c>
      <c r="H3" s="108" t="str">
        <f>SUMIFS($F$2:F3,$A$2:A3,A3)</f>
      </c>
    </row>
    <row r="4">
      <c r="A4" t="s">
        <v>171</v>
      </c>
      <c r="B4" s="102" t="n">
        <v>2027</v>
      </c>
      <c r="C4" s="103" t="str">
        <f>SUMIFS('Annual_Cost'!$Q$2:$Q$807,'Annual_Cost'!$A$2:$A$807,A4,'Annual_Cost'!$B$2:$B$807,B4)</f>
      </c>
      <c r="D4" s="104" t="str">
        <f>SUMIFS('Annual_Cost'!$R$2:$R$807,'Annual_Cost'!$A$2:$A$807,A4,'Annual_Cost'!$B$2:$B$807,B4)</f>
      </c>
      <c r="E4" s="105" t="str">
        <f>SUMIFS('Annual_Cost'!$S$2:$S$807,'Annual_Cost'!$A$2:$A$807,A4,'Annual_Cost'!$B$2:$B$807,B4)</f>
      </c>
      <c r="F4" s="106" t="str">
        <f>SUMIFS('Annual_Cost'!$W$2:$W$807,'Annual_Cost'!$A$2:$A$807,A4,'Annual_Cost'!$B$2:$B$807,B4)</f>
      </c>
      <c r="G4" s="107" t="str">
        <f>SUMIFS($E$2:E4,$A$2:A4,A4)</f>
      </c>
      <c r="H4" s="108" t="str">
        <f>SUMIFS($F$2:F4,$A$2:A4,A4)</f>
      </c>
    </row>
    <row r="5">
      <c r="A5" t="s">
        <v>171</v>
      </c>
      <c r="B5" s="102" t="n">
        <v>2028</v>
      </c>
      <c r="C5" s="103" t="str">
        <f>SUMIFS('Annual_Cost'!$Q$2:$Q$807,'Annual_Cost'!$A$2:$A$807,A5,'Annual_Cost'!$B$2:$B$807,B5)</f>
      </c>
      <c r="D5" s="104" t="str">
        <f>SUMIFS('Annual_Cost'!$R$2:$R$807,'Annual_Cost'!$A$2:$A$807,A5,'Annual_Cost'!$B$2:$B$807,B5)</f>
      </c>
      <c r="E5" s="105" t="str">
        <f>SUMIFS('Annual_Cost'!$S$2:$S$807,'Annual_Cost'!$A$2:$A$807,A5,'Annual_Cost'!$B$2:$B$807,B5)</f>
      </c>
      <c r="F5" s="106" t="str">
        <f>SUMIFS('Annual_Cost'!$W$2:$W$807,'Annual_Cost'!$A$2:$A$807,A5,'Annual_Cost'!$B$2:$B$807,B5)</f>
      </c>
      <c r="G5" s="107" t="str">
        <f>SUMIFS($E$2:E5,$A$2:A5,A5)</f>
      </c>
      <c r="H5" s="108" t="str">
        <f>SUMIFS($F$2:F5,$A$2:A5,A5)</f>
      </c>
    </row>
    <row r="6">
      <c r="A6" t="s">
        <v>171</v>
      </c>
      <c r="B6" s="102" t="n">
        <v>2029</v>
      </c>
      <c r="C6" s="103" t="str">
        <f>SUMIFS('Annual_Cost'!$Q$2:$Q$807,'Annual_Cost'!$A$2:$A$807,A6,'Annual_Cost'!$B$2:$B$807,B6)</f>
      </c>
      <c r="D6" s="104" t="str">
        <f>SUMIFS('Annual_Cost'!$R$2:$R$807,'Annual_Cost'!$A$2:$A$807,A6,'Annual_Cost'!$B$2:$B$807,B6)</f>
      </c>
      <c r="E6" s="105" t="str">
        <f>SUMIFS('Annual_Cost'!$S$2:$S$807,'Annual_Cost'!$A$2:$A$807,A6,'Annual_Cost'!$B$2:$B$807,B6)</f>
      </c>
      <c r="F6" s="106" t="str">
        <f>SUMIFS('Annual_Cost'!$W$2:$W$807,'Annual_Cost'!$A$2:$A$807,A6,'Annual_Cost'!$B$2:$B$807,B6)</f>
      </c>
      <c r="G6" s="107" t="str">
        <f>SUMIFS($E$2:E6,$A$2:A6,A6)</f>
      </c>
      <c r="H6" s="108" t="str">
        <f>SUMIFS($F$2:F6,$A$2:A6,A6)</f>
      </c>
    </row>
    <row r="7">
      <c r="A7" t="s">
        <v>171</v>
      </c>
      <c r="B7" s="102" t="n">
        <v>2030</v>
      </c>
      <c r="C7" s="103" t="str">
        <f>SUMIFS('Annual_Cost'!$Q$2:$Q$807,'Annual_Cost'!$A$2:$A$807,A7,'Annual_Cost'!$B$2:$B$807,B7)</f>
      </c>
      <c r="D7" s="104" t="str">
        <f>SUMIFS('Annual_Cost'!$R$2:$R$807,'Annual_Cost'!$A$2:$A$807,A7,'Annual_Cost'!$B$2:$B$807,B7)</f>
      </c>
      <c r="E7" s="105" t="str">
        <f>SUMIFS('Annual_Cost'!$S$2:$S$807,'Annual_Cost'!$A$2:$A$807,A7,'Annual_Cost'!$B$2:$B$807,B7)</f>
      </c>
      <c r="F7" s="106" t="str">
        <f>SUMIFS('Annual_Cost'!$W$2:$W$807,'Annual_Cost'!$A$2:$A$807,A7,'Annual_Cost'!$B$2:$B$807,B7)</f>
      </c>
      <c r="G7" s="107" t="str">
        <f>SUMIFS($E$2:E7,$A$2:A7,A7)</f>
      </c>
      <c r="H7" s="108" t="str">
        <f>SUMIFS($F$2:F7,$A$2:A7,A7)</f>
      </c>
    </row>
    <row r="8">
      <c r="A8" t="s">
        <v>171</v>
      </c>
      <c r="B8" s="102" t="n">
        <v>2031</v>
      </c>
      <c r="C8" s="103" t="str">
        <f>SUMIFS('Annual_Cost'!$Q$2:$Q$807,'Annual_Cost'!$A$2:$A$807,A8,'Annual_Cost'!$B$2:$B$807,B8)</f>
      </c>
      <c r="D8" s="104" t="str">
        <f>SUMIFS('Annual_Cost'!$R$2:$R$807,'Annual_Cost'!$A$2:$A$807,A8,'Annual_Cost'!$B$2:$B$807,B8)</f>
      </c>
      <c r="E8" s="105" t="str">
        <f>SUMIFS('Annual_Cost'!$S$2:$S$807,'Annual_Cost'!$A$2:$A$807,A8,'Annual_Cost'!$B$2:$B$807,B8)</f>
      </c>
      <c r="F8" s="106" t="str">
        <f>SUMIFS('Annual_Cost'!$W$2:$W$807,'Annual_Cost'!$A$2:$A$807,A8,'Annual_Cost'!$B$2:$B$807,B8)</f>
      </c>
      <c r="G8" s="107" t="str">
        <f>SUMIFS($E$2:E8,$A$2:A8,A8)</f>
      </c>
      <c r="H8" s="108" t="str">
        <f>SUMIFS($F$2:F8,$A$2:A8,A8)</f>
      </c>
    </row>
    <row r="9">
      <c r="A9" t="s">
        <v>171</v>
      </c>
      <c r="B9" s="102" t="n">
        <v>2032</v>
      </c>
      <c r="C9" s="103" t="str">
        <f>SUMIFS('Annual_Cost'!$Q$2:$Q$807,'Annual_Cost'!$A$2:$A$807,A9,'Annual_Cost'!$B$2:$B$807,B9)</f>
      </c>
      <c r="D9" s="104" t="str">
        <f>SUMIFS('Annual_Cost'!$R$2:$R$807,'Annual_Cost'!$A$2:$A$807,A9,'Annual_Cost'!$B$2:$B$807,B9)</f>
      </c>
      <c r="E9" s="105" t="str">
        <f>SUMIFS('Annual_Cost'!$S$2:$S$807,'Annual_Cost'!$A$2:$A$807,A9,'Annual_Cost'!$B$2:$B$807,B9)</f>
      </c>
      <c r="F9" s="106" t="str">
        <f>SUMIFS('Annual_Cost'!$W$2:$W$807,'Annual_Cost'!$A$2:$A$807,A9,'Annual_Cost'!$B$2:$B$807,B9)</f>
      </c>
      <c r="G9" s="107" t="str">
        <f>SUMIFS($E$2:E9,$A$2:A9,A9)</f>
      </c>
      <c r="H9" s="108" t="str">
        <f>SUMIFS($F$2:F9,$A$2:A9,A9)</f>
      </c>
    </row>
    <row r="10">
      <c r="A10" t="s">
        <v>171</v>
      </c>
      <c r="B10" s="102" t="n">
        <v>2033</v>
      </c>
      <c r="C10" s="103" t="str">
        <f>SUMIFS('Annual_Cost'!$Q$2:$Q$807,'Annual_Cost'!$A$2:$A$807,A10,'Annual_Cost'!$B$2:$B$807,B10)</f>
      </c>
      <c r="D10" s="104" t="str">
        <f>SUMIFS('Annual_Cost'!$R$2:$R$807,'Annual_Cost'!$A$2:$A$807,A10,'Annual_Cost'!$B$2:$B$807,B10)</f>
      </c>
      <c r="E10" s="105" t="str">
        <f>SUMIFS('Annual_Cost'!$S$2:$S$807,'Annual_Cost'!$A$2:$A$807,A10,'Annual_Cost'!$B$2:$B$807,B10)</f>
      </c>
      <c r="F10" s="106" t="str">
        <f>SUMIFS('Annual_Cost'!$W$2:$W$807,'Annual_Cost'!$A$2:$A$807,A10,'Annual_Cost'!$B$2:$B$807,B10)</f>
      </c>
      <c r="G10" s="107" t="str">
        <f>SUMIFS($E$2:E10,$A$2:A10,A10)</f>
      </c>
      <c r="H10" s="108" t="str">
        <f>SUMIFS($F$2:F10,$A$2:A10,A10)</f>
      </c>
    </row>
    <row r="11">
      <c r="A11" t="s">
        <v>171</v>
      </c>
      <c r="B11" s="102" t="n">
        <v>2034</v>
      </c>
      <c r="C11" s="103" t="str">
        <f>SUMIFS('Annual_Cost'!$Q$2:$Q$807,'Annual_Cost'!$A$2:$A$807,A11,'Annual_Cost'!$B$2:$B$807,B11)</f>
      </c>
      <c r="D11" s="104" t="str">
        <f>SUMIFS('Annual_Cost'!$R$2:$R$807,'Annual_Cost'!$A$2:$A$807,A11,'Annual_Cost'!$B$2:$B$807,B11)</f>
      </c>
      <c r="E11" s="105" t="str">
        <f>SUMIFS('Annual_Cost'!$S$2:$S$807,'Annual_Cost'!$A$2:$A$807,A11,'Annual_Cost'!$B$2:$B$807,B11)</f>
      </c>
      <c r="F11" s="106" t="str">
        <f>SUMIFS('Annual_Cost'!$W$2:$W$807,'Annual_Cost'!$A$2:$A$807,A11,'Annual_Cost'!$B$2:$B$807,B11)</f>
      </c>
      <c r="G11" s="107" t="str">
        <f>SUMIFS($E$2:E11,$A$2:A11,A11)</f>
      </c>
      <c r="H11" s="108" t="str">
        <f>SUMIFS($F$2:F11,$A$2:A11,A11)</f>
      </c>
    </row>
    <row r="12">
      <c r="A12" t="s">
        <v>171</v>
      </c>
      <c r="B12" s="102" t="n">
        <v>2035</v>
      </c>
      <c r="C12" s="103" t="str">
        <f>SUMIFS('Annual_Cost'!$Q$2:$Q$807,'Annual_Cost'!$A$2:$A$807,A12,'Annual_Cost'!$B$2:$B$807,B12)</f>
      </c>
      <c r="D12" s="104" t="str">
        <f>SUMIFS('Annual_Cost'!$R$2:$R$807,'Annual_Cost'!$A$2:$A$807,A12,'Annual_Cost'!$B$2:$B$807,B12)</f>
      </c>
      <c r="E12" s="105" t="str">
        <f>SUMIFS('Annual_Cost'!$S$2:$S$807,'Annual_Cost'!$A$2:$A$807,A12,'Annual_Cost'!$B$2:$B$807,B12)</f>
      </c>
      <c r="F12" s="106" t="str">
        <f>SUMIFS('Annual_Cost'!$W$2:$W$807,'Annual_Cost'!$A$2:$A$807,A12,'Annual_Cost'!$B$2:$B$807,B12)</f>
      </c>
      <c r="G12" s="107" t="str">
        <f>SUMIFS($E$2:E12,$A$2:A12,A12)</f>
      </c>
      <c r="H12" s="108" t="str">
        <f>SUMIFS($F$2:F12,$A$2:A12,A12)</f>
      </c>
    </row>
    <row r="13">
      <c r="A13" t="s">
        <v>171</v>
      </c>
      <c r="B13" s="102" t="n">
        <v>2036</v>
      </c>
      <c r="C13" s="103" t="str">
        <f>SUMIFS('Annual_Cost'!$Q$2:$Q$807,'Annual_Cost'!$A$2:$A$807,A13,'Annual_Cost'!$B$2:$B$807,B13)</f>
      </c>
      <c r="D13" s="104" t="str">
        <f>SUMIFS('Annual_Cost'!$R$2:$R$807,'Annual_Cost'!$A$2:$A$807,A13,'Annual_Cost'!$B$2:$B$807,B13)</f>
      </c>
      <c r="E13" s="105" t="str">
        <f>SUMIFS('Annual_Cost'!$S$2:$S$807,'Annual_Cost'!$A$2:$A$807,A13,'Annual_Cost'!$B$2:$B$807,B13)</f>
      </c>
      <c r="F13" s="106" t="str">
        <f>SUMIFS('Annual_Cost'!$W$2:$W$807,'Annual_Cost'!$A$2:$A$807,A13,'Annual_Cost'!$B$2:$B$807,B13)</f>
      </c>
      <c r="G13" s="107" t="str">
        <f>SUMIFS($E$2:E13,$A$2:A13,A13)</f>
      </c>
      <c r="H13" s="108" t="str">
        <f>SUMIFS($F$2:F13,$A$2:A13,A13)</f>
      </c>
    </row>
    <row r="14">
      <c r="A14" t="s">
        <v>171</v>
      </c>
      <c r="B14" s="102" t="n">
        <v>2037</v>
      </c>
      <c r="C14" s="103" t="str">
        <f>SUMIFS('Annual_Cost'!$Q$2:$Q$807,'Annual_Cost'!$A$2:$A$807,A14,'Annual_Cost'!$B$2:$B$807,B14)</f>
      </c>
      <c r="D14" s="104" t="str">
        <f>SUMIFS('Annual_Cost'!$R$2:$R$807,'Annual_Cost'!$A$2:$A$807,A14,'Annual_Cost'!$B$2:$B$807,B14)</f>
      </c>
      <c r="E14" s="105" t="str">
        <f>SUMIFS('Annual_Cost'!$S$2:$S$807,'Annual_Cost'!$A$2:$A$807,A14,'Annual_Cost'!$B$2:$B$807,B14)</f>
      </c>
      <c r="F14" s="106" t="str">
        <f>SUMIFS('Annual_Cost'!$W$2:$W$807,'Annual_Cost'!$A$2:$A$807,A14,'Annual_Cost'!$B$2:$B$807,B14)</f>
      </c>
      <c r="G14" s="107" t="str">
        <f>SUMIFS($E$2:E14,$A$2:A14,A14)</f>
      </c>
      <c r="H14" s="108" t="str">
        <f>SUMIFS($F$2:F14,$A$2:A14,A14)</f>
      </c>
    </row>
    <row r="15">
      <c r="A15" t="s">
        <v>171</v>
      </c>
      <c r="B15" s="102" t="n">
        <v>2038</v>
      </c>
      <c r="C15" s="103" t="str">
        <f>SUMIFS('Annual_Cost'!$Q$2:$Q$807,'Annual_Cost'!$A$2:$A$807,A15,'Annual_Cost'!$B$2:$B$807,B15)</f>
      </c>
      <c r="D15" s="104" t="str">
        <f>SUMIFS('Annual_Cost'!$R$2:$R$807,'Annual_Cost'!$A$2:$A$807,A15,'Annual_Cost'!$B$2:$B$807,B15)</f>
      </c>
      <c r="E15" s="105" t="str">
        <f>SUMIFS('Annual_Cost'!$S$2:$S$807,'Annual_Cost'!$A$2:$A$807,A15,'Annual_Cost'!$B$2:$B$807,B15)</f>
      </c>
      <c r="F15" s="106" t="str">
        <f>SUMIFS('Annual_Cost'!$W$2:$W$807,'Annual_Cost'!$A$2:$A$807,A15,'Annual_Cost'!$B$2:$B$807,B15)</f>
      </c>
      <c r="G15" s="107" t="str">
        <f>SUMIFS($E$2:E15,$A$2:A15,A15)</f>
      </c>
      <c r="H15" s="108" t="str">
        <f>SUMIFS($F$2:F15,$A$2:A15,A15)</f>
      </c>
    </row>
    <row r="16">
      <c r="A16" t="s">
        <v>171</v>
      </c>
      <c r="B16" s="102" t="n">
        <v>2039</v>
      </c>
      <c r="C16" s="103" t="str">
        <f>SUMIFS('Annual_Cost'!$Q$2:$Q$807,'Annual_Cost'!$A$2:$A$807,A16,'Annual_Cost'!$B$2:$B$807,B16)</f>
      </c>
      <c r="D16" s="104" t="str">
        <f>SUMIFS('Annual_Cost'!$R$2:$R$807,'Annual_Cost'!$A$2:$A$807,A16,'Annual_Cost'!$B$2:$B$807,B16)</f>
      </c>
      <c r="E16" s="105" t="str">
        <f>SUMIFS('Annual_Cost'!$S$2:$S$807,'Annual_Cost'!$A$2:$A$807,A16,'Annual_Cost'!$B$2:$B$807,B16)</f>
      </c>
      <c r="F16" s="106" t="str">
        <f>SUMIFS('Annual_Cost'!$W$2:$W$807,'Annual_Cost'!$A$2:$A$807,A16,'Annual_Cost'!$B$2:$B$807,B16)</f>
      </c>
      <c r="G16" s="107" t="str">
        <f>SUMIFS($E$2:E16,$A$2:A16,A16)</f>
      </c>
      <c r="H16" s="108" t="str">
        <f>SUMIFS($F$2:F16,$A$2:A16,A16)</f>
      </c>
    </row>
    <row r="17">
      <c r="A17" t="s">
        <v>171</v>
      </c>
      <c r="B17" s="102" t="n">
        <v>2040</v>
      </c>
      <c r="C17" s="103" t="str">
        <f>SUMIFS('Annual_Cost'!$Q$2:$Q$807,'Annual_Cost'!$A$2:$A$807,A17,'Annual_Cost'!$B$2:$B$807,B17)</f>
      </c>
      <c r="D17" s="104" t="str">
        <f>SUMIFS('Annual_Cost'!$R$2:$R$807,'Annual_Cost'!$A$2:$A$807,A17,'Annual_Cost'!$B$2:$B$807,B17)</f>
      </c>
      <c r="E17" s="105" t="str">
        <f>SUMIFS('Annual_Cost'!$S$2:$S$807,'Annual_Cost'!$A$2:$A$807,A17,'Annual_Cost'!$B$2:$B$807,B17)</f>
      </c>
      <c r="F17" s="106" t="str">
        <f>SUMIFS('Annual_Cost'!$W$2:$W$807,'Annual_Cost'!$A$2:$A$807,A17,'Annual_Cost'!$B$2:$B$807,B17)</f>
      </c>
      <c r="G17" s="107" t="str">
        <f>SUMIFS($E$2:E17,$A$2:A17,A17)</f>
      </c>
      <c r="H17" s="108" t="str">
        <f>SUMIFS($F$2:F17,$A$2:A17,A17)</f>
      </c>
    </row>
    <row r="18">
      <c r="A18" t="s">
        <v>171</v>
      </c>
      <c r="B18" s="102" t="n">
        <v>2041</v>
      </c>
      <c r="C18" s="103" t="str">
        <f>SUMIFS('Annual_Cost'!$Q$2:$Q$807,'Annual_Cost'!$A$2:$A$807,A18,'Annual_Cost'!$B$2:$B$807,B18)</f>
      </c>
      <c r="D18" s="104" t="str">
        <f>SUMIFS('Annual_Cost'!$R$2:$R$807,'Annual_Cost'!$A$2:$A$807,A18,'Annual_Cost'!$B$2:$B$807,B18)</f>
      </c>
      <c r="E18" s="105" t="str">
        <f>SUMIFS('Annual_Cost'!$S$2:$S$807,'Annual_Cost'!$A$2:$A$807,A18,'Annual_Cost'!$B$2:$B$807,B18)</f>
      </c>
      <c r="F18" s="106" t="str">
        <f>SUMIFS('Annual_Cost'!$W$2:$W$807,'Annual_Cost'!$A$2:$A$807,A18,'Annual_Cost'!$B$2:$B$807,B18)</f>
      </c>
      <c r="G18" s="107" t="str">
        <f>SUMIFS($E$2:E18,$A$2:A18,A18)</f>
      </c>
      <c r="H18" s="108" t="str">
        <f>SUMIFS($F$2:F18,$A$2:A18,A18)</f>
      </c>
    </row>
    <row r="19">
      <c r="A19" t="s">
        <v>171</v>
      </c>
      <c r="B19" s="102" t="n">
        <v>2042</v>
      </c>
      <c r="C19" s="103" t="str">
        <f>SUMIFS('Annual_Cost'!$Q$2:$Q$807,'Annual_Cost'!$A$2:$A$807,A19,'Annual_Cost'!$B$2:$B$807,B19)</f>
      </c>
      <c r="D19" s="104" t="str">
        <f>SUMIFS('Annual_Cost'!$R$2:$R$807,'Annual_Cost'!$A$2:$A$807,A19,'Annual_Cost'!$B$2:$B$807,B19)</f>
      </c>
      <c r="E19" s="105" t="str">
        <f>SUMIFS('Annual_Cost'!$S$2:$S$807,'Annual_Cost'!$A$2:$A$807,A19,'Annual_Cost'!$B$2:$B$807,B19)</f>
      </c>
      <c r="F19" s="106" t="str">
        <f>SUMIFS('Annual_Cost'!$W$2:$W$807,'Annual_Cost'!$A$2:$A$807,A19,'Annual_Cost'!$B$2:$B$807,B19)</f>
      </c>
      <c r="G19" s="107" t="str">
        <f>SUMIFS($E$2:E19,$A$2:A19,A19)</f>
      </c>
      <c r="H19" s="108" t="str">
        <f>SUMIFS($F$2:F19,$A$2:A19,A19)</f>
      </c>
    </row>
    <row r="20">
      <c r="A20" t="s">
        <v>171</v>
      </c>
      <c r="B20" s="102" t="n">
        <v>2043</v>
      </c>
      <c r="C20" s="103" t="str">
        <f>SUMIFS('Annual_Cost'!$Q$2:$Q$807,'Annual_Cost'!$A$2:$A$807,A20,'Annual_Cost'!$B$2:$B$807,B20)</f>
      </c>
      <c r="D20" s="104" t="str">
        <f>SUMIFS('Annual_Cost'!$R$2:$R$807,'Annual_Cost'!$A$2:$A$807,A20,'Annual_Cost'!$B$2:$B$807,B20)</f>
      </c>
      <c r="E20" s="105" t="str">
        <f>SUMIFS('Annual_Cost'!$S$2:$S$807,'Annual_Cost'!$A$2:$A$807,A20,'Annual_Cost'!$B$2:$B$807,B20)</f>
      </c>
      <c r="F20" s="106" t="str">
        <f>SUMIFS('Annual_Cost'!$W$2:$W$807,'Annual_Cost'!$A$2:$A$807,A20,'Annual_Cost'!$B$2:$B$807,B20)</f>
      </c>
      <c r="G20" s="107" t="str">
        <f>SUMIFS($E$2:E20,$A$2:A20,A20)</f>
      </c>
      <c r="H20" s="108" t="str">
        <f>SUMIFS($F$2:F20,$A$2:A20,A20)</f>
      </c>
    </row>
    <row r="21">
      <c r="A21" t="s">
        <v>171</v>
      </c>
      <c r="B21" s="102" t="n">
        <v>2044</v>
      </c>
      <c r="C21" s="103" t="str">
        <f>SUMIFS('Annual_Cost'!$Q$2:$Q$807,'Annual_Cost'!$A$2:$A$807,A21,'Annual_Cost'!$B$2:$B$807,B21)</f>
      </c>
      <c r="D21" s="104" t="str">
        <f>SUMIFS('Annual_Cost'!$R$2:$R$807,'Annual_Cost'!$A$2:$A$807,A21,'Annual_Cost'!$B$2:$B$807,B21)</f>
      </c>
      <c r="E21" s="105" t="str">
        <f>SUMIFS('Annual_Cost'!$S$2:$S$807,'Annual_Cost'!$A$2:$A$807,A21,'Annual_Cost'!$B$2:$B$807,B21)</f>
      </c>
      <c r="F21" s="106" t="str">
        <f>SUMIFS('Annual_Cost'!$W$2:$W$807,'Annual_Cost'!$A$2:$A$807,A21,'Annual_Cost'!$B$2:$B$807,B21)</f>
      </c>
      <c r="G21" s="107" t="str">
        <f>SUMIFS($E$2:E21,$A$2:A21,A21)</f>
      </c>
      <c r="H21" s="108" t="str">
        <f>SUMIFS($F$2:F21,$A$2:A21,A21)</f>
      </c>
    </row>
    <row r="22">
      <c r="A22" t="s">
        <v>171</v>
      </c>
      <c r="B22" s="102" t="n">
        <v>2045</v>
      </c>
      <c r="C22" s="103" t="str">
        <f>SUMIFS('Annual_Cost'!$Q$2:$Q$807,'Annual_Cost'!$A$2:$A$807,A22,'Annual_Cost'!$B$2:$B$807,B22)</f>
      </c>
      <c r="D22" s="104" t="str">
        <f>SUMIFS('Annual_Cost'!$R$2:$R$807,'Annual_Cost'!$A$2:$A$807,A22,'Annual_Cost'!$B$2:$B$807,B22)</f>
      </c>
      <c r="E22" s="105" t="str">
        <f>SUMIFS('Annual_Cost'!$S$2:$S$807,'Annual_Cost'!$A$2:$A$807,A22,'Annual_Cost'!$B$2:$B$807,B22)</f>
      </c>
      <c r="F22" s="106" t="str">
        <f>SUMIFS('Annual_Cost'!$W$2:$W$807,'Annual_Cost'!$A$2:$A$807,A22,'Annual_Cost'!$B$2:$B$807,B22)</f>
      </c>
      <c r="G22" s="107" t="str">
        <f>SUMIFS($E$2:E22,$A$2:A22,A22)</f>
      </c>
      <c r="H22" s="108" t="str">
        <f>SUMIFS($F$2:F22,$A$2:A22,A22)</f>
      </c>
    </row>
    <row r="23">
      <c r="A23" t="s">
        <v>171</v>
      </c>
      <c r="B23" s="102" t="n">
        <v>2046</v>
      </c>
      <c r="C23" s="103" t="str">
        <f>SUMIFS('Annual_Cost'!$Q$2:$Q$807,'Annual_Cost'!$A$2:$A$807,A23,'Annual_Cost'!$B$2:$B$807,B23)</f>
      </c>
      <c r="D23" s="104" t="str">
        <f>SUMIFS('Annual_Cost'!$R$2:$R$807,'Annual_Cost'!$A$2:$A$807,A23,'Annual_Cost'!$B$2:$B$807,B23)</f>
      </c>
      <c r="E23" s="105" t="str">
        <f>SUMIFS('Annual_Cost'!$S$2:$S$807,'Annual_Cost'!$A$2:$A$807,A23,'Annual_Cost'!$B$2:$B$807,B23)</f>
      </c>
      <c r="F23" s="106" t="str">
        <f>SUMIFS('Annual_Cost'!$W$2:$W$807,'Annual_Cost'!$A$2:$A$807,A23,'Annual_Cost'!$B$2:$B$807,B23)</f>
      </c>
      <c r="G23" s="107" t="str">
        <f>SUMIFS($E$2:E23,$A$2:A23,A23)</f>
      </c>
      <c r="H23" s="108" t="str">
        <f>SUMIFS($F$2:F23,$A$2:A23,A23)</f>
      </c>
    </row>
    <row r="24">
      <c r="A24" t="s">
        <v>171</v>
      </c>
      <c r="B24" s="102" t="n">
        <v>2047</v>
      </c>
      <c r="C24" s="103" t="str">
        <f>SUMIFS('Annual_Cost'!$Q$2:$Q$807,'Annual_Cost'!$A$2:$A$807,A24,'Annual_Cost'!$B$2:$B$807,B24)</f>
      </c>
      <c r="D24" s="104" t="str">
        <f>SUMIFS('Annual_Cost'!$R$2:$R$807,'Annual_Cost'!$A$2:$A$807,A24,'Annual_Cost'!$B$2:$B$807,B24)</f>
      </c>
      <c r="E24" s="105" t="str">
        <f>SUMIFS('Annual_Cost'!$S$2:$S$807,'Annual_Cost'!$A$2:$A$807,A24,'Annual_Cost'!$B$2:$B$807,B24)</f>
      </c>
      <c r="F24" s="106" t="str">
        <f>SUMIFS('Annual_Cost'!$W$2:$W$807,'Annual_Cost'!$A$2:$A$807,A24,'Annual_Cost'!$B$2:$B$807,B24)</f>
      </c>
      <c r="G24" s="107" t="str">
        <f>SUMIFS($E$2:E24,$A$2:A24,A24)</f>
      </c>
      <c r="H24" s="108" t="str">
        <f>SUMIFS($F$2:F24,$A$2:A24,A24)</f>
      </c>
    </row>
    <row r="25">
      <c r="A25" t="s">
        <v>171</v>
      </c>
      <c r="B25" s="102" t="n">
        <v>2048</v>
      </c>
      <c r="C25" s="103" t="str">
        <f>SUMIFS('Annual_Cost'!$Q$2:$Q$807,'Annual_Cost'!$A$2:$A$807,A25,'Annual_Cost'!$B$2:$B$807,B25)</f>
      </c>
      <c r="D25" s="104" t="str">
        <f>SUMIFS('Annual_Cost'!$R$2:$R$807,'Annual_Cost'!$A$2:$A$807,A25,'Annual_Cost'!$B$2:$B$807,B25)</f>
      </c>
      <c r="E25" s="105" t="str">
        <f>SUMIFS('Annual_Cost'!$S$2:$S$807,'Annual_Cost'!$A$2:$A$807,A25,'Annual_Cost'!$B$2:$B$807,B25)</f>
      </c>
      <c r="F25" s="106" t="str">
        <f>SUMIFS('Annual_Cost'!$W$2:$W$807,'Annual_Cost'!$A$2:$A$807,A25,'Annual_Cost'!$B$2:$B$807,B25)</f>
      </c>
      <c r="G25" s="107" t="str">
        <f>SUMIFS($E$2:E25,$A$2:A25,A25)</f>
      </c>
      <c r="H25" s="108" t="str">
        <f>SUMIFS($F$2:F25,$A$2:A25,A25)</f>
      </c>
    </row>
    <row r="26">
      <c r="A26" t="s">
        <v>171</v>
      </c>
      <c r="B26" s="102" t="n">
        <v>2049</v>
      </c>
      <c r="C26" s="103" t="str">
        <f>SUMIFS('Annual_Cost'!$Q$2:$Q$807,'Annual_Cost'!$A$2:$A$807,A26,'Annual_Cost'!$B$2:$B$807,B26)</f>
      </c>
      <c r="D26" s="104" t="str">
        <f>SUMIFS('Annual_Cost'!$R$2:$R$807,'Annual_Cost'!$A$2:$A$807,A26,'Annual_Cost'!$B$2:$B$807,B26)</f>
      </c>
      <c r="E26" s="105" t="str">
        <f>SUMIFS('Annual_Cost'!$S$2:$S$807,'Annual_Cost'!$A$2:$A$807,A26,'Annual_Cost'!$B$2:$B$807,B26)</f>
      </c>
      <c r="F26" s="106" t="str">
        <f>SUMIFS('Annual_Cost'!$W$2:$W$807,'Annual_Cost'!$A$2:$A$807,A26,'Annual_Cost'!$B$2:$B$807,B26)</f>
      </c>
      <c r="G26" s="107" t="str">
        <f>SUMIFS($E$2:E26,$A$2:A26,A26)</f>
      </c>
      <c r="H26" s="108" t="str">
        <f>SUMIFS($F$2:F26,$A$2:A26,A26)</f>
      </c>
    </row>
    <row r="27">
      <c r="A27" t="s">
        <v>171</v>
      </c>
      <c r="B27" s="102" t="n">
        <v>2050</v>
      </c>
      <c r="C27" s="103" t="str">
        <f>SUMIFS('Annual_Cost'!$Q$2:$Q$807,'Annual_Cost'!$A$2:$A$807,A27,'Annual_Cost'!$B$2:$B$807,B27)</f>
      </c>
      <c r="D27" s="104" t="str">
        <f>SUMIFS('Annual_Cost'!$R$2:$R$807,'Annual_Cost'!$A$2:$A$807,A27,'Annual_Cost'!$B$2:$B$807,B27)</f>
      </c>
      <c r="E27" s="105" t="str">
        <f>SUMIFS('Annual_Cost'!$S$2:$S$807,'Annual_Cost'!$A$2:$A$807,A27,'Annual_Cost'!$B$2:$B$807,B27)</f>
      </c>
      <c r="F27" s="106" t="str">
        <f>SUMIFS('Annual_Cost'!$W$2:$W$807,'Annual_Cost'!$A$2:$A$807,A27,'Annual_Cost'!$B$2:$B$807,B27)</f>
      </c>
      <c r="G27" s="107" t="str">
        <f>SUMIFS($E$2:E27,$A$2:A27,A27)</f>
      </c>
      <c r="H27" s="108" t="str">
        <f>SUMIFS($F$2:F27,$A$2:A27,A27)</f>
      </c>
    </row>
    <row r="28">
      <c r="A28" t="s">
        <v>194</v>
      </c>
      <c r="B28" s="102" t="n">
        <v>2025</v>
      </c>
      <c r="C28" s="103" t="str">
        <f>SUMIFS('Annual_Cost'!$Q$2:$Q$807,'Annual_Cost'!$A$2:$A$807,A28,'Annual_Cost'!$B$2:$B$807,B28)</f>
      </c>
      <c r="D28" s="104" t="str">
        <f>SUMIFS('Annual_Cost'!$R$2:$R$807,'Annual_Cost'!$A$2:$A$807,A28,'Annual_Cost'!$B$2:$B$807,B28)</f>
      </c>
      <c r="E28" s="105" t="str">
        <f>SUMIFS('Annual_Cost'!$S$2:$S$807,'Annual_Cost'!$A$2:$A$807,A28,'Annual_Cost'!$B$2:$B$807,B28)</f>
      </c>
      <c r="F28" s="106" t="str">
        <f>SUMIFS('Annual_Cost'!$W$2:$W$807,'Annual_Cost'!$A$2:$A$807,A28,'Annual_Cost'!$B$2:$B$807,B28)</f>
      </c>
      <c r="G28" s="107" t="str">
        <f>SUMIFS($E$2:E28,$A$2:A28,A28)</f>
      </c>
      <c r="H28" s="108" t="str">
        <f>SUMIFS($F$2:F28,$A$2:A28,A28)</f>
      </c>
    </row>
    <row r="29">
      <c r="A29" t="s">
        <v>194</v>
      </c>
      <c r="B29" s="102" t="n">
        <v>2026</v>
      </c>
      <c r="C29" s="103" t="str">
        <f>SUMIFS('Annual_Cost'!$Q$2:$Q$807,'Annual_Cost'!$A$2:$A$807,A29,'Annual_Cost'!$B$2:$B$807,B29)</f>
      </c>
      <c r="D29" s="104" t="str">
        <f>SUMIFS('Annual_Cost'!$R$2:$R$807,'Annual_Cost'!$A$2:$A$807,A29,'Annual_Cost'!$B$2:$B$807,B29)</f>
      </c>
      <c r="E29" s="105" t="str">
        <f>SUMIFS('Annual_Cost'!$S$2:$S$807,'Annual_Cost'!$A$2:$A$807,A29,'Annual_Cost'!$B$2:$B$807,B29)</f>
      </c>
      <c r="F29" s="106" t="str">
        <f>SUMIFS('Annual_Cost'!$W$2:$W$807,'Annual_Cost'!$A$2:$A$807,A29,'Annual_Cost'!$B$2:$B$807,B29)</f>
      </c>
      <c r="G29" s="107" t="str">
        <f>SUMIFS($E$2:E29,$A$2:A29,A29)</f>
      </c>
      <c r="H29" s="108" t="str">
        <f>SUMIFS($F$2:F29,$A$2:A29,A29)</f>
      </c>
    </row>
    <row r="30">
      <c r="A30" t="s">
        <v>194</v>
      </c>
      <c r="B30" s="102" t="n">
        <v>2027</v>
      </c>
      <c r="C30" s="103" t="str">
        <f>SUMIFS('Annual_Cost'!$Q$2:$Q$807,'Annual_Cost'!$A$2:$A$807,A30,'Annual_Cost'!$B$2:$B$807,B30)</f>
      </c>
      <c r="D30" s="104" t="str">
        <f>SUMIFS('Annual_Cost'!$R$2:$R$807,'Annual_Cost'!$A$2:$A$807,A30,'Annual_Cost'!$B$2:$B$807,B30)</f>
      </c>
      <c r="E30" s="105" t="str">
        <f>SUMIFS('Annual_Cost'!$S$2:$S$807,'Annual_Cost'!$A$2:$A$807,A30,'Annual_Cost'!$B$2:$B$807,B30)</f>
      </c>
      <c r="F30" s="106" t="str">
        <f>SUMIFS('Annual_Cost'!$W$2:$W$807,'Annual_Cost'!$A$2:$A$807,A30,'Annual_Cost'!$B$2:$B$807,B30)</f>
      </c>
      <c r="G30" s="107" t="str">
        <f>SUMIFS($E$2:E30,$A$2:A30,A30)</f>
      </c>
      <c r="H30" s="108" t="str">
        <f>SUMIFS($F$2:F30,$A$2:A30,A30)</f>
      </c>
    </row>
    <row r="31">
      <c r="A31" t="s">
        <v>194</v>
      </c>
      <c r="B31" s="102" t="n">
        <v>2028</v>
      </c>
      <c r="C31" s="103" t="str">
        <f>SUMIFS('Annual_Cost'!$Q$2:$Q$807,'Annual_Cost'!$A$2:$A$807,A31,'Annual_Cost'!$B$2:$B$807,B31)</f>
      </c>
      <c r="D31" s="104" t="str">
        <f>SUMIFS('Annual_Cost'!$R$2:$R$807,'Annual_Cost'!$A$2:$A$807,A31,'Annual_Cost'!$B$2:$B$807,B31)</f>
      </c>
      <c r="E31" s="105" t="str">
        <f>SUMIFS('Annual_Cost'!$S$2:$S$807,'Annual_Cost'!$A$2:$A$807,A31,'Annual_Cost'!$B$2:$B$807,B31)</f>
      </c>
      <c r="F31" s="106" t="str">
        <f>SUMIFS('Annual_Cost'!$W$2:$W$807,'Annual_Cost'!$A$2:$A$807,A31,'Annual_Cost'!$B$2:$B$807,B31)</f>
      </c>
      <c r="G31" s="107" t="str">
        <f>SUMIFS($E$2:E31,$A$2:A31,A31)</f>
      </c>
      <c r="H31" s="108" t="str">
        <f>SUMIFS($F$2:F31,$A$2:A31,A31)</f>
      </c>
    </row>
    <row r="32">
      <c r="A32" t="s">
        <v>194</v>
      </c>
      <c r="B32" s="102" t="n">
        <v>2029</v>
      </c>
      <c r="C32" s="103" t="str">
        <f>SUMIFS('Annual_Cost'!$Q$2:$Q$807,'Annual_Cost'!$A$2:$A$807,A32,'Annual_Cost'!$B$2:$B$807,B32)</f>
      </c>
      <c r="D32" s="104" t="str">
        <f>SUMIFS('Annual_Cost'!$R$2:$R$807,'Annual_Cost'!$A$2:$A$807,A32,'Annual_Cost'!$B$2:$B$807,B32)</f>
      </c>
      <c r="E32" s="105" t="str">
        <f>SUMIFS('Annual_Cost'!$S$2:$S$807,'Annual_Cost'!$A$2:$A$807,A32,'Annual_Cost'!$B$2:$B$807,B32)</f>
      </c>
      <c r="F32" s="106" t="str">
        <f>SUMIFS('Annual_Cost'!$W$2:$W$807,'Annual_Cost'!$A$2:$A$807,A32,'Annual_Cost'!$B$2:$B$807,B32)</f>
      </c>
      <c r="G32" s="107" t="str">
        <f>SUMIFS($E$2:E32,$A$2:A32,A32)</f>
      </c>
      <c r="H32" s="108" t="str">
        <f>SUMIFS($F$2:F32,$A$2:A32,A32)</f>
      </c>
    </row>
    <row r="33">
      <c r="A33" t="s">
        <v>194</v>
      </c>
      <c r="B33" s="102" t="n">
        <v>2030</v>
      </c>
      <c r="C33" s="103" t="str">
        <f>SUMIFS('Annual_Cost'!$Q$2:$Q$807,'Annual_Cost'!$A$2:$A$807,A33,'Annual_Cost'!$B$2:$B$807,B33)</f>
      </c>
      <c r="D33" s="104" t="str">
        <f>SUMIFS('Annual_Cost'!$R$2:$R$807,'Annual_Cost'!$A$2:$A$807,A33,'Annual_Cost'!$B$2:$B$807,B33)</f>
      </c>
      <c r="E33" s="105" t="str">
        <f>SUMIFS('Annual_Cost'!$S$2:$S$807,'Annual_Cost'!$A$2:$A$807,A33,'Annual_Cost'!$B$2:$B$807,B33)</f>
      </c>
      <c r="F33" s="106" t="str">
        <f>SUMIFS('Annual_Cost'!$W$2:$W$807,'Annual_Cost'!$A$2:$A$807,A33,'Annual_Cost'!$B$2:$B$807,B33)</f>
      </c>
      <c r="G33" s="107" t="str">
        <f>SUMIFS($E$2:E33,$A$2:A33,A33)</f>
      </c>
      <c r="H33" s="108" t="str">
        <f>SUMIFS($F$2:F33,$A$2:A33,A33)</f>
      </c>
    </row>
    <row r="34">
      <c r="A34" t="s">
        <v>194</v>
      </c>
      <c r="B34" s="102" t="n">
        <v>2031</v>
      </c>
      <c r="C34" s="103" t="str">
        <f>SUMIFS('Annual_Cost'!$Q$2:$Q$807,'Annual_Cost'!$A$2:$A$807,A34,'Annual_Cost'!$B$2:$B$807,B34)</f>
      </c>
      <c r="D34" s="104" t="str">
        <f>SUMIFS('Annual_Cost'!$R$2:$R$807,'Annual_Cost'!$A$2:$A$807,A34,'Annual_Cost'!$B$2:$B$807,B34)</f>
      </c>
      <c r="E34" s="105" t="str">
        <f>SUMIFS('Annual_Cost'!$S$2:$S$807,'Annual_Cost'!$A$2:$A$807,A34,'Annual_Cost'!$B$2:$B$807,B34)</f>
      </c>
      <c r="F34" s="106" t="str">
        <f>SUMIFS('Annual_Cost'!$W$2:$W$807,'Annual_Cost'!$A$2:$A$807,A34,'Annual_Cost'!$B$2:$B$807,B34)</f>
      </c>
      <c r="G34" s="107" t="str">
        <f>SUMIFS($E$2:E34,$A$2:A34,A34)</f>
      </c>
      <c r="H34" s="108" t="str">
        <f>SUMIFS($F$2:F34,$A$2:A34,A34)</f>
      </c>
    </row>
    <row r="35">
      <c r="A35" t="s">
        <v>194</v>
      </c>
      <c r="B35" s="102" t="n">
        <v>2032</v>
      </c>
      <c r="C35" s="103" t="str">
        <f>SUMIFS('Annual_Cost'!$Q$2:$Q$807,'Annual_Cost'!$A$2:$A$807,A35,'Annual_Cost'!$B$2:$B$807,B35)</f>
      </c>
      <c r="D35" s="104" t="str">
        <f>SUMIFS('Annual_Cost'!$R$2:$R$807,'Annual_Cost'!$A$2:$A$807,A35,'Annual_Cost'!$B$2:$B$807,B35)</f>
      </c>
      <c r="E35" s="105" t="str">
        <f>SUMIFS('Annual_Cost'!$S$2:$S$807,'Annual_Cost'!$A$2:$A$807,A35,'Annual_Cost'!$B$2:$B$807,B35)</f>
      </c>
      <c r="F35" s="106" t="str">
        <f>SUMIFS('Annual_Cost'!$W$2:$W$807,'Annual_Cost'!$A$2:$A$807,A35,'Annual_Cost'!$B$2:$B$807,B35)</f>
      </c>
      <c r="G35" s="107" t="str">
        <f>SUMIFS($E$2:E35,$A$2:A35,A35)</f>
      </c>
      <c r="H35" s="108" t="str">
        <f>SUMIFS($F$2:F35,$A$2:A35,A35)</f>
      </c>
    </row>
    <row r="36">
      <c r="A36" t="s">
        <v>194</v>
      </c>
      <c r="B36" s="102" t="n">
        <v>2033</v>
      </c>
      <c r="C36" s="103" t="str">
        <f>SUMIFS('Annual_Cost'!$Q$2:$Q$807,'Annual_Cost'!$A$2:$A$807,A36,'Annual_Cost'!$B$2:$B$807,B36)</f>
      </c>
      <c r="D36" s="104" t="str">
        <f>SUMIFS('Annual_Cost'!$R$2:$R$807,'Annual_Cost'!$A$2:$A$807,A36,'Annual_Cost'!$B$2:$B$807,B36)</f>
      </c>
      <c r="E36" s="105" t="str">
        <f>SUMIFS('Annual_Cost'!$S$2:$S$807,'Annual_Cost'!$A$2:$A$807,A36,'Annual_Cost'!$B$2:$B$807,B36)</f>
      </c>
      <c r="F36" s="106" t="str">
        <f>SUMIFS('Annual_Cost'!$W$2:$W$807,'Annual_Cost'!$A$2:$A$807,A36,'Annual_Cost'!$B$2:$B$807,B36)</f>
      </c>
      <c r="G36" s="107" t="str">
        <f>SUMIFS($E$2:E36,$A$2:A36,A36)</f>
      </c>
      <c r="H36" s="108" t="str">
        <f>SUMIFS($F$2:F36,$A$2:A36,A36)</f>
      </c>
    </row>
    <row r="37">
      <c r="A37" t="s">
        <v>194</v>
      </c>
      <c r="B37" s="102" t="n">
        <v>2034</v>
      </c>
      <c r="C37" s="103" t="str">
        <f>SUMIFS('Annual_Cost'!$Q$2:$Q$807,'Annual_Cost'!$A$2:$A$807,A37,'Annual_Cost'!$B$2:$B$807,B37)</f>
      </c>
      <c r="D37" s="104" t="str">
        <f>SUMIFS('Annual_Cost'!$R$2:$R$807,'Annual_Cost'!$A$2:$A$807,A37,'Annual_Cost'!$B$2:$B$807,B37)</f>
      </c>
      <c r="E37" s="105" t="str">
        <f>SUMIFS('Annual_Cost'!$S$2:$S$807,'Annual_Cost'!$A$2:$A$807,A37,'Annual_Cost'!$B$2:$B$807,B37)</f>
      </c>
      <c r="F37" s="106" t="str">
        <f>SUMIFS('Annual_Cost'!$W$2:$W$807,'Annual_Cost'!$A$2:$A$807,A37,'Annual_Cost'!$B$2:$B$807,B37)</f>
      </c>
      <c r="G37" s="107" t="str">
        <f>SUMIFS($E$2:E37,$A$2:A37,A37)</f>
      </c>
      <c r="H37" s="108" t="str">
        <f>SUMIFS($F$2:F37,$A$2:A37,A37)</f>
      </c>
    </row>
    <row r="38">
      <c r="A38" t="s">
        <v>194</v>
      </c>
      <c r="B38" s="102" t="n">
        <v>2035</v>
      </c>
      <c r="C38" s="103" t="str">
        <f>SUMIFS('Annual_Cost'!$Q$2:$Q$807,'Annual_Cost'!$A$2:$A$807,A38,'Annual_Cost'!$B$2:$B$807,B38)</f>
      </c>
      <c r="D38" s="104" t="str">
        <f>SUMIFS('Annual_Cost'!$R$2:$R$807,'Annual_Cost'!$A$2:$A$807,A38,'Annual_Cost'!$B$2:$B$807,B38)</f>
      </c>
      <c r="E38" s="105" t="str">
        <f>SUMIFS('Annual_Cost'!$S$2:$S$807,'Annual_Cost'!$A$2:$A$807,A38,'Annual_Cost'!$B$2:$B$807,B38)</f>
      </c>
      <c r="F38" s="106" t="str">
        <f>SUMIFS('Annual_Cost'!$W$2:$W$807,'Annual_Cost'!$A$2:$A$807,A38,'Annual_Cost'!$B$2:$B$807,B38)</f>
      </c>
      <c r="G38" s="107" t="str">
        <f>SUMIFS($E$2:E38,$A$2:A38,A38)</f>
      </c>
      <c r="H38" s="108" t="str">
        <f>SUMIFS($F$2:F38,$A$2:A38,A38)</f>
      </c>
    </row>
    <row r="39">
      <c r="A39" t="s">
        <v>194</v>
      </c>
      <c r="B39" s="102" t="n">
        <v>2036</v>
      </c>
      <c r="C39" s="103" t="str">
        <f>SUMIFS('Annual_Cost'!$Q$2:$Q$807,'Annual_Cost'!$A$2:$A$807,A39,'Annual_Cost'!$B$2:$B$807,B39)</f>
      </c>
      <c r="D39" s="104" t="str">
        <f>SUMIFS('Annual_Cost'!$R$2:$R$807,'Annual_Cost'!$A$2:$A$807,A39,'Annual_Cost'!$B$2:$B$807,B39)</f>
      </c>
      <c r="E39" s="105" t="str">
        <f>SUMIFS('Annual_Cost'!$S$2:$S$807,'Annual_Cost'!$A$2:$A$807,A39,'Annual_Cost'!$B$2:$B$807,B39)</f>
      </c>
      <c r="F39" s="106" t="str">
        <f>SUMIFS('Annual_Cost'!$W$2:$W$807,'Annual_Cost'!$A$2:$A$807,A39,'Annual_Cost'!$B$2:$B$807,B39)</f>
      </c>
      <c r="G39" s="107" t="str">
        <f>SUMIFS($E$2:E39,$A$2:A39,A39)</f>
      </c>
      <c r="H39" s="108" t="str">
        <f>SUMIFS($F$2:F39,$A$2:A39,A39)</f>
      </c>
    </row>
    <row r="40">
      <c r="A40" t="s">
        <v>194</v>
      </c>
      <c r="B40" s="102" t="n">
        <v>2037</v>
      </c>
      <c r="C40" s="103" t="str">
        <f>SUMIFS('Annual_Cost'!$Q$2:$Q$807,'Annual_Cost'!$A$2:$A$807,A40,'Annual_Cost'!$B$2:$B$807,B40)</f>
      </c>
      <c r="D40" s="104" t="str">
        <f>SUMIFS('Annual_Cost'!$R$2:$R$807,'Annual_Cost'!$A$2:$A$807,A40,'Annual_Cost'!$B$2:$B$807,B40)</f>
      </c>
      <c r="E40" s="105" t="str">
        <f>SUMIFS('Annual_Cost'!$S$2:$S$807,'Annual_Cost'!$A$2:$A$807,A40,'Annual_Cost'!$B$2:$B$807,B40)</f>
      </c>
      <c r="F40" s="106" t="str">
        <f>SUMIFS('Annual_Cost'!$W$2:$W$807,'Annual_Cost'!$A$2:$A$807,A40,'Annual_Cost'!$B$2:$B$807,B40)</f>
      </c>
      <c r="G40" s="107" t="str">
        <f>SUMIFS($E$2:E40,$A$2:A40,A40)</f>
      </c>
      <c r="H40" s="108" t="str">
        <f>SUMIFS($F$2:F40,$A$2:A40,A40)</f>
      </c>
    </row>
    <row r="41">
      <c r="A41" t="s">
        <v>194</v>
      </c>
      <c r="B41" s="102" t="n">
        <v>2038</v>
      </c>
      <c r="C41" s="103" t="str">
        <f>SUMIFS('Annual_Cost'!$Q$2:$Q$807,'Annual_Cost'!$A$2:$A$807,A41,'Annual_Cost'!$B$2:$B$807,B41)</f>
      </c>
      <c r="D41" s="104" t="str">
        <f>SUMIFS('Annual_Cost'!$R$2:$R$807,'Annual_Cost'!$A$2:$A$807,A41,'Annual_Cost'!$B$2:$B$807,B41)</f>
      </c>
      <c r="E41" s="105" t="str">
        <f>SUMIFS('Annual_Cost'!$S$2:$S$807,'Annual_Cost'!$A$2:$A$807,A41,'Annual_Cost'!$B$2:$B$807,B41)</f>
      </c>
      <c r="F41" s="106" t="str">
        <f>SUMIFS('Annual_Cost'!$W$2:$W$807,'Annual_Cost'!$A$2:$A$807,A41,'Annual_Cost'!$B$2:$B$807,B41)</f>
      </c>
      <c r="G41" s="107" t="str">
        <f>SUMIFS($E$2:E41,$A$2:A41,A41)</f>
      </c>
      <c r="H41" s="108" t="str">
        <f>SUMIFS($F$2:F41,$A$2:A41,A41)</f>
      </c>
    </row>
    <row r="42">
      <c r="A42" t="s">
        <v>194</v>
      </c>
      <c r="B42" s="102" t="n">
        <v>2039</v>
      </c>
      <c r="C42" s="103" t="str">
        <f>SUMIFS('Annual_Cost'!$Q$2:$Q$807,'Annual_Cost'!$A$2:$A$807,A42,'Annual_Cost'!$B$2:$B$807,B42)</f>
      </c>
      <c r="D42" s="104" t="str">
        <f>SUMIFS('Annual_Cost'!$R$2:$R$807,'Annual_Cost'!$A$2:$A$807,A42,'Annual_Cost'!$B$2:$B$807,B42)</f>
      </c>
      <c r="E42" s="105" t="str">
        <f>SUMIFS('Annual_Cost'!$S$2:$S$807,'Annual_Cost'!$A$2:$A$807,A42,'Annual_Cost'!$B$2:$B$807,B42)</f>
      </c>
      <c r="F42" s="106" t="str">
        <f>SUMIFS('Annual_Cost'!$W$2:$W$807,'Annual_Cost'!$A$2:$A$807,A42,'Annual_Cost'!$B$2:$B$807,B42)</f>
      </c>
      <c r="G42" s="107" t="str">
        <f>SUMIFS($E$2:E42,$A$2:A42,A42)</f>
      </c>
      <c r="H42" s="108" t="str">
        <f>SUMIFS($F$2:F42,$A$2:A42,A42)</f>
      </c>
    </row>
    <row r="43">
      <c r="A43" t="s">
        <v>194</v>
      </c>
      <c r="B43" s="102" t="n">
        <v>2040</v>
      </c>
      <c r="C43" s="103" t="str">
        <f>SUMIFS('Annual_Cost'!$Q$2:$Q$807,'Annual_Cost'!$A$2:$A$807,A43,'Annual_Cost'!$B$2:$B$807,B43)</f>
      </c>
      <c r="D43" s="104" t="str">
        <f>SUMIFS('Annual_Cost'!$R$2:$R$807,'Annual_Cost'!$A$2:$A$807,A43,'Annual_Cost'!$B$2:$B$807,B43)</f>
      </c>
      <c r="E43" s="105" t="str">
        <f>SUMIFS('Annual_Cost'!$S$2:$S$807,'Annual_Cost'!$A$2:$A$807,A43,'Annual_Cost'!$B$2:$B$807,B43)</f>
      </c>
      <c r="F43" s="106" t="str">
        <f>SUMIFS('Annual_Cost'!$W$2:$W$807,'Annual_Cost'!$A$2:$A$807,A43,'Annual_Cost'!$B$2:$B$807,B43)</f>
      </c>
      <c r="G43" s="107" t="str">
        <f>SUMIFS($E$2:E43,$A$2:A43,A43)</f>
      </c>
      <c r="H43" s="108" t="str">
        <f>SUMIFS($F$2:F43,$A$2:A43,A43)</f>
      </c>
    </row>
    <row r="44">
      <c r="A44" t="s">
        <v>194</v>
      </c>
      <c r="B44" s="102" t="n">
        <v>2041</v>
      </c>
      <c r="C44" s="103" t="str">
        <f>SUMIFS('Annual_Cost'!$Q$2:$Q$807,'Annual_Cost'!$A$2:$A$807,A44,'Annual_Cost'!$B$2:$B$807,B44)</f>
      </c>
      <c r="D44" s="104" t="str">
        <f>SUMIFS('Annual_Cost'!$R$2:$R$807,'Annual_Cost'!$A$2:$A$807,A44,'Annual_Cost'!$B$2:$B$807,B44)</f>
      </c>
      <c r="E44" s="105" t="str">
        <f>SUMIFS('Annual_Cost'!$S$2:$S$807,'Annual_Cost'!$A$2:$A$807,A44,'Annual_Cost'!$B$2:$B$807,B44)</f>
      </c>
      <c r="F44" s="106" t="str">
        <f>SUMIFS('Annual_Cost'!$W$2:$W$807,'Annual_Cost'!$A$2:$A$807,A44,'Annual_Cost'!$B$2:$B$807,B44)</f>
      </c>
      <c r="G44" s="107" t="str">
        <f>SUMIFS($E$2:E44,$A$2:A44,A44)</f>
      </c>
      <c r="H44" s="108" t="str">
        <f>SUMIFS($F$2:F44,$A$2:A44,A44)</f>
      </c>
    </row>
    <row r="45">
      <c r="A45" t="s">
        <v>194</v>
      </c>
      <c r="B45" s="102" t="n">
        <v>2042</v>
      </c>
      <c r="C45" s="103" t="str">
        <f>SUMIFS('Annual_Cost'!$Q$2:$Q$807,'Annual_Cost'!$A$2:$A$807,A45,'Annual_Cost'!$B$2:$B$807,B45)</f>
      </c>
      <c r="D45" s="104" t="str">
        <f>SUMIFS('Annual_Cost'!$R$2:$R$807,'Annual_Cost'!$A$2:$A$807,A45,'Annual_Cost'!$B$2:$B$807,B45)</f>
      </c>
      <c r="E45" s="105" t="str">
        <f>SUMIFS('Annual_Cost'!$S$2:$S$807,'Annual_Cost'!$A$2:$A$807,A45,'Annual_Cost'!$B$2:$B$807,B45)</f>
      </c>
      <c r="F45" s="106" t="str">
        <f>SUMIFS('Annual_Cost'!$W$2:$W$807,'Annual_Cost'!$A$2:$A$807,A45,'Annual_Cost'!$B$2:$B$807,B45)</f>
      </c>
      <c r="G45" s="107" t="str">
        <f>SUMIFS($E$2:E45,$A$2:A45,A45)</f>
      </c>
      <c r="H45" s="108" t="str">
        <f>SUMIFS($F$2:F45,$A$2:A45,A45)</f>
      </c>
    </row>
    <row r="46">
      <c r="A46" t="s">
        <v>194</v>
      </c>
      <c r="B46" s="102" t="n">
        <v>2043</v>
      </c>
      <c r="C46" s="103" t="str">
        <f>SUMIFS('Annual_Cost'!$Q$2:$Q$807,'Annual_Cost'!$A$2:$A$807,A46,'Annual_Cost'!$B$2:$B$807,B46)</f>
      </c>
      <c r="D46" s="104" t="str">
        <f>SUMIFS('Annual_Cost'!$R$2:$R$807,'Annual_Cost'!$A$2:$A$807,A46,'Annual_Cost'!$B$2:$B$807,B46)</f>
      </c>
      <c r="E46" s="105" t="str">
        <f>SUMIFS('Annual_Cost'!$S$2:$S$807,'Annual_Cost'!$A$2:$A$807,A46,'Annual_Cost'!$B$2:$B$807,B46)</f>
      </c>
      <c r="F46" s="106" t="str">
        <f>SUMIFS('Annual_Cost'!$W$2:$W$807,'Annual_Cost'!$A$2:$A$807,A46,'Annual_Cost'!$B$2:$B$807,B46)</f>
      </c>
      <c r="G46" s="107" t="str">
        <f>SUMIFS($E$2:E46,$A$2:A46,A46)</f>
      </c>
      <c r="H46" s="108" t="str">
        <f>SUMIFS($F$2:F46,$A$2:A46,A46)</f>
      </c>
    </row>
    <row r="47">
      <c r="A47" t="s">
        <v>194</v>
      </c>
      <c r="B47" s="102" t="n">
        <v>2044</v>
      </c>
      <c r="C47" s="103" t="str">
        <f>SUMIFS('Annual_Cost'!$Q$2:$Q$807,'Annual_Cost'!$A$2:$A$807,A47,'Annual_Cost'!$B$2:$B$807,B47)</f>
      </c>
      <c r="D47" s="104" t="str">
        <f>SUMIFS('Annual_Cost'!$R$2:$R$807,'Annual_Cost'!$A$2:$A$807,A47,'Annual_Cost'!$B$2:$B$807,B47)</f>
      </c>
      <c r="E47" s="105" t="str">
        <f>SUMIFS('Annual_Cost'!$S$2:$S$807,'Annual_Cost'!$A$2:$A$807,A47,'Annual_Cost'!$B$2:$B$807,B47)</f>
      </c>
      <c r="F47" s="106" t="str">
        <f>SUMIFS('Annual_Cost'!$W$2:$W$807,'Annual_Cost'!$A$2:$A$807,A47,'Annual_Cost'!$B$2:$B$807,B47)</f>
      </c>
      <c r="G47" s="107" t="str">
        <f>SUMIFS($E$2:E47,$A$2:A47,A47)</f>
      </c>
      <c r="H47" s="108" t="str">
        <f>SUMIFS($F$2:F47,$A$2:A47,A47)</f>
      </c>
    </row>
    <row r="48">
      <c r="A48" t="s">
        <v>194</v>
      </c>
      <c r="B48" s="102" t="n">
        <v>2045</v>
      </c>
      <c r="C48" s="103" t="str">
        <f>SUMIFS('Annual_Cost'!$Q$2:$Q$807,'Annual_Cost'!$A$2:$A$807,A48,'Annual_Cost'!$B$2:$B$807,B48)</f>
      </c>
      <c r="D48" s="104" t="str">
        <f>SUMIFS('Annual_Cost'!$R$2:$R$807,'Annual_Cost'!$A$2:$A$807,A48,'Annual_Cost'!$B$2:$B$807,B48)</f>
      </c>
      <c r="E48" s="105" t="str">
        <f>SUMIFS('Annual_Cost'!$S$2:$S$807,'Annual_Cost'!$A$2:$A$807,A48,'Annual_Cost'!$B$2:$B$807,B48)</f>
      </c>
      <c r="F48" s="106" t="str">
        <f>SUMIFS('Annual_Cost'!$W$2:$W$807,'Annual_Cost'!$A$2:$A$807,A48,'Annual_Cost'!$B$2:$B$807,B48)</f>
      </c>
      <c r="G48" s="107" t="str">
        <f>SUMIFS($E$2:E48,$A$2:A48,A48)</f>
      </c>
      <c r="H48" s="108" t="str">
        <f>SUMIFS($F$2:F48,$A$2:A48,A48)</f>
      </c>
    </row>
    <row r="49">
      <c r="A49" t="s">
        <v>194</v>
      </c>
      <c r="B49" s="102" t="n">
        <v>2046</v>
      </c>
      <c r="C49" s="103" t="str">
        <f>SUMIFS('Annual_Cost'!$Q$2:$Q$807,'Annual_Cost'!$A$2:$A$807,A49,'Annual_Cost'!$B$2:$B$807,B49)</f>
      </c>
      <c r="D49" s="104" t="str">
        <f>SUMIFS('Annual_Cost'!$R$2:$R$807,'Annual_Cost'!$A$2:$A$807,A49,'Annual_Cost'!$B$2:$B$807,B49)</f>
      </c>
      <c r="E49" s="105" t="str">
        <f>SUMIFS('Annual_Cost'!$S$2:$S$807,'Annual_Cost'!$A$2:$A$807,A49,'Annual_Cost'!$B$2:$B$807,B49)</f>
      </c>
      <c r="F49" s="106" t="str">
        <f>SUMIFS('Annual_Cost'!$W$2:$W$807,'Annual_Cost'!$A$2:$A$807,A49,'Annual_Cost'!$B$2:$B$807,B49)</f>
      </c>
      <c r="G49" s="107" t="str">
        <f>SUMIFS($E$2:E49,$A$2:A49,A49)</f>
      </c>
      <c r="H49" s="108" t="str">
        <f>SUMIFS($F$2:F49,$A$2:A49,A49)</f>
      </c>
    </row>
    <row r="50">
      <c r="A50" t="s">
        <v>194</v>
      </c>
      <c r="B50" s="102" t="n">
        <v>2047</v>
      </c>
      <c r="C50" s="103" t="str">
        <f>SUMIFS('Annual_Cost'!$Q$2:$Q$807,'Annual_Cost'!$A$2:$A$807,A50,'Annual_Cost'!$B$2:$B$807,B50)</f>
      </c>
      <c r="D50" s="104" t="str">
        <f>SUMIFS('Annual_Cost'!$R$2:$R$807,'Annual_Cost'!$A$2:$A$807,A50,'Annual_Cost'!$B$2:$B$807,B50)</f>
      </c>
      <c r="E50" s="105" t="str">
        <f>SUMIFS('Annual_Cost'!$S$2:$S$807,'Annual_Cost'!$A$2:$A$807,A50,'Annual_Cost'!$B$2:$B$807,B50)</f>
      </c>
      <c r="F50" s="106" t="str">
        <f>SUMIFS('Annual_Cost'!$W$2:$W$807,'Annual_Cost'!$A$2:$A$807,A50,'Annual_Cost'!$B$2:$B$807,B50)</f>
      </c>
      <c r="G50" s="107" t="str">
        <f>SUMIFS($E$2:E50,$A$2:A50,A50)</f>
      </c>
      <c r="H50" s="108" t="str">
        <f>SUMIFS($F$2:F50,$A$2:A50,A50)</f>
      </c>
    </row>
    <row r="51">
      <c r="A51" t="s">
        <v>194</v>
      </c>
      <c r="B51" s="102" t="n">
        <v>2048</v>
      </c>
      <c r="C51" s="103" t="str">
        <f>SUMIFS('Annual_Cost'!$Q$2:$Q$807,'Annual_Cost'!$A$2:$A$807,A51,'Annual_Cost'!$B$2:$B$807,B51)</f>
      </c>
      <c r="D51" s="104" t="str">
        <f>SUMIFS('Annual_Cost'!$R$2:$R$807,'Annual_Cost'!$A$2:$A$807,A51,'Annual_Cost'!$B$2:$B$807,B51)</f>
      </c>
      <c r="E51" s="105" t="str">
        <f>SUMIFS('Annual_Cost'!$S$2:$S$807,'Annual_Cost'!$A$2:$A$807,A51,'Annual_Cost'!$B$2:$B$807,B51)</f>
      </c>
      <c r="F51" s="106" t="str">
        <f>SUMIFS('Annual_Cost'!$W$2:$W$807,'Annual_Cost'!$A$2:$A$807,A51,'Annual_Cost'!$B$2:$B$807,B51)</f>
      </c>
      <c r="G51" s="107" t="str">
        <f>SUMIFS($E$2:E51,$A$2:A51,A51)</f>
      </c>
      <c r="H51" s="108" t="str">
        <f>SUMIFS($F$2:F51,$A$2:A51,A51)</f>
      </c>
    </row>
    <row r="52">
      <c r="A52" t="s">
        <v>194</v>
      </c>
      <c r="B52" s="102" t="n">
        <v>2049</v>
      </c>
      <c r="C52" s="103" t="str">
        <f>SUMIFS('Annual_Cost'!$Q$2:$Q$807,'Annual_Cost'!$A$2:$A$807,A52,'Annual_Cost'!$B$2:$B$807,B52)</f>
      </c>
      <c r="D52" s="104" t="str">
        <f>SUMIFS('Annual_Cost'!$R$2:$R$807,'Annual_Cost'!$A$2:$A$807,A52,'Annual_Cost'!$B$2:$B$807,B52)</f>
      </c>
      <c r="E52" s="105" t="str">
        <f>SUMIFS('Annual_Cost'!$S$2:$S$807,'Annual_Cost'!$A$2:$A$807,A52,'Annual_Cost'!$B$2:$B$807,B52)</f>
      </c>
      <c r="F52" s="106" t="str">
        <f>SUMIFS('Annual_Cost'!$W$2:$W$807,'Annual_Cost'!$A$2:$A$807,A52,'Annual_Cost'!$B$2:$B$807,B52)</f>
      </c>
      <c r="G52" s="107" t="str">
        <f>SUMIFS($E$2:E52,$A$2:A52,A52)</f>
      </c>
      <c r="H52" s="108" t="str">
        <f>SUMIFS($F$2:F52,$A$2:A52,A52)</f>
      </c>
    </row>
    <row r="53">
      <c r="A53" t="s">
        <v>194</v>
      </c>
      <c r="B53" s="102" t="n">
        <v>2050</v>
      </c>
      <c r="C53" s="103" t="str">
        <f>SUMIFS('Annual_Cost'!$Q$2:$Q$807,'Annual_Cost'!$A$2:$A$807,A53,'Annual_Cost'!$B$2:$B$807,B53)</f>
      </c>
      <c r="D53" s="104" t="str">
        <f>SUMIFS('Annual_Cost'!$R$2:$R$807,'Annual_Cost'!$A$2:$A$807,A53,'Annual_Cost'!$B$2:$B$807,B53)</f>
      </c>
      <c r="E53" s="105" t="str">
        <f>SUMIFS('Annual_Cost'!$S$2:$S$807,'Annual_Cost'!$A$2:$A$807,A53,'Annual_Cost'!$B$2:$B$807,B53)</f>
      </c>
      <c r="F53" s="106" t="str">
        <f>SUMIFS('Annual_Cost'!$W$2:$W$807,'Annual_Cost'!$A$2:$A$807,A53,'Annual_Cost'!$B$2:$B$807,B53)</f>
      </c>
      <c r="G53" s="107" t="str">
        <f>SUMIFS($E$2:E53,$A$2:A53,A53)</f>
      </c>
      <c r="H53" s="108" t="str">
        <f>SUMIFS($F$2:F53,$A$2:A53,A53)</f>
      </c>
    </row>
    <row r="54">
      <c r="A54" t="s">
        <v>202</v>
      </c>
      <c r="B54" s="102" t="n">
        <v>2025</v>
      </c>
      <c r="C54" s="103" t="str">
        <f>SUMIFS('Annual_Cost'!$Q$2:$Q$807,'Annual_Cost'!$A$2:$A$807,A54,'Annual_Cost'!$B$2:$B$807,B54)</f>
      </c>
      <c r="D54" s="104" t="str">
        <f>SUMIFS('Annual_Cost'!$R$2:$R$807,'Annual_Cost'!$A$2:$A$807,A54,'Annual_Cost'!$B$2:$B$807,B54)</f>
      </c>
      <c r="E54" s="105" t="str">
        <f>SUMIFS('Annual_Cost'!$S$2:$S$807,'Annual_Cost'!$A$2:$A$807,A54,'Annual_Cost'!$B$2:$B$807,B54)</f>
      </c>
      <c r="F54" s="106" t="str">
        <f>SUMIFS('Annual_Cost'!$W$2:$W$807,'Annual_Cost'!$A$2:$A$807,A54,'Annual_Cost'!$B$2:$B$807,B54)</f>
      </c>
      <c r="G54" s="107" t="str">
        <f>SUMIFS($E$2:E54,$A$2:A54,A54)</f>
      </c>
      <c r="H54" s="108" t="str">
        <f>SUMIFS($F$2:F54,$A$2:A54,A54)</f>
      </c>
    </row>
    <row r="55">
      <c r="A55" t="s">
        <v>202</v>
      </c>
      <c r="B55" s="102" t="n">
        <v>2026</v>
      </c>
      <c r="C55" s="103" t="str">
        <f>SUMIFS('Annual_Cost'!$Q$2:$Q$807,'Annual_Cost'!$A$2:$A$807,A55,'Annual_Cost'!$B$2:$B$807,B55)</f>
      </c>
      <c r="D55" s="104" t="str">
        <f>SUMIFS('Annual_Cost'!$R$2:$R$807,'Annual_Cost'!$A$2:$A$807,A55,'Annual_Cost'!$B$2:$B$807,B55)</f>
      </c>
      <c r="E55" s="105" t="str">
        <f>SUMIFS('Annual_Cost'!$S$2:$S$807,'Annual_Cost'!$A$2:$A$807,A55,'Annual_Cost'!$B$2:$B$807,B55)</f>
      </c>
      <c r="F55" s="106" t="str">
        <f>SUMIFS('Annual_Cost'!$W$2:$W$807,'Annual_Cost'!$A$2:$A$807,A55,'Annual_Cost'!$B$2:$B$807,B55)</f>
      </c>
      <c r="G55" s="107" t="str">
        <f>SUMIFS($E$2:E55,$A$2:A55,A55)</f>
      </c>
      <c r="H55" s="108" t="str">
        <f>SUMIFS($F$2:F55,$A$2:A55,A55)</f>
      </c>
    </row>
    <row r="56">
      <c r="A56" t="s">
        <v>202</v>
      </c>
      <c r="B56" s="102" t="n">
        <v>2027</v>
      </c>
      <c r="C56" s="103" t="str">
        <f>SUMIFS('Annual_Cost'!$Q$2:$Q$807,'Annual_Cost'!$A$2:$A$807,A56,'Annual_Cost'!$B$2:$B$807,B56)</f>
      </c>
      <c r="D56" s="104" t="str">
        <f>SUMIFS('Annual_Cost'!$R$2:$R$807,'Annual_Cost'!$A$2:$A$807,A56,'Annual_Cost'!$B$2:$B$807,B56)</f>
      </c>
      <c r="E56" s="105" t="str">
        <f>SUMIFS('Annual_Cost'!$S$2:$S$807,'Annual_Cost'!$A$2:$A$807,A56,'Annual_Cost'!$B$2:$B$807,B56)</f>
      </c>
      <c r="F56" s="106" t="str">
        <f>SUMIFS('Annual_Cost'!$W$2:$W$807,'Annual_Cost'!$A$2:$A$807,A56,'Annual_Cost'!$B$2:$B$807,B56)</f>
      </c>
      <c r="G56" s="107" t="str">
        <f>SUMIFS($E$2:E56,$A$2:A56,A56)</f>
      </c>
      <c r="H56" s="108" t="str">
        <f>SUMIFS($F$2:F56,$A$2:A56,A56)</f>
      </c>
    </row>
    <row r="57">
      <c r="A57" t="s">
        <v>202</v>
      </c>
      <c r="B57" s="102" t="n">
        <v>2028</v>
      </c>
      <c r="C57" s="103" t="str">
        <f>SUMIFS('Annual_Cost'!$Q$2:$Q$807,'Annual_Cost'!$A$2:$A$807,A57,'Annual_Cost'!$B$2:$B$807,B57)</f>
      </c>
      <c r="D57" s="104" t="str">
        <f>SUMIFS('Annual_Cost'!$R$2:$R$807,'Annual_Cost'!$A$2:$A$807,A57,'Annual_Cost'!$B$2:$B$807,B57)</f>
      </c>
      <c r="E57" s="105" t="str">
        <f>SUMIFS('Annual_Cost'!$S$2:$S$807,'Annual_Cost'!$A$2:$A$807,A57,'Annual_Cost'!$B$2:$B$807,B57)</f>
      </c>
      <c r="F57" s="106" t="str">
        <f>SUMIFS('Annual_Cost'!$W$2:$W$807,'Annual_Cost'!$A$2:$A$807,A57,'Annual_Cost'!$B$2:$B$807,B57)</f>
      </c>
      <c r="G57" s="107" t="str">
        <f>SUMIFS($E$2:E57,$A$2:A57,A57)</f>
      </c>
      <c r="H57" s="108" t="str">
        <f>SUMIFS($F$2:F57,$A$2:A57,A57)</f>
      </c>
    </row>
    <row r="58">
      <c r="A58" t="s">
        <v>202</v>
      </c>
      <c r="B58" s="102" t="n">
        <v>2029</v>
      </c>
      <c r="C58" s="103" t="str">
        <f>SUMIFS('Annual_Cost'!$Q$2:$Q$807,'Annual_Cost'!$A$2:$A$807,A58,'Annual_Cost'!$B$2:$B$807,B58)</f>
      </c>
      <c r="D58" s="104" t="str">
        <f>SUMIFS('Annual_Cost'!$R$2:$R$807,'Annual_Cost'!$A$2:$A$807,A58,'Annual_Cost'!$B$2:$B$807,B58)</f>
      </c>
      <c r="E58" s="105" t="str">
        <f>SUMIFS('Annual_Cost'!$S$2:$S$807,'Annual_Cost'!$A$2:$A$807,A58,'Annual_Cost'!$B$2:$B$807,B58)</f>
      </c>
      <c r="F58" s="106" t="str">
        <f>SUMIFS('Annual_Cost'!$W$2:$W$807,'Annual_Cost'!$A$2:$A$807,A58,'Annual_Cost'!$B$2:$B$807,B58)</f>
      </c>
      <c r="G58" s="107" t="str">
        <f>SUMIFS($E$2:E58,$A$2:A58,A58)</f>
      </c>
      <c r="H58" s="108" t="str">
        <f>SUMIFS($F$2:F58,$A$2:A58,A58)</f>
      </c>
    </row>
    <row r="59">
      <c r="A59" t="s">
        <v>202</v>
      </c>
      <c r="B59" s="102" t="n">
        <v>2030</v>
      </c>
      <c r="C59" s="103" t="str">
        <f>SUMIFS('Annual_Cost'!$Q$2:$Q$807,'Annual_Cost'!$A$2:$A$807,A59,'Annual_Cost'!$B$2:$B$807,B59)</f>
      </c>
      <c r="D59" s="104" t="str">
        <f>SUMIFS('Annual_Cost'!$R$2:$R$807,'Annual_Cost'!$A$2:$A$807,A59,'Annual_Cost'!$B$2:$B$807,B59)</f>
      </c>
      <c r="E59" s="105" t="str">
        <f>SUMIFS('Annual_Cost'!$S$2:$S$807,'Annual_Cost'!$A$2:$A$807,A59,'Annual_Cost'!$B$2:$B$807,B59)</f>
      </c>
      <c r="F59" s="106" t="str">
        <f>SUMIFS('Annual_Cost'!$W$2:$W$807,'Annual_Cost'!$A$2:$A$807,A59,'Annual_Cost'!$B$2:$B$807,B59)</f>
      </c>
      <c r="G59" s="107" t="str">
        <f>SUMIFS($E$2:E59,$A$2:A59,A59)</f>
      </c>
      <c r="H59" s="108" t="str">
        <f>SUMIFS($F$2:F59,$A$2:A59,A59)</f>
      </c>
    </row>
    <row r="60">
      <c r="A60" t="s">
        <v>202</v>
      </c>
      <c r="B60" s="102" t="n">
        <v>2031</v>
      </c>
      <c r="C60" s="103" t="str">
        <f>SUMIFS('Annual_Cost'!$Q$2:$Q$807,'Annual_Cost'!$A$2:$A$807,A60,'Annual_Cost'!$B$2:$B$807,B60)</f>
      </c>
      <c r="D60" s="104" t="str">
        <f>SUMIFS('Annual_Cost'!$R$2:$R$807,'Annual_Cost'!$A$2:$A$807,A60,'Annual_Cost'!$B$2:$B$807,B60)</f>
      </c>
      <c r="E60" s="105" t="str">
        <f>SUMIFS('Annual_Cost'!$S$2:$S$807,'Annual_Cost'!$A$2:$A$807,A60,'Annual_Cost'!$B$2:$B$807,B60)</f>
      </c>
      <c r="F60" s="106" t="str">
        <f>SUMIFS('Annual_Cost'!$W$2:$W$807,'Annual_Cost'!$A$2:$A$807,A60,'Annual_Cost'!$B$2:$B$807,B60)</f>
      </c>
      <c r="G60" s="107" t="str">
        <f>SUMIFS($E$2:E60,$A$2:A60,A60)</f>
      </c>
      <c r="H60" s="108" t="str">
        <f>SUMIFS($F$2:F60,$A$2:A60,A60)</f>
      </c>
    </row>
    <row r="61">
      <c r="A61" t="s">
        <v>202</v>
      </c>
      <c r="B61" s="102" t="n">
        <v>2032</v>
      </c>
      <c r="C61" s="103" t="str">
        <f>SUMIFS('Annual_Cost'!$Q$2:$Q$807,'Annual_Cost'!$A$2:$A$807,A61,'Annual_Cost'!$B$2:$B$807,B61)</f>
      </c>
      <c r="D61" s="104" t="str">
        <f>SUMIFS('Annual_Cost'!$R$2:$R$807,'Annual_Cost'!$A$2:$A$807,A61,'Annual_Cost'!$B$2:$B$807,B61)</f>
      </c>
      <c r="E61" s="105" t="str">
        <f>SUMIFS('Annual_Cost'!$S$2:$S$807,'Annual_Cost'!$A$2:$A$807,A61,'Annual_Cost'!$B$2:$B$807,B61)</f>
      </c>
      <c r="F61" s="106" t="str">
        <f>SUMIFS('Annual_Cost'!$W$2:$W$807,'Annual_Cost'!$A$2:$A$807,A61,'Annual_Cost'!$B$2:$B$807,B61)</f>
      </c>
      <c r="G61" s="107" t="str">
        <f>SUMIFS($E$2:E61,$A$2:A61,A61)</f>
      </c>
      <c r="H61" s="108" t="str">
        <f>SUMIFS($F$2:F61,$A$2:A61,A61)</f>
      </c>
    </row>
    <row r="62">
      <c r="A62" t="s">
        <v>202</v>
      </c>
      <c r="B62" s="102" t="n">
        <v>2033</v>
      </c>
      <c r="C62" s="103" t="str">
        <f>SUMIFS('Annual_Cost'!$Q$2:$Q$807,'Annual_Cost'!$A$2:$A$807,A62,'Annual_Cost'!$B$2:$B$807,B62)</f>
      </c>
      <c r="D62" s="104" t="str">
        <f>SUMIFS('Annual_Cost'!$R$2:$R$807,'Annual_Cost'!$A$2:$A$807,A62,'Annual_Cost'!$B$2:$B$807,B62)</f>
      </c>
      <c r="E62" s="105" t="str">
        <f>SUMIFS('Annual_Cost'!$S$2:$S$807,'Annual_Cost'!$A$2:$A$807,A62,'Annual_Cost'!$B$2:$B$807,B62)</f>
      </c>
      <c r="F62" s="106" t="str">
        <f>SUMIFS('Annual_Cost'!$W$2:$W$807,'Annual_Cost'!$A$2:$A$807,A62,'Annual_Cost'!$B$2:$B$807,B62)</f>
      </c>
      <c r="G62" s="107" t="str">
        <f>SUMIFS($E$2:E62,$A$2:A62,A62)</f>
      </c>
      <c r="H62" s="108" t="str">
        <f>SUMIFS($F$2:F62,$A$2:A62,A62)</f>
      </c>
    </row>
    <row r="63">
      <c r="A63" t="s">
        <v>202</v>
      </c>
      <c r="B63" s="102" t="n">
        <v>2034</v>
      </c>
      <c r="C63" s="103" t="str">
        <f>SUMIFS('Annual_Cost'!$Q$2:$Q$807,'Annual_Cost'!$A$2:$A$807,A63,'Annual_Cost'!$B$2:$B$807,B63)</f>
      </c>
      <c r="D63" s="104" t="str">
        <f>SUMIFS('Annual_Cost'!$R$2:$R$807,'Annual_Cost'!$A$2:$A$807,A63,'Annual_Cost'!$B$2:$B$807,B63)</f>
      </c>
      <c r="E63" s="105" t="str">
        <f>SUMIFS('Annual_Cost'!$S$2:$S$807,'Annual_Cost'!$A$2:$A$807,A63,'Annual_Cost'!$B$2:$B$807,B63)</f>
      </c>
      <c r="F63" s="106" t="str">
        <f>SUMIFS('Annual_Cost'!$W$2:$W$807,'Annual_Cost'!$A$2:$A$807,A63,'Annual_Cost'!$B$2:$B$807,B63)</f>
      </c>
      <c r="G63" s="107" t="str">
        <f>SUMIFS($E$2:E63,$A$2:A63,A63)</f>
      </c>
      <c r="H63" s="108" t="str">
        <f>SUMIFS($F$2:F63,$A$2:A63,A63)</f>
      </c>
    </row>
    <row r="64">
      <c r="A64" t="s">
        <v>202</v>
      </c>
      <c r="B64" s="102" t="n">
        <v>2035</v>
      </c>
      <c r="C64" s="103" t="str">
        <f>SUMIFS('Annual_Cost'!$Q$2:$Q$807,'Annual_Cost'!$A$2:$A$807,A64,'Annual_Cost'!$B$2:$B$807,B64)</f>
      </c>
      <c r="D64" s="104" t="str">
        <f>SUMIFS('Annual_Cost'!$R$2:$R$807,'Annual_Cost'!$A$2:$A$807,A64,'Annual_Cost'!$B$2:$B$807,B64)</f>
      </c>
      <c r="E64" s="105" t="str">
        <f>SUMIFS('Annual_Cost'!$S$2:$S$807,'Annual_Cost'!$A$2:$A$807,A64,'Annual_Cost'!$B$2:$B$807,B64)</f>
      </c>
      <c r="F64" s="106" t="str">
        <f>SUMIFS('Annual_Cost'!$W$2:$W$807,'Annual_Cost'!$A$2:$A$807,A64,'Annual_Cost'!$B$2:$B$807,B64)</f>
      </c>
      <c r="G64" s="107" t="str">
        <f>SUMIFS($E$2:E64,$A$2:A64,A64)</f>
      </c>
      <c r="H64" s="108" t="str">
        <f>SUMIFS($F$2:F64,$A$2:A64,A64)</f>
      </c>
    </row>
    <row r="65">
      <c r="A65" t="s">
        <v>202</v>
      </c>
      <c r="B65" s="102" t="n">
        <v>2036</v>
      </c>
      <c r="C65" s="103" t="str">
        <f>SUMIFS('Annual_Cost'!$Q$2:$Q$807,'Annual_Cost'!$A$2:$A$807,A65,'Annual_Cost'!$B$2:$B$807,B65)</f>
      </c>
      <c r="D65" s="104" t="str">
        <f>SUMIFS('Annual_Cost'!$R$2:$R$807,'Annual_Cost'!$A$2:$A$807,A65,'Annual_Cost'!$B$2:$B$807,B65)</f>
      </c>
      <c r="E65" s="105" t="str">
        <f>SUMIFS('Annual_Cost'!$S$2:$S$807,'Annual_Cost'!$A$2:$A$807,A65,'Annual_Cost'!$B$2:$B$807,B65)</f>
      </c>
      <c r="F65" s="106" t="str">
        <f>SUMIFS('Annual_Cost'!$W$2:$W$807,'Annual_Cost'!$A$2:$A$807,A65,'Annual_Cost'!$B$2:$B$807,B65)</f>
      </c>
      <c r="G65" s="107" t="str">
        <f>SUMIFS($E$2:E65,$A$2:A65,A65)</f>
      </c>
      <c r="H65" s="108" t="str">
        <f>SUMIFS($F$2:F65,$A$2:A65,A65)</f>
      </c>
    </row>
    <row r="66">
      <c r="A66" t="s">
        <v>202</v>
      </c>
      <c r="B66" s="102" t="n">
        <v>2037</v>
      </c>
      <c r="C66" s="103" t="str">
        <f>SUMIFS('Annual_Cost'!$Q$2:$Q$807,'Annual_Cost'!$A$2:$A$807,A66,'Annual_Cost'!$B$2:$B$807,B66)</f>
      </c>
      <c r="D66" s="104" t="str">
        <f>SUMIFS('Annual_Cost'!$R$2:$R$807,'Annual_Cost'!$A$2:$A$807,A66,'Annual_Cost'!$B$2:$B$807,B66)</f>
      </c>
      <c r="E66" s="105" t="str">
        <f>SUMIFS('Annual_Cost'!$S$2:$S$807,'Annual_Cost'!$A$2:$A$807,A66,'Annual_Cost'!$B$2:$B$807,B66)</f>
      </c>
      <c r="F66" s="106" t="str">
        <f>SUMIFS('Annual_Cost'!$W$2:$W$807,'Annual_Cost'!$A$2:$A$807,A66,'Annual_Cost'!$B$2:$B$807,B66)</f>
      </c>
      <c r="G66" s="107" t="str">
        <f>SUMIFS($E$2:E66,$A$2:A66,A66)</f>
      </c>
      <c r="H66" s="108" t="str">
        <f>SUMIFS($F$2:F66,$A$2:A66,A66)</f>
      </c>
    </row>
    <row r="67">
      <c r="A67" t="s">
        <v>202</v>
      </c>
      <c r="B67" s="102" t="n">
        <v>2038</v>
      </c>
      <c r="C67" s="103" t="str">
        <f>SUMIFS('Annual_Cost'!$Q$2:$Q$807,'Annual_Cost'!$A$2:$A$807,A67,'Annual_Cost'!$B$2:$B$807,B67)</f>
      </c>
      <c r="D67" s="104" t="str">
        <f>SUMIFS('Annual_Cost'!$R$2:$R$807,'Annual_Cost'!$A$2:$A$807,A67,'Annual_Cost'!$B$2:$B$807,B67)</f>
      </c>
      <c r="E67" s="105" t="str">
        <f>SUMIFS('Annual_Cost'!$S$2:$S$807,'Annual_Cost'!$A$2:$A$807,A67,'Annual_Cost'!$B$2:$B$807,B67)</f>
      </c>
      <c r="F67" s="106" t="str">
        <f>SUMIFS('Annual_Cost'!$W$2:$W$807,'Annual_Cost'!$A$2:$A$807,A67,'Annual_Cost'!$B$2:$B$807,B67)</f>
      </c>
      <c r="G67" s="107" t="str">
        <f>SUMIFS($E$2:E67,$A$2:A67,A67)</f>
      </c>
      <c r="H67" s="108" t="str">
        <f>SUMIFS($F$2:F67,$A$2:A67,A67)</f>
      </c>
    </row>
    <row r="68">
      <c r="A68" t="s">
        <v>202</v>
      </c>
      <c r="B68" s="102" t="n">
        <v>2039</v>
      </c>
      <c r="C68" s="103" t="str">
        <f>SUMIFS('Annual_Cost'!$Q$2:$Q$807,'Annual_Cost'!$A$2:$A$807,A68,'Annual_Cost'!$B$2:$B$807,B68)</f>
      </c>
      <c r="D68" s="104" t="str">
        <f>SUMIFS('Annual_Cost'!$R$2:$R$807,'Annual_Cost'!$A$2:$A$807,A68,'Annual_Cost'!$B$2:$B$807,B68)</f>
      </c>
      <c r="E68" s="105" t="str">
        <f>SUMIFS('Annual_Cost'!$S$2:$S$807,'Annual_Cost'!$A$2:$A$807,A68,'Annual_Cost'!$B$2:$B$807,B68)</f>
      </c>
      <c r="F68" s="106" t="str">
        <f>SUMIFS('Annual_Cost'!$W$2:$W$807,'Annual_Cost'!$A$2:$A$807,A68,'Annual_Cost'!$B$2:$B$807,B68)</f>
      </c>
      <c r="G68" s="107" t="str">
        <f>SUMIFS($E$2:E68,$A$2:A68,A68)</f>
      </c>
      <c r="H68" s="108" t="str">
        <f>SUMIFS($F$2:F68,$A$2:A68,A68)</f>
      </c>
    </row>
    <row r="69">
      <c r="A69" t="s">
        <v>202</v>
      </c>
      <c r="B69" s="102" t="n">
        <v>2040</v>
      </c>
      <c r="C69" s="103" t="str">
        <f>SUMIFS('Annual_Cost'!$Q$2:$Q$807,'Annual_Cost'!$A$2:$A$807,A69,'Annual_Cost'!$B$2:$B$807,B69)</f>
      </c>
      <c r="D69" s="104" t="str">
        <f>SUMIFS('Annual_Cost'!$R$2:$R$807,'Annual_Cost'!$A$2:$A$807,A69,'Annual_Cost'!$B$2:$B$807,B69)</f>
      </c>
      <c r="E69" s="105" t="str">
        <f>SUMIFS('Annual_Cost'!$S$2:$S$807,'Annual_Cost'!$A$2:$A$807,A69,'Annual_Cost'!$B$2:$B$807,B69)</f>
      </c>
      <c r="F69" s="106" t="str">
        <f>SUMIFS('Annual_Cost'!$W$2:$W$807,'Annual_Cost'!$A$2:$A$807,A69,'Annual_Cost'!$B$2:$B$807,B69)</f>
      </c>
      <c r="G69" s="107" t="str">
        <f>SUMIFS($E$2:E69,$A$2:A69,A69)</f>
      </c>
      <c r="H69" s="108" t="str">
        <f>SUMIFS($F$2:F69,$A$2:A69,A69)</f>
      </c>
    </row>
    <row r="70">
      <c r="A70" t="s">
        <v>202</v>
      </c>
      <c r="B70" s="102" t="n">
        <v>2041</v>
      </c>
      <c r="C70" s="103" t="str">
        <f>SUMIFS('Annual_Cost'!$Q$2:$Q$807,'Annual_Cost'!$A$2:$A$807,A70,'Annual_Cost'!$B$2:$B$807,B70)</f>
      </c>
      <c r="D70" s="104" t="str">
        <f>SUMIFS('Annual_Cost'!$R$2:$R$807,'Annual_Cost'!$A$2:$A$807,A70,'Annual_Cost'!$B$2:$B$807,B70)</f>
      </c>
      <c r="E70" s="105" t="str">
        <f>SUMIFS('Annual_Cost'!$S$2:$S$807,'Annual_Cost'!$A$2:$A$807,A70,'Annual_Cost'!$B$2:$B$807,B70)</f>
      </c>
      <c r="F70" s="106" t="str">
        <f>SUMIFS('Annual_Cost'!$W$2:$W$807,'Annual_Cost'!$A$2:$A$807,A70,'Annual_Cost'!$B$2:$B$807,B70)</f>
      </c>
      <c r="G70" s="107" t="str">
        <f>SUMIFS($E$2:E70,$A$2:A70,A70)</f>
      </c>
      <c r="H70" s="108" t="str">
        <f>SUMIFS($F$2:F70,$A$2:A70,A70)</f>
      </c>
    </row>
    <row r="71">
      <c r="A71" t="s">
        <v>202</v>
      </c>
      <c r="B71" s="102" t="n">
        <v>2042</v>
      </c>
      <c r="C71" s="103" t="str">
        <f>SUMIFS('Annual_Cost'!$Q$2:$Q$807,'Annual_Cost'!$A$2:$A$807,A71,'Annual_Cost'!$B$2:$B$807,B71)</f>
      </c>
      <c r="D71" s="104" t="str">
        <f>SUMIFS('Annual_Cost'!$R$2:$R$807,'Annual_Cost'!$A$2:$A$807,A71,'Annual_Cost'!$B$2:$B$807,B71)</f>
      </c>
      <c r="E71" s="105" t="str">
        <f>SUMIFS('Annual_Cost'!$S$2:$S$807,'Annual_Cost'!$A$2:$A$807,A71,'Annual_Cost'!$B$2:$B$807,B71)</f>
      </c>
      <c r="F71" s="106" t="str">
        <f>SUMIFS('Annual_Cost'!$W$2:$W$807,'Annual_Cost'!$A$2:$A$807,A71,'Annual_Cost'!$B$2:$B$807,B71)</f>
      </c>
      <c r="G71" s="107" t="str">
        <f>SUMIFS($E$2:E71,$A$2:A71,A71)</f>
      </c>
      <c r="H71" s="108" t="str">
        <f>SUMIFS($F$2:F71,$A$2:A71,A71)</f>
      </c>
    </row>
    <row r="72">
      <c r="A72" t="s">
        <v>202</v>
      </c>
      <c r="B72" s="102" t="n">
        <v>2043</v>
      </c>
      <c r="C72" s="103" t="str">
        <f>SUMIFS('Annual_Cost'!$Q$2:$Q$807,'Annual_Cost'!$A$2:$A$807,A72,'Annual_Cost'!$B$2:$B$807,B72)</f>
      </c>
      <c r="D72" s="104" t="str">
        <f>SUMIFS('Annual_Cost'!$R$2:$R$807,'Annual_Cost'!$A$2:$A$807,A72,'Annual_Cost'!$B$2:$B$807,B72)</f>
      </c>
      <c r="E72" s="105" t="str">
        <f>SUMIFS('Annual_Cost'!$S$2:$S$807,'Annual_Cost'!$A$2:$A$807,A72,'Annual_Cost'!$B$2:$B$807,B72)</f>
      </c>
      <c r="F72" s="106" t="str">
        <f>SUMIFS('Annual_Cost'!$W$2:$W$807,'Annual_Cost'!$A$2:$A$807,A72,'Annual_Cost'!$B$2:$B$807,B72)</f>
      </c>
      <c r="G72" s="107" t="str">
        <f>SUMIFS($E$2:E72,$A$2:A72,A72)</f>
      </c>
      <c r="H72" s="108" t="str">
        <f>SUMIFS($F$2:F72,$A$2:A72,A72)</f>
      </c>
    </row>
    <row r="73">
      <c r="A73" t="s">
        <v>202</v>
      </c>
      <c r="B73" s="102" t="n">
        <v>2044</v>
      </c>
      <c r="C73" s="103" t="str">
        <f>SUMIFS('Annual_Cost'!$Q$2:$Q$807,'Annual_Cost'!$A$2:$A$807,A73,'Annual_Cost'!$B$2:$B$807,B73)</f>
      </c>
      <c r="D73" s="104" t="str">
        <f>SUMIFS('Annual_Cost'!$R$2:$R$807,'Annual_Cost'!$A$2:$A$807,A73,'Annual_Cost'!$B$2:$B$807,B73)</f>
      </c>
      <c r="E73" s="105" t="str">
        <f>SUMIFS('Annual_Cost'!$S$2:$S$807,'Annual_Cost'!$A$2:$A$807,A73,'Annual_Cost'!$B$2:$B$807,B73)</f>
      </c>
      <c r="F73" s="106" t="str">
        <f>SUMIFS('Annual_Cost'!$W$2:$W$807,'Annual_Cost'!$A$2:$A$807,A73,'Annual_Cost'!$B$2:$B$807,B73)</f>
      </c>
      <c r="G73" s="107" t="str">
        <f>SUMIFS($E$2:E73,$A$2:A73,A73)</f>
      </c>
      <c r="H73" s="108" t="str">
        <f>SUMIFS($F$2:F73,$A$2:A73,A73)</f>
      </c>
    </row>
    <row r="74">
      <c r="A74" t="s">
        <v>202</v>
      </c>
      <c r="B74" s="102" t="n">
        <v>2045</v>
      </c>
      <c r="C74" s="103" t="str">
        <f>SUMIFS('Annual_Cost'!$Q$2:$Q$807,'Annual_Cost'!$A$2:$A$807,A74,'Annual_Cost'!$B$2:$B$807,B74)</f>
      </c>
      <c r="D74" s="104" t="str">
        <f>SUMIFS('Annual_Cost'!$R$2:$R$807,'Annual_Cost'!$A$2:$A$807,A74,'Annual_Cost'!$B$2:$B$807,B74)</f>
      </c>
      <c r="E74" s="105" t="str">
        <f>SUMIFS('Annual_Cost'!$S$2:$S$807,'Annual_Cost'!$A$2:$A$807,A74,'Annual_Cost'!$B$2:$B$807,B74)</f>
      </c>
      <c r="F74" s="106" t="str">
        <f>SUMIFS('Annual_Cost'!$W$2:$W$807,'Annual_Cost'!$A$2:$A$807,A74,'Annual_Cost'!$B$2:$B$807,B74)</f>
      </c>
      <c r="G74" s="107" t="str">
        <f>SUMIFS($E$2:E74,$A$2:A74,A74)</f>
      </c>
      <c r="H74" s="108" t="str">
        <f>SUMIFS($F$2:F74,$A$2:A74,A74)</f>
      </c>
    </row>
    <row r="75">
      <c r="A75" t="s">
        <v>202</v>
      </c>
      <c r="B75" s="102" t="n">
        <v>2046</v>
      </c>
      <c r="C75" s="103" t="str">
        <f>SUMIFS('Annual_Cost'!$Q$2:$Q$807,'Annual_Cost'!$A$2:$A$807,A75,'Annual_Cost'!$B$2:$B$807,B75)</f>
      </c>
      <c r="D75" s="104" t="str">
        <f>SUMIFS('Annual_Cost'!$R$2:$R$807,'Annual_Cost'!$A$2:$A$807,A75,'Annual_Cost'!$B$2:$B$807,B75)</f>
      </c>
      <c r="E75" s="105" t="str">
        <f>SUMIFS('Annual_Cost'!$S$2:$S$807,'Annual_Cost'!$A$2:$A$807,A75,'Annual_Cost'!$B$2:$B$807,B75)</f>
      </c>
      <c r="F75" s="106" t="str">
        <f>SUMIFS('Annual_Cost'!$W$2:$W$807,'Annual_Cost'!$A$2:$A$807,A75,'Annual_Cost'!$B$2:$B$807,B75)</f>
      </c>
      <c r="G75" s="107" t="str">
        <f>SUMIFS($E$2:E75,$A$2:A75,A75)</f>
      </c>
      <c r="H75" s="108" t="str">
        <f>SUMIFS($F$2:F75,$A$2:A75,A75)</f>
      </c>
    </row>
    <row r="76">
      <c r="A76" t="s">
        <v>202</v>
      </c>
      <c r="B76" s="102" t="n">
        <v>2047</v>
      </c>
      <c r="C76" s="103" t="str">
        <f>SUMIFS('Annual_Cost'!$Q$2:$Q$807,'Annual_Cost'!$A$2:$A$807,A76,'Annual_Cost'!$B$2:$B$807,B76)</f>
      </c>
      <c r="D76" s="104" t="str">
        <f>SUMIFS('Annual_Cost'!$R$2:$R$807,'Annual_Cost'!$A$2:$A$807,A76,'Annual_Cost'!$B$2:$B$807,B76)</f>
      </c>
      <c r="E76" s="105" t="str">
        <f>SUMIFS('Annual_Cost'!$S$2:$S$807,'Annual_Cost'!$A$2:$A$807,A76,'Annual_Cost'!$B$2:$B$807,B76)</f>
      </c>
      <c r="F76" s="106" t="str">
        <f>SUMIFS('Annual_Cost'!$W$2:$W$807,'Annual_Cost'!$A$2:$A$807,A76,'Annual_Cost'!$B$2:$B$807,B76)</f>
      </c>
      <c r="G76" s="107" t="str">
        <f>SUMIFS($E$2:E76,$A$2:A76,A76)</f>
      </c>
      <c r="H76" s="108" t="str">
        <f>SUMIFS($F$2:F76,$A$2:A76,A76)</f>
      </c>
    </row>
    <row r="77">
      <c r="A77" t="s">
        <v>202</v>
      </c>
      <c r="B77" s="102" t="n">
        <v>2048</v>
      </c>
      <c r="C77" s="103" t="str">
        <f>SUMIFS('Annual_Cost'!$Q$2:$Q$807,'Annual_Cost'!$A$2:$A$807,A77,'Annual_Cost'!$B$2:$B$807,B77)</f>
      </c>
      <c r="D77" s="104" t="str">
        <f>SUMIFS('Annual_Cost'!$R$2:$R$807,'Annual_Cost'!$A$2:$A$807,A77,'Annual_Cost'!$B$2:$B$807,B77)</f>
      </c>
      <c r="E77" s="105" t="str">
        <f>SUMIFS('Annual_Cost'!$S$2:$S$807,'Annual_Cost'!$A$2:$A$807,A77,'Annual_Cost'!$B$2:$B$807,B77)</f>
      </c>
      <c r="F77" s="106" t="str">
        <f>SUMIFS('Annual_Cost'!$W$2:$W$807,'Annual_Cost'!$A$2:$A$807,A77,'Annual_Cost'!$B$2:$B$807,B77)</f>
      </c>
      <c r="G77" s="107" t="str">
        <f>SUMIFS($E$2:E77,$A$2:A77,A77)</f>
      </c>
      <c r="H77" s="108" t="str">
        <f>SUMIFS($F$2:F77,$A$2:A77,A77)</f>
      </c>
    </row>
    <row r="78">
      <c r="A78" t="s">
        <v>202</v>
      </c>
      <c r="B78" s="102" t="n">
        <v>2049</v>
      </c>
      <c r="C78" s="103" t="str">
        <f>SUMIFS('Annual_Cost'!$Q$2:$Q$807,'Annual_Cost'!$A$2:$A$807,A78,'Annual_Cost'!$B$2:$B$807,B78)</f>
      </c>
      <c r="D78" s="104" t="str">
        <f>SUMIFS('Annual_Cost'!$R$2:$R$807,'Annual_Cost'!$A$2:$A$807,A78,'Annual_Cost'!$B$2:$B$807,B78)</f>
      </c>
      <c r="E78" s="105" t="str">
        <f>SUMIFS('Annual_Cost'!$S$2:$S$807,'Annual_Cost'!$A$2:$A$807,A78,'Annual_Cost'!$B$2:$B$807,B78)</f>
      </c>
      <c r="F78" s="106" t="str">
        <f>SUMIFS('Annual_Cost'!$W$2:$W$807,'Annual_Cost'!$A$2:$A$807,A78,'Annual_Cost'!$B$2:$B$807,B78)</f>
      </c>
      <c r="G78" s="107" t="str">
        <f>SUMIFS($E$2:E78,$A$2:A78,A78)</f>
      </c>
      <c r="H78" s="108" t="str">
        <f>SUMIFS($F$2:F78,$A$2:A78,A78)</f>
      </c>
    </row>
    <row r="79">
      <c r="A79" t="s">
        <v>202</v>
      </c>
      <c r="B79" s="102" t="n">
        <v>2050</v>
      </c>
      <c r="C79" s="103" t="str">
        <f>SUMIFS('Annual_Cost'!$Q$2:$Q$807,'Annual_Cost'!$A$2:$A$807,A79,'Annual_Cost'!$B$2:$B$807,B79)</f>
      </c>
      <c r="D79" s="104" t="str">
        <f>SUMIFS('Annual_Cost'!$R$2:$R$807,'Annual_Cost'!$A$2:$A$807,A79,'Annual_Cost'!$B$2:$B$807,B79)</f>
      </c>
      <c r="E79" s="105" t="str">
        <f>SUMIFS('Annual_Cost'!$S$2:$S$807,'Annual_Cost'!$A$2:$A$807,A79,'Annual_Cost'!$B$2:$B$807,B79)</f>
      </c>
      <c r="F79" s="106" t="str">
        <f>SUMIFS('Annual_Cost'!$W$2:$W$807,'Annual_Cost'!$A$2:$A$807,A79,'Annual_Cost'!$B$2:$B$807,B79)</f>
      </c>
      <c r="G79" s="107" t="str">
        <f>SUMIFS($E$2:E79,$A$2:A79,A79)</f>
      </c>
      <c r="H79" s="108" t="str">
        <f>SUMIFS($F$2:F79,$A$2:A79,A79)</f>
      </c>
    </row>
    <row r="80">
      <c r="A80" t="s">
        <v>212</v>
      </c>
      <c r="B80" s="102" t="n">
        <v>2025</v>
      </c>
      <c r="C80" s="103" t="str">
        <f>SUMIFS('Annual_Cost'!$Q$2:$Q$807,'Annual_Cost'!$A$2:$A$807,A80,'Annual_Cost'!$B$2:$B$807,B80)</f>
      </c>
      <c r="D80" s="104" t="str">
        <f>SUMIFS('Annual_Cost'!$R$2:$R$807,'Annual_Cost'!$A$2:$A$807,A80,'Annual_Cost'!$B$2:$B$807,B80)</f>
      </c>
      <c r="E80" s="105" t="str">
        <f>SUMIFS('Annual_Cost'!$S$2:$S$807,'Annual_Cost'!$A$2:$A$807,A80,'Annual_Cost'!$B$2:$B$807,B80)</f>
      </c>
      <c r="F80" s="106" t="str">
        <f>SUMIFS('Annual_Cost'!$W$2:$W$807,'Annual_Cost'!$A$2:$A$807,A80,'Annual_Cost'!$B$2:$B$807,B80)</f>
      </c>
      <c r="G80" s="107" t="str">
        <f>SUMIFS($E$2:E80,$A$2:A80,A80)</f>
      </c>
      <c r="H80" s="108" t="str">
        <f>SUMIFS($F$2:F80,$A$2:A80,A80)</f>
      </c>
    </row>
    <row r="81">
      <c r="A81" t="s">
        <v>212</v>
      </c>
      <c r="B81" s="102" t="n">
        <v>2026</v>
      </c>
      <c r="C81" s="103" t="str">
        <f>SUMIFS('Annual_Cost'!$Q$2:$Q$807,'Annual_Cost'!$A$2:$A$807,A81,'Annual_Cost'!$B$2:$B$807,B81)</f>
      </c>
      <c r="D81" s="104" t="str">
        <f>SUMIFS('Annual_Cost'!$R$2:$R$807,'Annual_Cost'!$A$2:$A$807,A81,'Annual_Cost'!$B$2:$B$807,B81)</f>
      </c>
      <c r="E81" s="105" t="str">
        <f>SUMIFS('Annual_Cost'!$S$2:$S$807,'Annual_Cost'!$A$2:$A$807,A81,'Annual_Cost'!$B$2:$B$807,B81)</f>
      </c>
      <c r="F81" s="106" t="str">
        <f>SUMIFS('Annual_Cost'!$W$2:$W$807,'Annual_Cost'!$A$2:$A$807,A81,'Annual_Cost'!$B$2:$B$807,B81)</f>
      </c>
      <c r="G81" s="107" t="str">
        <f>SUMIFS($E$2:E81,$A$2:A81,A81)</f>
      </c>
      <c r="H81" s="108" t="str">
        <f>SUMIFS($F$2:F81,$A$2:A81,A81)</f>
      </c>
    </row>
    <row r="82">
      <c r="A82" t="s">
        <v>212</v>
      </c>
      <c r="B82" s="102" t="n">
        <v>2027</v>
      </c>
      <c r="C82" s="103" t="str">
        <f>SUMIFS('Annual_Cost'!$Q$2:$Q$807,'Annual_Cost'!$A$2:$A$807,A82,'Annual_Cost'!$B$2:$B$807,B82)</f>
      </c>
      <c r="D82" s="104" t="str">
        <f>SUMIFS('Annual_Cost'!$R$2:$R$807,'Annual_Cost'!$A$2:$A$807,A82,'Annual_Cost'!$B$2:$B$807,B82)</f>
      </c>
      <c r="E82" s="105" t="str">
        <f>SUMIFS('Annual_Cost'!$S$2:$S$807,'Annual_Cost'!$A$2:$A$807,A82,'Annual_Cost'!$B$2:$B$807,B82)</f>
      </c>
      <c r="F82" s="106" t="str">
        <f>SUMIFS('Annual_Cost'!$W$2:$W$807,'Annual_Cost'!$A$2:$A$807,A82,'Annual_Cost'!$B$2:$B$807,B82)</f>
      </c>
      <c r="G82" s="107" t="str">
        <f>SUMIFS($E$2:E82,$A$2:A82,A82)</f>
      </c>
      <c r="H82" s="108" t="str">
        <f>SUMIFS($F$2:F82,$A$2:A82,A82)</f>
      </c>
    </row>
    <row r="83">
      <c r="A83" t="s">
        <v>212</v>
      </c>
      <c r="B83" s="102" t="n">
        <v>2028</v>
      </c>
      <c r="C83" s="103" t="str">
        <f>SUMIFS('Annual_Cost'!$Q$2:$Q$807,'Annual_Cost'!$A$2:$A$807,A83,'Annual_Cost'!$B$2:$B$807,B83)</f>
      </c>
      <c r="D83" s="104" t="str">
        <f>SUMIFS('Annual_Cost'!$R$2:$R$807,'Annual_Cost'!$A$2:$A$807,A83,'Annual_Cost'!$B$2:$B$807,B83)</f>
      </c>
      <c r="E83" s="105" t="str">
        <f>SUMIFS('Annual_Cost'!$S$2:$S$807,'Annual_Cost'!$A$2:$A$807,A83,'Annual_Cost'!$B$2:$B$807,B83)</f>
      </c>
      <c r="F83" s="106" t="str">
        <f>SUMIFS('Annual_Cost'!$W$2:$W$807,'Annual_Cost'!$A$2:$A$807,A83,'Annual_Cost'!$B$2:$B$807,B83)</f>
      </c>
      <c r="G83" s="107" t="str">
        <f>SUMIFS($E$2:E83,$A$2:A83,A83)</f>
      </c>
      <c r="H83" s="108" t="str">
        <f>SUMIFS($F$2:F83,$A$2:A83,A83)</f>
      </c>
    </row>
    <row r="84">
      <c r="A84" t="s">
        <v>212</v>
      </c>
      <c r="B84" s="102" t="n">
        <v>2029</v>
      </c>
      <c r="C84" s="103" t="str">
        <f>SUMIFS('Annual_Cost'!$Q$2:$Q$807,'Annual_Cost'!$A$2:$A$807,A84,'Annual_Cost'!$B$2:$B$807,B84)</f>
      </c>
      <c r="D84" s="104" t="str">
        <f>SUMIFS('Annual_Cost'!$R$2:$R$807,'Annual_Cost'!$A$2:$A$807,A84,'Annual_Cost'!$B$2:$B$807,B84)</f>
      </c>
      <c r="E84" s="105" t="str">
        <f>SUMIFS('Annual_Cost'!$S$2:$S$807,'Annual_Cost'!$A$2:$A$807,A84,'Annual_Cost'!$B$2:$B$807,B84)</f>
      </c>
      <c r="F84" s="106" t="str">
        <f>SUMIFS('Annual_Cost'!$W$2:$W$807,'Annual_Cost'!$A$2:$A$807,A84,'Annual_Cost'!$B$2:$B$807,B84)</f>
      </c>
      <c r="G84" s="107" t="str">
        <f>SUMIFS($E$2:E84,$A$2:A84,A84)</f>
      </c>
      <c r="H84" s="108" t="str">
        <f>SUMIFS($F$2:F84,$A$2:A84,A84)</f>
      </c>
    </row>
    <row r="85">
      <c r="A85" t="s">
        <v>212</v>
      </c>
      <c r="B85" s="102" t="n">
        <v>2030</v>
      </c>
      <c r="C85" s="103" t="str">
        <f>SUMIFS('Annual_Cost'!$Q$2:$Q$807,'Annual_Cost'!$A$2:$A$807,A85,'Annual_Cost'!$B$2:$B$807,B85)</f>
      </c>
      <c r="D85" s="104" t="str">
        <f>SUMIFS('Annual_Cost'!$R$2:$R$807,'Annual_Cost'!$A$2:$A$807,A85,'Annual_Cost'!$B$2:$B$807,B85)</f>
      </c>
      <c r="E85" s="105" t="str">
        <f>SUMIFS('Annual_Cost'!$S$2:$S$807,'Annual_Cost'!$A$2:$A$807,A85,'Annual_Cost'!$B$2:$B$807,B85)</f>
      </c>
      <c r="F85" s="106" t="str">
        <f>SUMIFS('Annual_Cost'!$W$2:$W$807,'Annual_Cost'!$A$2:$A$807,A85,'Annual_Cost'!$B$2:$B$807,B85)</f>
      </c>
      <c r="G85" s="107" t="str">
        <f>SUMIFS($E$2:E85,$A$2:A85,A85)</f>
      </c>
      <c r="H85" s="108" t="str">
        <f>SUMIFS($F$2:F85,$A$2:A85,A85)</f>
      </c>
    </row>
    <row r="86">
      <c r="A86" t="s">
        <v>212</v>
      </c>
      <c r="B86" s="102" t="n">
        <v>2031</v>
      </c>
      <c r="C86" s="103" t="str">
        <f>SUMIFS('Annual_Cost'!$Q$2:$Q$807,'Annual_Cost'!$A$2:$A$807,A86,'Annual_Cost'!$B$2:$B$807,B86)</f>
      </c>
      <c r="D86" s="104" t="str">
        <f>SUMIFS('Annual_Cost'!$R$2:$R$807,'Annual_Cost'!$A$2:$A$807,A86,'Annual_Cost'!$B$2:$B$807,B86)</f>
      </c>
      <c r="E86" s="105" t="str">
        <f>SUMIFS('Annual_Cost'!$S$2:$S$807,'Annual_Cost'!$A$2:$A$807,A86,'Annual_Cost'!$B$2:$B$807,B86)</f>
      </c>
      <c r="F86" s="106" t="str">
        <f>SUMIFS('Annual_Cost'!$W$2:$W$807,'Annual_Cost'!$A$2:$A$807,A86,'Annual_Cost'!$B$2:$B$807,B86)</f>
      </c>
      <c r="G86" s="107" t="str">
        <f>SUMIFS($E$2:E86,$A$2:A86,A86)</f>
      </c>
      <c r="H86" s="108" t="str">
        <f>SUMIFS($F$2:F86,$A$2:A86,A86)</f>
      </c>
    </row>
    <row r="87">
      <c r="A87" t="s">
        <v>212</v>
      </c>
      <c r="B87" s="102" t="n">
        <v>2032</v>
      </c>
      <c r="C87" s="103" t="str">
        <f>SUMIFS('Annual_Cost'!$Q$2:$Q$807,'Annual_Cost'!$A$2:$A$807,A87,'Annual_Cost'!$B$2:$B$807,B87)</f>
      </c>
      <c r="D87" s="104" t="str">
        <f>SUMIFS('Annual_Cost'!$R$2:$R$807,'Annual_Cost'!$A$2:$A$807,A87,'Annual_Cost'!$B$2:$B$807,B87)</f>
      </c>
      <c r="E87" s="105" t="str">
        <f>SUMIFS('Annual_Cost'!$S$2:$S$807,'Annual_Cost'!$A$2:$A$807,A87,'Annual_Cost'!$B$2:$B$807,B87)</f>
      </c>
      <c r="F87" s="106" t="str">
        <f>SUMIFS('Annual_Cost'!$W$2:$W$807,'Annual_Cost'!$A$2:$A$807,A87,'Annual_Cost'!$B$2:$B$807,B87)</f>
      </c>
      <c r="G87" s="107" t="str">
        <f>SUMIFS($E$2:E87,$A$2:A87,A87)</f>
      </c>
      <c r="H87" s="108" t="str">
        <f>SUMIFS($F$2:F87,$A$2:A87,A87)</f>
      </c>
    </row>
    <row r="88">
      <c r="A88" t="s">
        <v>212</v>
      </c>
      <c r="B88" s="102" t="n">
        <v>2033</v>
      </c>
      <c r="C88" s="103" t="str">
        <f>SUMIFS('Annual_Cost'!$Q$2:$Q$807,'Annual_Cost'!$A$2:$A$807,A88,'Annual_Cost'!$B$2:$B$807,B88)</f>
      </c>
      <c r="D88" s="104" t="str">
        <f>SUMIFS('Annual_Cost'!$R$2:$R$807,'Annual_Cost'!$A$2:$A$807,A88,'Annual_Cost'!$B$2:$B$807,B88)</f>
      </c>
      <c r="E88" s="105" t="str">
        <f>SUMIFS('Annual_Cost'!$S$2:$S$807,'Annual_Cost'!$A$2:$A$807,A88,'Annual_Cost'!$B$2:$B$807,B88)</f>
      </c>
      <c r="F88" s="106" t="str">
        <f>SUMIFS('Annual_Cost'!$W$2:$W$807,'Annual_Cost'!$A$2:$A$807,A88,'Annual_Cost'!$B$2:$B$807,B88)</f>
      </c>
      <c r="G88" s="107" t="str">
        <f>SUMIFS($E$2:E88,$A$2:A88,A88)</f>
      </c>
      <c r="H88" s="108" t="str">
        <f>SUMIFS($F$2:F88,$A$2:A88,A88)</f>
      </c>
    </row>
    <row r="89">
      <c r="A89" t="s">
        <v>212</v>
      </c>
      <c r="B89" s="102" t="n">
        <v>2034</v>
      </c>
      <c r="C89" s="103" t="str">
        <f>SUMIFS('Annual_Cost'!$Q$2:$Q$807,'Annual_Cost'!$A$2:$A$807,A89,'Annual_Cost'!$B$2:$B$807,B89)</f>
      </c>
      <c r="D89" s="104" t="str">
        <f>SUMIFS('Annual_Cost'!$R$2:$R$807,'Annual_Cost'!$A$2:$A$807,A89,'Annual_Cost'!$B$2:$B$807,B89)</f>
      </c>
      <c r="E89" s="105" t="str">
        <f>SUMIFS('Annual_Cost'!$S$2:$S$807,'Annual_Cost'!$A$2:$A$807,A89,'Annual_Cost'!$B$2:$B$807,B89)</f>
      </c>
      <c r="F89" s="106" t="str">
        <f>SUMIFS('Annual_Cost'!$W$2:$W$807,'Annual_Cost'!$A$2:$A$807,A89,'Annual_Cost'!$B$2:$B$807,B89)</f>
      </c>
      <c r="G89" s="107" t="str">
        <f>SUMIFS($E$2:E89,$A$2:A89,A89)</f>
      </c>
      <c r="H89" s="108" t="str">
        <f>SUMIFS($F$2:F89,$A$2:A89,A89)</f>
      </c>
    </row>
    <row r="90">
      <c r="A90" t="s">
        <v>212</v>
      </c>
      <c r="B90" s="102" t="n">
        <v>2035</v>
      </c>
      <c r="C90" s="103" t="str">
        <f>SUMIFS('Annual_Cost'!$Q$2:$Q$807,'Annual_Cost'!$A$2:$A$807,A90,'Annual_Cost'!$B$2:$B$807,B90)</f>
      </c>
      <c r="D90" s="104" t="str">
        <f>SUMIFS('Annual_Cost'!$R$2:$R$807,'Annual_Cost'!$A$2:$A$807,A90,'Annual_Cost'!$B$2:$B$807,B90)</f>
      </c>
      <c r="E90" s="105" t="str">
        <f>SUMIFS('Annual_Cost'!$S$2:$S$807,'Annual_Cost'!$A$2:$A$807,A90,'Annual_Cost'!$B$2:$B$807,B90)</f>
      </c>
      <c r="F90" s="106" t="str">
        <f>SUMIFS('Annual_Cost'!$W$2:$W$807,'Annual_Cost'!$A$2:$A$807,A90,'Annual_Cost'!$B$2:$B$807,B90)</f>
      </c>
      <c r="G90" s="107" t="str">
        <f>SUMIFS($E$2:E90,$A$2:A90,A90)</f>
      </c>
      <c r="H90" s="108" t="str">
        <f>SUMIFS($F$2:F90,$A$2:A90,A90)</f>
      </c>
    </row>
    <row r="91">
      <c r="A91" t="s">
        <v>212</v>
      </c>
      <c r="B91" s="102" t="n">
        <v>2036</v>
      </c>
      <c r="C91" s="103" t="str">
        <f>SUMIFS('Annual_Cost'!$Q$2:$Q$807,'Annual_Cost'!$A$2:$A$807,A91,'Annual_Cost'!$B$2:$B$807,B91)</f>
      </c>
      <c r="D91" s="104" t="str">
        <f>SUMIFS('Annual_Cost'!$R$2:$R$807,'Annual_Cost'!$A$2:$A$807,A91,'Annual_Cost'!$B$2:$B$807,B91)</f>
      </c>
      <c r="E91" s="105" t="str">
        <f>SUMIFS('Annual_Cost'!$S$2:$S$807,'Annual_Cost'!$A$2:$A$807,A91,'Annual_Cost'!$B$2:$B$807,B91)</f>
      </c>
      <c r="F91" s="106" t="str">
        <f>SUMIFS('Annual_Cost'!$W$2:$W$807,'Annual_Cost'!$A$2:$A$807,A91,'Annual_Cost'!$B$2:$B$807,B91)</f>
      </c>
      <c r="G91" s="107" t="str">
        <f>SUMIFS($E$2:E91,$A$2:A91,A91)</f>
      </c>
      <c r="H91" s="108" t="str">
        <f>SUMIFS($F$2:F91,$A$2:A91,A91)</f>
      </c>
    </row>
    <row r="92">
      <c r="A92" t="s">
        <v>212</v>
      </c>
      <c r="B92" s="102" t="n">
        <v>2037</v>
      </c>
      <c r="C92" s="103" t="str">
        <f>SUMIFS('Annual_Cost'!$Q$2:$Q$807,'Annual_Cost'!$A$2:$A$807,A92,'Annual_Cost'!$B$2:$B$807,B92)</f>
      </c>
      <c r="D92" s="104" t="str">
        <f>SUMIFS('Annual_Cost'!$R$2:$R$807,'Annual_Cost'!$A$2:$A$807,A92,'Annual_Cost'!$B$2:$B$807,B92)</f>
      </c>
      <c r="E92" s="105" t="str">
        <f>SUMIFS('Annual_Cost'!$S$2:$S$807,'Annual_Cost'!$A$2:$A$807,A92,'Annual_Cost'!$B$2:$B$807,B92)</f>
      </c>
      <c r="F92" s="106" t="str">
        <f>SUMIFS('Annual_Cost'!$W$2:$W$807,'Annual_Cost'!$A$2:$A$807,A92,'Annual_Cost'!$B$2:$B$807,B92)</f>
      </c>
      <c r="G92" s="107" t="str">
        <f>SUMIFS($E$2:E92,$A$2:A92,A92)</f>
      </c>
      <c r="H92" s="108" t="str">
        <f>SUMIFS($F$2:F92,$A$2:A92,A92)</f>
      </c>
    </row>
    <row r="93">
      <c r="A93" t="s">
        <v>212</v>
      </c>
      <c r="B93" s="102" t="n">
        <v>2038</v>
      </c>
      <c r="C93" s="103" t="str">
        <f>SUMIFS('Annual_Cost'!$Q$2:$Q$807,'Annual_Cost'!$A$2:$A$807,A93,'Annual_Cost'!$B$2:$B$807,B93)</f>
      </c>
      <c r="D93" s="104" t="str">
        <f>SUMIFS('Annual_Cost'!$R$2:$R$807,'Annual_Cost'!$A$2:$A$807,A93,'Annual_Cost'!$B$2:$B$807,B93)</f>
      </c>
      <c r="E93" s="105" t="str">
        <f>SUMIFS('Annual_Cost'!$S$2:$S$807,'Annual_Cost'!$A$2:$A$807,A93,'Annual_Cost'!$B$2:$B$807,B93)</f>
      </c>
      <c r="F93" s="106" t="str">
        <f>SUMIFS('Annual_Cost'!$W$2:$W$807,'Annual_Cost'!$A$2:$A$807,A93,'Annual_Cost'!$B$2:$B$807,B93)</f>
      </c>
      <c r="G93" s="107" t="str">
        <f>SUMIFS($E$2:E93,$A$2:A93,A93)</f>
      </c>
      <c r="H93" s="108" t="str">
        <f>SUMIFS($F$2:F93,$A$2:A93,A93)</f>
      </c>
    </row>
    <row r="94">
      <c r="A94" t="s">
        <v>212</v>
      </c>
      <c r="B94" s="102" t="n">
        <v>2039</v>
      </c>
      <c r="C94" s="103" t="str">
        <f>SUMIFS('Annual_Cost'!$Q$2:$Q$807,'Annual_Cost'!$A$2:$A$807,A94,'Annual_Cost'!$B$2:$B$807,B94)</f>
      </c>
      <c r="D94" s="104" t="str">
        <f>SUMIFS('Annual_Cost'!$R$2:$R$807,'Annual_Cost'!$A$2:$A$807,A94,'Annual_Cost'!$B$2:$B$807,B94)</f>
      </c>
      <c r="E94" s="105" t="str">
        <f>SUMIFS('Annual_Cost'!$S$2:$S$807,'Annual_Cost'!$A$2:$A$807,A94,'Annual_Cost'!$B$2:$B$807,B94)</f>
      </c>
      <c r="F94" s="106" t="str">
        <f>SUMIFS('Annual_Cost'!$W$2:$W$807,'Annual_Cost'!$A$2:$A$807,A94,'Annual_Cost'!$B$2:$B$807,B94)</f>
      </c>
      <c r="G94" s="107" t="str">
        <f>SUMIFS($E$2:E94,$A$2:A94,A94)</f>
      </c>
      <c r="H94" s="108" t="str">
        <f>SUMIFS($F$2:F94,$A$2:A94,A94)</f>
      </c>
    </row>
    <row r="95">
      <c r="A95" t="s">
        <v>212</v>
      </c>
      <c r="B95" s="102" t="n">
        <v>2040</v>
      </c>
      <c r="C95" s="103" t="str">
        <f>SUMIFS('Annual_Cost'!$Q$2:$Q$807,'Annual_Cost'!$A$2:$A$807,A95,'Annual_Cost'!$B$2:$B$807,B95)</f>
      </c>
      <c r="D95" s="104" t="str">
        <f>SUMIFS('Annual_Cost'!$R$2:$R$807,'Annual_Cost'!$A$2:$A$807,A95,'Annual_Cost'!$B$2:$B$807,B95)</f>
      </c>
      <c r="E95" s="105" t="str">
        <f>SUMIFS('Annual_Cost'!$S$2:$S$807,'Annual_Cost'!$A$2:$A$807,A95,'Annual_Cost'!$B$2:$B$807,B95)</f>
      </c>
      <c r="F95" s="106" t="str">
        <f>SUMIFS('Annual_Cost'!$W$2:$W$807,'Annual_Cost'!$A$2:$A$807,A95,'Annual_Cost'!$B$2:$B$807,B95)</f>
      </c>
      <c r="G95" s="107" t="str">
        <f>SUMIFS($E$2:E95,$A$2:A95,A95)</f>
      </c>
      <c r="H95" s="108" t="str">
        <f>SUMIFS($F$2:F95,$A$2:A95,A95)</f>
      </c>
    </row>
    <row r="96">
      <c r="A96" t="s">
        <v>212</v>
      </c>
      <c r="B96" s="102" t="n">
        <v>2041</v>
      </c>
      <c r="C96" s="103" t="str">
        <f>SUMIFS('Annual_Cost'!$Q$2:$Q$807,'Annual_Cost'!$A$2:$A$807,A96,'Annual_Cost'!$B$2:$B$807,B96)</f>
      </c>
      <c r="D96" s="104" t="str">
        <f>SUMIFS('Annual_Cost'!$R$2:$R$807,'Annual_Cost'!$A$2:$A$807,A96,'Annual_Cost'!$B$2:$B$807,B96)</f>
      </c>
      <c r="E96" s="105" t="str">
        <f>SUMIFS('Annual_Cost'!$S$2:$S$807,'Annual_Cost'!$A$2:$A$807,A96,'Annual_Cost'!$B$2:$B$807,B96)</f>
      </c>
      <c r="F96" s="106" t="str">
        <f>SUMIFS('Annual_Cost'!$W$2:$W$807,'Annual_Cost'!$A$2:$A$807,A96,'Annual_Cost'!$B$2:$B$807,B96)</f>
      </c>
      <c r="G96" s="107" t="str">
        <f>SUMIFS($E$2:E96,$A$2:A96,A96)</f>
      </c>
      <c r="H96" s="108" t="str">
        <f>SUMIFS($F$2:F96,$A$2:A96,A96)</f>
      </c>
    </row>
    <row r="97">
      <c r="A97" t="s">
        <v>212</v>
      </c>
      <c r="B97" s="102" t="n">
        <v>2042</v>
      </c>
      <c r="C97" s="103" t="str">
        <f>SUMIFS('Annual_Cost'!$Q$2:$Q$807,'Annual_Cost'!$A$2:$A$807,A97,'Annual_Cost'!$B$2:$B$807,B97)</f>
      </c>
      <c r="D97" s="104" t="str">
        <f>SUMIFS('Annual_Cost'!$R$2:$R$807,'Annual_Cost'!$A$2:$A$807,A97,'Annual_Cost'!$B$2:$B$807,B97)</f>
      </c>
      <c r="E97" s="105" t="str">
        <f>SUMIFS('Annual_Cost'!$S$2:$S$807,'Annual_Cost'!$A$2:$A$807,A97,'Annual_Cost'!$B$2:$B$807,B97)</f>
      </c>
      <c r="F97" s="106" t="str">
        <f>SUMIFS('Annual_Cost'!$W$2:$W$807,'Annual_Cost'!$A$2:$A$807,A97,'Annual_Cost'!$B$2:$B$807,B97)</f>
      </c>
      <c r="G97" s="107" t="str">
        <f>SUMIFS($E$2:E97,$A$2:A97,A97)</f>
      </c>
      <c r="H97" s="108" t="str">
        <f>SUMIFS($F$2:F97,$A$2:A97,A97)</f>
      </c>
    </row>
    <row r="98">
      <c r="A98" t="s">
        <v>212</v>
      </c>
      <c r="B98" s="102" t="n">
        <v>2043</v>
      </c>
      <c r="C98" s="103" t="str">
        <f>SUMIFS('Annual_Cost'!$Q$2:$Q$807,'Annual_Cost'!$A$2:$A$807,A98,'Annual_Cost'!$B$2:$B$807,B98)</f>
      </c>
      <c r="D98" s="104" t="str">
        <f>SUMIFS('Annual_Cost'!$R$2:$R$807,'Annual_Cost'!$A$2:$A$807,A98,'Annual_Cost'!$B$2:$B$807,B98)</f>
      </c>
      <c r="E98" s="105" t="str">
        <f>SUMIFS('Annual_Cost'!$S$2:$S$807,'Annual_Cost'!$A$2:$A$807,A98,'Annual_Cost'!$B$2:$B$807,B98)</f>
      </c>
      <c r="F98" s="106" t="str">
        <f>SUMIFS('Annual_Cost'!$W$2:$W$807,'Annual_Cost'!$A$2:$A$807,A98,'Annual_Cost'!$B$2:$B$807,B98)</f>
      </c>
      <c r="G98" s="107" t="str">
        <f>SUMIFS($E$2:E98,$A$2:A98,A98)</f>
      </c>
      <c r="H98" s="108" t="str">
        <f>SUMIFS($F$2:F98,$A$2:A98,A98)</f>
      </c>
    </row>
    <row r="99">
      <c r="A99" t="s">
        <v>212</v>
      </c>
      <c r="B99" s="102" t="n">
        <v>2044</v>
      </c>
      <c r="C99" s="103" t="str">
        <f>SUMIFS('Annual_Cost'!$Q$2:$Q$807,'Annual_Cost'!$A$2:$A$807,A99,'Annual_Cost'!$B$2:$B$807,B99)</f>
      </c>
      <c r="D99" s="104" t="str">
        <f>SUMIFS('Annual_Cost'!$R$2:$R$807,'Annual_Cost'!$A$2:$A$807,A99,'Annual_Cost'!$B$2:$B$807,B99)</f>
      </c>
      <c r="E99" s="105" t="str">
        <f>SUMIFS('Annual_Cost'!$S$2:$S$807,'Annual_Cost'!$A$2:$A$807,A99,'Annual_Cost'!$B$2:$B$807,B99)</f>
      </c>
      <c r="F99" s="106" t="str">
        <f>SUMIFS('Annual_Cost'!$W$2:$W$807,'Annual_Cost'!$A$2:$A$807,A99,'Annual_Cost'!$B$2:$B$807,B99)</f>
      </c>
      <c r="G99" s="107" t="str">
        <f>SUMIFS($E$2:E99,$A$2:A99,A99)</f>
      </c>
      <c r="H99" s="108" t="str">
        <f>SUMIFS($F$2:F99,$A$2:A99,A99)</f>
      </c>
    </row>
    <row r="100">
      <c r="A100" t="s">
        <v>212</v>
      </c>
      <c r="B100" s="102" t="n">
        <v>2045</v>
      </c>
      <c r="C100" s="103" t="str">
        <f>SUMIFS('Annual_Cost'!$Q$2:$Q$807,'Annual_Cost'!$A$2:$A$807,A100,'Annual_Cost'!$B$2:$B$807,B100)</f>
      </c>
      <c r="D100" s="104" t="str">
        <f>SUMIFS('Annual_Cost'!$R$2:$R$807,'Annual_Cost'!$A$2:$A$807,A100,'Annual_Cost'!$B$2:$B$807,B100)</f>
      </c>
      <c r="E100" s="105" t="str">
        <f>SUMIFS('Annual_Cost'!$S$2:$S$807,'Annual_Cost'!$A$2:$A$807,A100,'Annual_Cost'!$B$2:$B$807,B100)</f>
      </c>
      <c r="F100" s="106" t="str">
        <f>SUMIFS('Annual_Cost'!$W$2:$W$807,'Annual_Cost'!$A$2:$A$807,A100,'Annual_Cost'!$B$2:$B$807,B100)</f>
      </c>
      <c r="G100" s="107" t="str">
        <f>SUMIFS($E$2:E100,$A$2:A100,A100)</f>
      </c>
      <c r="H100" s="108" t="str">
        <f>SUMIFS($F$2:F100,$A$2:A100,A100)</f>
      </c>
    </row>
    <row r="101">
      <c r="A101" t="s">
        <v>212</v>
      </c>
      <c r="B101" s="102" t="n">
        <v>2046</v>
      </c>
      <c r="C101" s="103" t="str">
        <f>SUMIFS('Annual_Cost'!$Q$2:$Q$807,'Annual_Cost'!$A$2:$A$807,A101,'Annual_Cost'!$B$2:$B$807,B101)</f>
      </c>
      <c r="D101" s="104" t="str">
        <f>SUMIFS('Annual_Cost'!$R$2:$R$807,'Annual_Cost'!$A$2:$A$807,A101,'Annual_Cost'!$B$2:$B$807,B101)</f>
      </c>
      <c r="E101" s="105" t="str">
        <f>SUMIFS('Annual_Cost'!$S$2:$S$807,'Annual_Cost'!$A$2:$A$807,A101,'Annual_Cost'!$B$2:$B$807,B101)</f>
      </c>
      <c r="F101" s="106" t="str">
        <f>SUMIFS('Annual_Cost'!$W$2:$W$807,'Annual_Cost'!$A$2:$A$807,A101,'Annual_Cost'!$B$2:$B$807,B101)</f>
      </c>
      <c r="G101" s="107" t="str">
        <f>SUMIFS($E$2:E101,$A$2:A101,A101)</f>
      </c>
      <c r="H101" s="108" t="str">
        <f>SUMIFS($F$2:F101,$A$2:A101,A101)</f>
      </c>
    </row>
    <row r="102">
      <c r="A102" t="s">
        <v>212</v>
      </c>
      <c r="B102" s="102" t="n">
        <v>2047</v>
      </c>
      <c r="C102" s="103" t="str">
        <f>SUMIFS('Annual_Cost'!$Q$2:$Q$807,'Annual_Cost'!$A$2:$A$807,A102,'Annual_Cost'!$B$2:$B$807,B102)</f>
      </c>
      <c r="D102" s="104" t="str">
        <f>SUMIFS('Annual_Cost'!$R$2:$R$807,'Annual_Cost'!$A$2:$A$807,A102,'Annual_Cost'!$B$2:$B$807,B102)</f>
      </c>
      <c r="E102" s="105" t="str">
        <f>SUMIFS('Annual_Cost'!$S$2:$S$807,'Annual_Cost'!$A$2:$A$807,A102,'Annual_Cost'!$B$2:$B$807,B102)</f>
      </c>
      <c r="F102" s="106" t="str">
        <f>SUMIFS('Annual_Cost'!$W$2:$W$807,'Annual_Cost'!$A$2:$A$807,A102,'Annual_Cost'!$B$2:$B$807,B102)</f>
      </c>
      <c r="G102" s="107" t="str">
        <f>SUMIFS($E$2:E102,$A$2:A102,A102)</f>
      </c>
      <c r="H102" s="108" t="str">
        <f>SUMIFS($F$2:F102,$A$2:A102,A102)</f>
      </c>
    </row>
    <row r="103">
      <c r="A103" t="s">
        <v>212</v>
      </c>
      <c r="B103" s="102" t="n">
        <v>2048</v>
      </c>
      <c r="C103" s="103" t="str">
        <f>SUMIFS('Annual_Cost'!$Q$2:$Q$807,'Annual_Cost'!$A$2:$A$807,A103,'Annual_Cost'!$B$2:$B$807,B103)</f>
      </c>
      <c r="D103" s="104" t="str">
        <f>SUMIFS('Annual_Cost'!$R$2:$R$807,'Annual_Cost'!$A$2:$A$807,A103,'Annual_Cost'!$B$2:$B$807,B103)</f>
      </c>
      <c r="E103" s="105" t="str">
        <f>SUMIFS('Annual_Cost'!$S$2:$S$807,'Annual_Cost'!$A$2:$A$807,A103,'Annual_Cost'!$B$2:$B$807,B103)</f>
      </c>
      <c r="F103" s="106" t="str">
        <f>SUMIFS('Annual_Cost'!$W$2:$W$807,'Annual_Cost'!$A$2:$A$807,A103,'Annual_Cost'!$B$2:$B$807,B103)</f>
      </c>
      <c r="G103" s="107" t="str">
        <f>SUMIFS($E$2:E103,$A$2:A103,A103)</f>
      </c>
      <c r="H103" s="108" t="str">
        <f>SUMIFS($F$2:F103,$A$2:A103,A103)</f>
      </c>
    </row>
    <row r="104">
      <c r="A104" t="s">
        <v>212</v>
      </c>
      <c r="B104" s="102" t="n">
        <v>2049</v>
      </c>
      <c r="C104" s="103" t="str">
        <f>SUMIFS('Annual_Cost'!$Q$2:$Q$807,'Annual_Cost'!$A$2:$A$807,A104,'Annual_Cost'!$B$2:$B$807,B104)</f>
      </c>
      <c r="D104" s="104" t="str">
        <f>SUMIFS('Annual_Cost'!$R$2:$R$807,'Annual_Cost'!$A$2:$A$807,A104,'Annual_Cost'!$B$2:$B$807,B104)</f>
      </c>
      <c r="E104" s="105" t="str">
        <f>SUMIFS('Annual_Cost'!$S$2:$S$807,'Annual_Cost'!$A$2:$A$807,A104,'Annual_Cost'!$B$2:$B$807,B104)</f>
      </c>
      <c r="F104" s="106" t="str">
        <f>SUMIFS('Annual_Cost'!$W$2:$W$807,'Annual_Cost'!$A$2:$A$807,A104,'Annual_Cost'!$B$2:$B$807,B104)</f>
      </c>
      <c r="G104" s="107" t="str">
        <f>SUMIFS($E$2:E104,$A$2:A104,A104)</f>
      </c>
      <c r="H104" s="108" t="str">
        <f>SUMIFS($F$2:F104,$A$2:A104,A104)</f>
      </c>
    </row>
    <row r="105">
      <c r="A105" t="s">
        <v>212</v>
      </c>
      <c r="B105" s="102" t="n">
        <v>2050</v>
      </c>
      <c r="C105" s="103" t="str">
        <f>SUMIFS('Annual_Cost'!$Q$2:$Q$807,'Annual_Cost'!$A$2:$A$807,A105,'Annual_Cost'!$B$2:$B$807,B105)</f>
      </c>
      <c r="D105" s="104" t="str">
        <f>SUMIFS('Annual_Cost'!$R$2:$R$807,'Annual_Cost'!$A$2:$A$807,A105,'Annual_Cost'!$B$2:$B$807,B105)</f>
      </c>
      <c r="E105" s="105" t="str">
        <f>SUMIFS('Annual_Cost'!$S$2:$S$807,'Annual_Cost'!$A$2:$A$807,A105,'Annual_Cost'!$B$2:$B$807,B105)</f>
      </c>
      <c r="F105" s="106" t="str">
        <f>SUMIFS('Annual_Cost'!$W$2:$W$807,'Annual_Cost'!$A$2:$A$807,A105,'Annual_Cost'!$B$2:$B$807,B105)</f>
      </c>
      <c r="G105" s="107" t="str">
        <f>SUMIFS($E$2:E105,$A$2:A105,A105)</f>
      </c>
      <c r="H105" s="108" t="str">
        <f>SUMIFS($F$2:F105,$A$2:A105,A105)</f>
      </c>
    </row>
    <row r="106">
      <c r="A106" t="s">
        <v>219</v>
      </c>
      <c r="B106" s="102" t="n">
        <v>2025</v>
      </c>
      <c r="C106" s="103" t="str">
        <f>SUMIFS('Annual_Cost'!$Q$2:$Q$807,'Annual_Cost'!$A$2:$A$807,A106,'Annual_Cost'!$B$2:$B$807,B106)</f>
      </c>
      <c r="D106" s="104" t="str">
        <f>SUMIFS('Annual_Cost'!$R$2:$R$807,'Annual_Cost'!$A$2:$A$807,A106,'Annual_Cost'!$B$2:$B$807,B106)</f>
      </c>
      <c r="E106" s="105" t="str">
        <f>SUMIFS('Annual_Cost'!$S$2:$S$807,'Annual_Cost'!$A$2:$A$807,A106,'Annual_Cost'!$B$2:$B$807,B106)</f>
      </c>
      <c r="F106" s="106" t="str">
        <f>SUMIFS('Annual_Cost'!$W$2:$W$807,'Annual_Cost'!$A$2:$A$807,A106,'Annual_Cost'!$B$2:$B$807,B106)</f>
      </c>
      <c r="G106" s="107" t="str">
        <f>SUMIFS($E$2:E106,$A$2:A106,A106)</f>
      </c>
      <c r="H106" s="108" t="str">
        <f>SUMIFS($F$2:F106,$A$2:A106,A106)</f>
      </c>
    </row>
    <row r="107">
      <c r="A107" t="s">
        <v>219</v>
      </c>
      <c r="B107" s="102" t="n">
        <v>2026</v>
      </c>
      <c r="C107" s="103" t="str">
        <f>SUMIFS('Annual_Cost'!$Q$2:$Q$807,'Annual_Cost'!$A$2:$A$807,A107,'Annual_Cost'!$B$2:$B$807,B107)</f>
      </c>
      <c r="D107" s="104" t="str">
        <f>SUMIFS('Annual_Cost'!$R$2:$R$807,'Annual_Cost'!$A$2:$A$807,A107,'Annual_Cost'!$B$2:$B$807,B107)</f>
      </c>
      <c r="E107" s="105" t="str">
        <f>SUMIFS('Annual_Cost'!$S$2:$S$807,'Annual_Cost'!$A$2:$A$807,A107,'Annual_Cost'!$B$2:$B$807,B107)</f>
      </c>
      <c r="F107" s="106" t="str">
        <f>SUMIFS('Annual_Cost'!$W$2:$W$807,'Annual_Cost'!$A$2:$A$807,A107,'Annual_Cost'!$B$2:$B$807,B107)</f>
      </c>
      <c r="G107" s="107" t="str">
        <f>SUMIFS($E$2:E107,$A$2:A107,A107)</f>
      </c>
      <c r="H107" s="108" t="str">
        <f>SUMIFS($F$2:F107,$A$2:A107,A107)</f>
      </c>
    </row>
    <row r="108">
      <c r="A108" t="s">
        <v>219</v>
      </c>
      <c r="B108" s="102" t="n">
        <v>2027</v>
      </c>
      <c r="C108" s="103" t="str">
        <f>SUMIFS('Annual_Cost'!$Q$2:$Q$807,'Annual_Cost'!$A$2:$A$807,A108,'Annual_Cost'!$B$2:$B$807,B108)</f>
      </c>
      <c r="D108" s="104" t="str">
        <f>SUMIFS('Annual_Cost'!$R$2:$R$807,'Annual_Cost'!$A$2:$A$807,A108,'Annual_Cost'!$B$2:$B$807,B108)</f>
      </c>
      <c r="E108" s="105" t="str">
        <f>SUMIFS('Annual_Cost'!$S$2:$S$807,'Annual_Cost'!$A$2:$A$807,A108,'Annual_Cost'!$B$2:$B$807,B108)</f>
      </c>
      <c r="F108" s="106" t="str">
        <f>SUMIFS('Annual_Cost'!$W$2:$W$807,'Annual_Cost'!$A$2:$A$807,A108,'Annual_Cost'!$B$2:$B$807,B108)</f>
      </c>
      <c r="G108" s="107" t="str">
        <f>SUMIFS($E$2:E108,$A$2:A108,A108)</f>
      </c>
      <c r="H108" s="108" t="str">
        <f>SUMIFS($F$2:F108,$A$2:A108,A108)</f>
      </c>
    </row>
    <row r="109">
      <c r="A109" t="s">
        <v>219</v>
      </c>
      <c r="B109" s="102" t="n">
        <v>2028</v>
      </c>
      <c r="C109" s="103" t="str">
        <f>SUMIFS('Annual_Cost'!$Q$2:$Q$807,'Annual_Cost'!$A$2:$A$807,A109,'Annual_Cost'!$B$2:$B$807,B109)</f>
      </c>
      <c r="D109" s="104" t="str">
        <f>SUMIFS('Annual_Cost'!$R$2:$R$807,'Annual_Cost'!$A$2:$A$807,A109,'Annual_Cost'!$B$2:$B$807,B109)</f>
      </c>
      <c r="E109" s="105" t="str">
        <f>SUMIFS('Annual_Cost'!$S$2:$S$807,'Annual_Cost'!$A$2:$A$807,A109,'Annual_Cost'!$B$2:$B$807,B109)</f>
      </c>
      <c r="F109" s="106" t="str">
        <f>SUMIFS('Annual_Cost'!$W$2:$W$807,'Annual_Cost'!$A$2:$A$807,A109,'Annual_Cost'!$B$2:$B$807,B109)</f>
      </c>
      <c r="G109" s="107" t="str">
        <f>SUMIFS($E$2:E109,$A$2:A109,A109)</f>
      </c>
      <c r="H109" s="108" t="str">
        <f>SUMIFS($F$2:F109,$A$2:A109,A109)</f>
      </c>
    </row>
    <row r="110">
      <c r="A110" t="s">
        <v>219</v>
      </c>
      <c r="B110" s="102" t="n">
        <v>2029</v>
      </c>
      <c r="C110" s="103" t="str">
        <f>SUMIFS('Annual_Cost'!$Q$2:$Q$807,'Annual_Cost'!$A$2:$A$807,A110,'Annual_Cost'!$B$2:$B$807,B110)</f>
      </c>
      <c r="D110" s="104" t="str">
        <f>SUMIFS('Annual_Cost'!$R$2:$R$807,'Annual_Cost'!$A$2:$A$807,A110,'Annual_Cost'!$B$2:$B$807,B110)</f>
      </c>
      <c r="E110" s="105" t="str">
        <f>SUMIFS('Annual_Cost'!$S$2:$S$807,'Annual_Cost'!$A$2:$A$807,A110,'Annual_Cost'!$B$2:$B$807,B110)</f>
      </c>
      <c r="F110" s="106" t="str">
        <f>SUMIFS('Annual_Cost'!$W$2:$W$807,'Annual_Cost'!$A$2:$A$807,A110,'Annual_Cost'!$B$2:$B$807,B110)</f>
      </c>
      <c r="G110" s="107" t="str">
        <f>SUMIFS($E$2:E110,$A$2:A110,A110)</f>
      </c>
      <c r="H110" s="108" t="str">
        <f>SUMIFS($F$2:F110,$A$2:A110,A110)</f>
      </c>
    </row>
    <row r="111">
      <c r="A111" t="s">
        <v>219</v>
      </c>
      <c r="B111" s="102" t="n">
        <v>2030</v>
      </c>
      <c r="C111" s="103" t="str">
        <f>SUMIFS('Annual_Cost'!$Q$2:$Q$807,'Annual_Cost'!$A$2:$A$807,A111,'Annual_Cost'!$B$2:$B$807,B111)</f>
      </c>
      <c r="D111" s="104" t="str">
        <f>SUMIFS('Annual_Cost'!$R$2:$R$807,'Annual_Cost'!$A$2:$A$807,A111,'Annual_Cost'!$B$2:$B$807,B111)</f>
      </c>
      <c r="E111" s="105" t="str">
        <f>SUMIFS('Annual_Cost'!$S$2:$S$807,'Annual_Cost'!$A$2:$A$807,A111,'Annual_Cost'!$B$2:$B$807,B111)</f>
      </c>
      <c r="F111" s="106" t="str">
        <f>SUMIFS('Annual_Cost'!$W$2:$W$807,'Annual_Cost'!$A$2:$A$807,A111,'Annual_Cost'!$B$2:$B$807,B111)</f>
      </c>
      <c r="G111" s="107" t="str">
        <f>SUMIFS($E$2:E111,$A$2:A111,A111)</f>
      </c>
      <c r="H111" s="108" t="str">
        <f>SUMIFS($F$2:F111,$A$2:A111,A111)</f>
      </c>
    </row>
    <row r="112">
      <c r="A112" t="s">
        <v>219</v>
      </c>
      <c r="B112" s="102" t="n">
        <v>2031</v>
      </c>
      <c r="C112" s="103" t="str">
        <f>SUMIFS('Annual_Cost'!$Q$2:$Q$807,'Annual_Cost'!$A$2:$A$807,A112,'Annual_Cost'!$B$2:$B$807,B112)</f>
      </c>
      <c r="D112" s="104" t="str">
        <f>SUMIFS('Annual_Cost'!$R$2:$R$807,'Annual_Cost'!$A$2:$A$807,A112,'Annual_Cost'!$B$2:$B$807,B112)</f>
      </c>
      <c r="E112" s="105" t="str">
        <f>SUMIFS('Annual_Cost'!$S$2:$S$807,'Annual_Cost'!$A$2:$A$807,A112,'Annual_Cost'!$B$2:$B$807,B112)</f>
      </c>
      <c r="F112" s="106" t="str">
        <f>SUMIFS('Annual_Cost'!$W$2:$W$807,'Annual_Cost'!$A$2:$A$807,A112,'Annual_Cost'!$B$2:$B$807,B112)</f>
      </c>
      <c r="G112" s="107" t="str">
        <f>SUMIFS($E$2:E112,$A$2:A112,A112)</f>
      </c>
      <c r="H112" s="108" t="str">
        <f>SUMIFS($F$2:F112,$A$2:A112,A112)</f>
      </c>
    </row>
    <row r="113">
      <c r="A113" t="s">
        <v>219</v>
      </c>
      <c r="B113" s="102" t="n">
        <v>2032</v>
      </c>
      <c r="C113" s="103" t="str">
        <f>SUMIFS('Annual_Cost'!$Q$2:$Q$807,'Annual_Cost'!$A$2:$A$807,A113,'Annual_Cost'!$B$2:$B$807,B113)</f>
      </c>
      <c r="D113" s="104" t="str">
        <f>SUMIFS('Annual_Cost'!$R$2:$R$807,'Annual_Cost'!$A$2:$A$807,A113,'Annual_Cost'!$B$2:$B$807,B113)</f>
      </c>
      <c r="E113" s="105" t="str">
        <f>SUMIFS('Annual_Cost'!$S$2:$S$807,'Annual_Cost'!$A$2:$A$807,A113,'Annual_Cost'!$B$2:$B$807,B113)</f>
      </c>
      <c r="F113" s="106" t="str">
        <f>SUMIFS('Annual_Cost'!$W$2:$W$807,'Annual_Cost'!$A$2:$A$807,A113,'Annual_Cost'!$B$2:$B$807,B113)</f>
      </c>
      <c r="G113" s="107" t="str">
        <f>SUMIFS($E$2:E113,$A$2:A113,A113)</f>
      </c>
      <c r="H113" s="108" t="str">
        <f>SUMIFS($F$2:F113,$A$2:A113,A113)</f>
      </c>
    </row>
    <row r="114">
      <c r="A114" t="s">
        <v>219</v>
      </c>
      <c r="B114" s="102" t="n">
        <v>2033</v>
      </c>
      <c r="C114" s="103" t="str">
        <f>SUMIFS('Annual_Cost'!$Q$2:$Q$807,'Annual_Cost'!$A$2:$A$807,A114,'Annual_Cost'!$B$2:$B$807,B114)</f>
      </c>
      <c r="D114" s="104" t="str">
        <f>SUMIFS('Annual_Cost'!$R$2:$R$807,'Annual_Cost'!$A$2:$A$807,A114,'Annual_Cost'!$B$2:$B$807,B114)</f>
      </c>
      <c r="E114" s="105" t="str">
        <f>SUMIFS('Annual_Cost'!$S$2:$S$807,'Annual_Cost'!$A$2:$A$807,A114,'Annual_Cost'!$B$2:$B$807,B114)</f>
      </c>
      <c r="F114" s="106" t="str">
        <f>SUMIFS('Annual_Cost'!$W$2:$W$807,'Annual_Cost'!$A$2:$A$807,A114,'Annual_Cost'!$B$2:$B$807,B114)</f>
      </c>
      <c r="G114" s="107" t="str">
        <f>SUMIFS($E$2:E114,$A$2:A114,A114)</f>
      </c>
      <c r="H114" s="108" t="str">
        <f>SUMIFS($F$2:F114,$A$2:A114,A114)</f>
      </c>
    </row>
    <row r="115">
      <c r="A115" t="s">
        <v>219</v>
      </c>
      <c r="B115" s="102" t="n">
        <v>2034</v>
      </c>
      <c r="C115" s="103" t="str">
        <f>SUMIFS('Annual_Cost'!$Q$2:$Q$807,'Annual_Cost'!$A$2:$A$807,A115,'Annual_Cost'!$B$2:$B$807,B115)</f>
      </c>
      <c r="D115" s="104" t="str">
        <f>SUMIFS('Annual_Cost'!$R$2:$R$807,'Annual_Cost'!$A$2:$A$807,A115,'Annual_Cost'!$B$2:$B$807,B115)</f>
      </c>
      <c r="E115" s="105" t="str">
        <f>SUMIFS('Annual_Cost'!$S$2:$S$807,'Annual_Cost'!$A$2:$A$807,A115,'Annual_Cost'!$B$2:$B$807,B115)</f>
      </c>
      <c r="F115" s="106" t="str">
        <f>SUMIFS('Annual_Cost'!$W$2:$W$807,'Annual_Cost'!$A$2:$A$807,A115,'Annual_Cost'!$B$2:$B$807,B115)</f>
      </c>
      <c r="G115" s="107" t="str">
        <f>SUMIFS($E$2:E115,$A$2:A115,A115)</f>
      </c>
      <c r="H115" s="108" t="str">
        <f>SUMIFS($F$2:F115,$A$2:A115,A115)</f>
      </c>
    </row>
    <row r="116">
      <c r="A116" t="s">
        <v>219</v>
      </c>
      <c r="B116" s="102" t="n">
        <v>2035</v>
      </c>
      <c r="C116" s="103" t="str">
        <f>SUMIFS('Annual_Cost'!$Q$2:$Q$807,'Annual_Cost'!$A$2:$A$807,A116,'Annual_Cost'!$B$2:$B$807,B116)</f>
      </c>
      <c r="D116" s="104" t="str">
        <f>SUMIFS('Annual_Cost'!$R$2:$R$807,'Annual_Cost'!$A$2:$A$807,A116,'Annual_Cost'!$B$2:$B$807,B116)</f>
      </c>
      <c r="E116" s="105" t="str">
        <f>SUMIFS('Annual_Cost'!$S$2:$S$807,'Annual_Cost'!$A$2:$A$807,A116,'Annual_Cost'!$B$2:$B$807,B116)</f>
      </c>
      <c r="F116" s="106" t="str">
        <f>SUMIFS('Annual_Cost'!$W$2:$W$807,'Annual_Cost'!$A$2:$A$807,A116,'Annual_Cost'!$B$2:$B$807,B116)</f>
      </c>
      <c r="G116" s="107" t="str">
        <f>SUMIFS($E$2:E116,$A$2:A116,A116)</f>
      </c>
      <c r="H116" s="108" t="str">
        <f>SUMIFS($F$2:F116,$A$2:A116,A116)</f>
      </c>
    </row>
    <row r="117">
      <c r="A117" t="s">
        <v>219</v>
      </c>
      <c r="B117" s="102" t="n">
        <v>2036</v>
      </c>
      <c r="C117" s="103" t="str">
        <f>SUMIFS('Annual_Cost'!$Q$2:$Q$807,'Annual_Cost'!$A$2:$A$807,A117,'Annual_Cost'!$B$2:$B$807,B117)</f>
      </c>
      <c r="D117" s="104" t="str">
        <f>SUMIFS('Annual_Cost'!$R$2:$R$807,'Annual_Cost'!$A$2:$A$807,A117,'Annual_Cost'!$B$2:$B$807,B117)</f>
      </c>
      <c r="E117" s="105" t="str">
        <f>SUMIFS('Annual_Cost'!$S$2:$S$807,'Annual_Cost'!$A$2:$A$807,A117,'Annual_Cost'!$B$2:$B$807,B117)</f>
      </c>
      <c r="F117" s="106" t="str">
        <f>SUMIFS('Annual_Cost'!$W$2:$W$807,'Annual_Cost'!$A$2:$A$807,A117,'Annual_Cost'!$B$2:$B$807,B117)</f>
      </c>
      <c r="G117" s="107" t="str">
        <f>SUMIFS($E$2:E117,$A$2:A117,A117)</f>
      </c>
      <c r="H117" s="108" t="str">
        <f>SUMIFS($F$2:F117,$A$2:A117,A117)</f>
      </c>
    </row>
    <row r="118">
      <c r="A118" t="s">
        <v>219</v>
      </c>
      <c r="B118" s="102" t="n">
        <v>2037</v>
      </c>
      <c r="C118" s="103" t="str">
        <f>SUMIFS('Annual_Cost'!$Q$2:$Q$807,'Annual_Cost'!$A$2:$A$807,A118,'Annual_Cost'!$B$2:$B$807,B118)</f>
      </c>
      <c r="D118" s="104" t="str">
        <f>SUMIFS('Annual_Cost'!$R$2:$R$807,'Annual_Cost'!$A$2:$A$807,A118,'Annual_Cost'!$B$2:$B$807,B118)</f>
      </c>
      <c r="E118" s="105" t="str">
        <f>SUMIFS('Annual_Cost'!$S$2:$S$807,'Annual_Cost'!$A$2:$A$807,A118,'Annual_Cost'!$B$2:$B$807,B118)</f>
      </c>
      <c r="F118" s="106" t="str">
        <f>SUMIFS('Annual_Cost'!$W$2:$W$807,'Annual_Cost'!$A$2:$A$807,A118,'Annual_Cost'!$B$2:$B$807,B118)</f>
      </c>
      <c r="G118" s="107" t="str">
        <f>SUMIFS($E$2:E118,$A$2:A118,A118)</f>
      </c>
      <c r="H118" s="108" t="str">
        <f>SUMIFS($F$2:F118,$A$2:A118,A118)</f>
      </c>
    </row>
    <row r="119">
      <c r="A119" t="s">
        <v>219</v>
      </c>
      <c r="B119" s="102" t="n">
        <v>2038</v>
      </c>
      <c r="C119" s="103" t="str">
        <f>SUMIFS('Annual_Cost'!$Q$2:$Q$807,'Annual_Cost'!$A$2:$A$807,A119,'Annual_Cost'!$B$2:$B$807,B119)</f>
      </c>
      <c r="D119" s="104" t="str">
        <f>SUMIFS('Annual_Cost'!$R$2:$R$807,'Annual_Cost'!$A$2:$A$807,A119,'Annual_Cost'!$B$2:$B$807,B119)</f>
      </c>
      <c r="E119" s="105" t="str">
        <f>SUMIFS('Annual_Cost'!$S$2:$S$807,'Annual_Cost'!$A$2:$A$807,A119,'Annual_Cost'!$B$2:$B$807,B119)</f>
      </c>
      <c r="F119" s="106" t="str">
        <f>SUMIFS('Annual_Cost'!$W$2:$W$807,'Annual_Cost'!$A$2:$A$807,A119,'Annual_Cost'!$B$2:$B$807,B119)</f>
      </c>
      <c r="G119" s="107" t="str">
        <f>SUMIFS($E$2:E119,$A$2:A119,A119)</f>
      </c>
      <c r="H119" s="108" t="str">
        <f>SUMIFS($F$2:F119,$A$2:A119,A119)</f>
      </c>
    </row>
    <row r="120">
      <c r="A120" t="s">
        <v>219</v>
      </c>
      <c r="B120" s="102" t="n">
        <v>2039</v>
      </c>
      <c r="C120" s="103" t="str">
        <f>SUMIFS('Annual_Cost'!$Q$2:$Q$807,'Annual_Cost'!$A$2:$A$807,A120,'Annual_Cost'!$B$2:$B$807,B120)</f>
      </c>
      <c r="D120" s="104" t="str">
        <f>SUMIFS('Annual_Cost'!$R$2:$R$807,'Annual_Cost'!$A$2:$A$807,A120,'Annual_Cost'!$B$2:$B$807,B120)</f>
      </c>
      <c r="E120" s="105" t="str">
        <f>SUMIFS('Annual_Cost'!$S$2:$S$807,'Annual_Cost'!$A$2:$A$807,A120,'Annual_Cost'!$B$2:$B$807,B120)</f>
      </c>
      <c r="F120" s="106" t="str">
        <f>SUMIFS('Annual_Cost'!$W$2:$W$807,'Annual_Cost'!$A$2:$A$807,A120,'Annual_Cost'!$B$2:$B$807,B120)</f>
      </c>
      <c r="G120" s="107" t="str">
        <f>SUMIFS($E$2:E120,$A$2:A120,A120)</f>
      </c>
      <c r="H120" s="108" t="str">
        <f>SUMIFS($F$2:F120,$A$2:A120,A120)</f>
      </c>
    </row>
    <row r="121">
      <c r="A121" t="s">
        <v>219</v>
      </c>
      <c r="B121" s="102" t="n">
        <v>2040</v>
      </c>
      <c r="C121" s="103" t="str">
        <f>SUMIFS('Annual_Cost'!$Q$2:$Q$807,'Annual_Cost'!$A$2:$A$807,A121,'Annual_Cost'!$B$2:$B$807,B121)</f>
      </c>
      <c r="D121" s="104" t="str">
        <f>SUMIFS('Annual_Cost'!$R$2:$R$807,'Annual_Cost'!$A$2:$A$807,A121,'Annual_Cost'!$B$2:$B$807,B121)</f>
      </c>
      <c r="E121" s="105" t="str">
        <f>SUMIFS('Annual_Cost'!$S$2:$S$807,'Annual_Cost'!$A$2:$A$807,A121,'Annual_Cost'!$B$2:$B$807,B121)</f>
      </c>
      <c r="F121" s="106" t="str">
        <f>SUMIFS('Annual_Cost'!$W$2:$W$807,'Annual_Cost'!$A$2:$A$807,A121,'Annual_Cost'!$B$2:$B$807,B121)</f>
      </c>
      <c r="G121" s="107" t="str">
        <f>SUMIFS($E$2:E121,$A$2:A121,A121)</f>
      </c>
      <c r="H121" s="108" t="str">
        <f>SUMIFS($F$2:F121,$A$2:A121,A121)</f>
      </c>
    </row>
    <row r="122">
      <c r="A122" t="s">
        <v>219</v>
      </c>
      <c r="B122" s="102" t="n">
        <v>2041</v>
      </c>
      <c r="C122" s="103" t="str">
        <f>SUMIFS('Annual_Cost'!$Q$2:$Q$807,'Annual_Cost'!$A$2:$A$807,A122,'Annual_Cost'!$B$2:$B$807,B122)</f>
      </c>
      <c r="D122" s="104" t="str">
        <f>SUMIFS('Annual_Cost'!$R$2:$R$807,'Annual_Cost'!$A$2:$A$807,A122,'Annual_Cost'!$B$2:$B$807,B122)</f>
      </c>
      <c r="E122" s="105" t="str">
        <f>SUMIFS('Annual_Cost'!$S$2:$S$807,'Annual_Cost'!$A$2:$A$807,A122,'Annual_Cost'!$B$2:$B$807,B122)</f>
      </c>
      <c r="F122" s="106" t="str">
        <f>SUMIFS('Annual_Cost'!$W$2:$W$807,'Annual_Cost'!$A$2:$A$807,A122,'Annual_Cost'!$B$2:$B$807,B122)</f>
      </c>
      <c r="G122" s="107" t="str">
        <f>SUMIFS($E$2:E122,$A$2:A122,A122)</f>
      </c>
      <c r="H122" s="108" t="str">
        <f>SUMIFS($F$2:F122,$A$2:A122,A122)</f>
      </c>
    </row>
    <row r="123">
      <c r="A123" t="s">
        <v>219</v>
      </c>
      <c r="B123" s="102" t="n">
        <v>2042</v>
      </c>
      <c r="C123" s="103" t="str">
        <f>SUMIFS('Annual_Cost'!$Q$2:$Q$807,'Annual_Cost'!$A$2:$A$807,A123,'Annual_Cost'!$B$2:$B$807,B123)</f>
      </c>
      <c r="D123" s="104" t="str">
        <f>SUMIFS('Annual_Cost'!$R$2:$R$807,'Annual_Cost'!$A$2:$A$807,A123,'Annual_Cost'!$B$2:$B$807,B123)</f>
      </c>
      <c r="E123" s="105" t="str">
        <f>SUMIFS('Annual_Cost'!$S$2:$S$807,'Annual_Cost'!$A$2:$A$807,A123,'Annual_Cost'!$B$2:$B$807,B123)</f>
      </c>
      <c r="F123" s="106" t="str">
        <f>SUMIFS('Annual_Cost'!$W$2:$W$807,'Annual_Cost'!$A$2:$A$807,A123,'Annual_Cost'!$B$2:$B$807,B123)</f>
      </c>
      <c r="G123" s="107" t="str">
        <f>SUMIFS($E$2:E123,$A$2:A123,A123)</f>
      </c>
      <c r="H123" s="108" t="str">
        <f>SUMIFS($F$2:F123,$A$2:A123,A123)</f>
      </c>
    </row>
    <row r="124">
      <c r="A124" t="s">
        <v>219</v>
      </c>
      <c r="B124" s="102" t="n">
        <v>2043</v>
      </c>
      <c r="C124" s="103" t="str">
        <f>SUMIFS('Annual_Cost'!$Q$2:$Q$807,'Annual_Cost'!$A$2:$A$807,A124,'Annual_Cost'!$B$2:$B$807,B124)</f>
      </c>
      <c r="D124" s="104" t="str">
        <f>SUMIFS('Annual_Cost'!$R$2:$R$807,'Annual_Cost'!$A$2:$A$807,A124,'Annual_Cost'!$B$2:$B$807,B124)</f>
      </c>
      <c r="E124" s="105" t="str">
        <f>SUMIFS('Annual_Cost'!$S$2:$S$807,'Annual_Cost'!$A$2:$A$807,A124,'Annual_Cost'!$B$2:$B$807,B124)</f>
      </c>
      <c r="F124" s="106" t="str">
        <f>SUMIFS('Annual_Cost'!$W$2:$W$807,'Annual_Cost'!$A$2:$A$807,A124,'Annual_Cost'!$B$2:$B$807,B124)</f>
      </c>
      <c r="G124" s="107" t="str">
        <f>SUMIFS($E$2:E124,$A$2:A124,A124)</f>
      </c>
      <c r="H124" s="108" t="str">
        <f>SUMIFS($F$2:F124,$A$2:A124,A124)</f>
      </c>
    </row>
    <row r="125">
      <c r="A125" t="s">
        <v>219</v>
      </c>
      <c r="B125" s="102" t="n">
        <v>2044</v>
      </c>
      <c r="C125" s="103" t="str">
        <f>SUMIFS('Annual_Cost'!$Q$2:$Q$807,'Annual_Cost'!$A$2:$A$807,A125,'Annual_Cost'!$B$2:$B$807,B125)</f>
      </c>
      <c r="D125" s="104" t="str">
        <f>SUMIFS('Annual_Cost'!$R$2:$R$807,'Annual_Cost'!$A$2:$A$807,A125,'Annual_Cost'!$B$2:$B$807,B125)</f>
      </c>
      <c r="E125" s="105" t="str">
        <f>SUMIFS('Annual_Cost'!$S$2:$S$807,'Annual_Cost'!$A$2:$A$807,A125,'Annual_Cost'!$B$2:$B$807,B125)</f>
      </c>
      <c r="F125" s="106" t="str">
        <f>SUMIFS('Annual_Cost'!$W$2:$W$807,'Annual_Cost'!$A$2:$A$807,A125,'Annual_Cost'!$B$2:$B$807,B125)</f>
      </c>
      <c r="G125" s="107" t="str">
        <f>SUMIFS($E$2:E125,$A$2:A125,A125)</f>
      </c>
      <c r="H125" s="108" t="str">
        <f>SUMIFS($F$2:F125,$A$2:A125,A125)</f>
      </c>
    </row>
    <row r="126">
      <c r="A126" t="s">
        <v>219</v>
      </c>
      <c r="B126" s="102" t="n">
        <v>2045</v>
      </c>
      <c r="C126" s="103" t="str">
        <f>SUMIFS('Annual_Cost'!$Q$2:$Q$807,'Annual_Cost'!$A$2:$A$807,A126,'Annual_Cost'!$B$2:$B$807,B126)</f>
      </c>
      <c r="D126" s="104" t="str">
        <f>SUMIFS('Annual_Cost'!$R$2:$R$807,'Annual_Cost'!$A$2:$A$807,A126,'Annual_Cost'!$B$2:$B$807,B126)</f>
      </c>
      <c r="E126" s="105" t="str">
        <f>SUMIFS('Annual_Cost'!$S$2:$S$807,'Annual_Cost'!$A$2:$A$807,A126,'Annual_Cost'!$B$2:$B$807,B126)</f>
      </c>
      <c r="F126" s="106" t="str">
        <f>SUMIFS('Annual_Cost'!$W$2:$W$807,'Annual_Cost'!$A$2:$A$807,A126,'Annual_Cost'!$B$2:$B$807,B126)</f>
      </c>
      <c r="G126" s="107" t="str">
        <f>SUMIFS($E$2:E126,$A$2:A126,A126)</f>
      </c>
      <c r="H126" s="108" t="str">
        <f>SUMIFS($F$2:F126,$A$2:A126,A126)</f>
      </c>
    </row>
    <row r="127">
      <c r="A127" t="s">
        <v>219</v>
      </c>
      <c r="B127" s="102" t="n">
        <v>2046</v>
      </c>
      <c r="C127" s="103" t="str">
        <f>SUMIFS('Annual_Cost'!$Q$2:$Q$807,'Annual_Cost'!$A$2:$A$807,A127,'Annual_Cost'!$B$2:$B$807,B127)</f>
      </c>
      <c r="D127" s="104" t="str">
        <f>SUMIFS('Annual_Cost'!$R$2:$R$807,'Annual_Cost'!$A$2:$A$807,A127,'Annual_Cost'!$B$2:$B$807,B127)</f>
      </c>
      <c r="E127" s="105" t="str">
        <f>SUMIFS('Annual_Cost'!$S$2:$S$807,'Annual_Cost'!$A$2:$A$807,A127,'Annual_Cost'!$B$2:$B$807,B127)</f>
      </c>
      <c r="F127" s="106" t="str">
        <f>SUMIFS('Annual_Cost'!$W$2:$W$807,'Annual_Cost'!$A$2:$A$807,A127,'Annual_Cost'!$B$2:$B$807,B127)</f>
      </c>
      <c r="G127" s="107" t="str">
        <f>SUMIFS($E$2:E127,$A$2:A127,A127)</f>
      </c>
      <c r="H127" s="108" t="str">
        <f>SUMIFS($F$2:F127,$A$2:A127,A127)</f>
      </c>
    </row>
    <row r="128">
      <c r="A128" t="s">
        <v>219</v>
      </c>
      <c r="B128" s="102" t="n">
        <v>2047</v>
      </c>
      <c r="C128" s="103" t="str">
        <f>SUMIFS('Annual_Cost'!$Q$2:$Q$807,'Annual_Cost'!$A$2:$A$807,A128,'Annual_Cost'!$B$2:$B$807,B128)</f>
      </c>
      <c r="D128" s="104" t="str">
        <f>SUMIFS('Annual_Cost'!$R$2:$R$807,'Annual_Cost'!$A$2:$A$807,A128,'Annual_Cost'!$B$2:$B$807,B128)</f>
      </c>
      <c r="E128" s="105" t="str">
        <f>SUMIFS('Annual_Cost'!$S$2:$S$807,'Annual_Cost'!$A$2:$A$807,A128,'Annual_Cost'!$B$2:$B$807,B128)</f>
      </c>
      <c r="F128" s="106" t="str">
        <f>SUMIFS('Annual_Cost'!$W$2:$W$807,'Annual_Cost'!$A$2:$A$807,A128,'Annual_Cost'!$B$2:$B$807,B128)</f>
      </c>
      <c r="G128" s="107" t="str">
        <f>SUMIFS($E$2:E128,$A$2:A128,A128)</f>
      </c>
      <c r="H128" s="108" t="str">
        <f>SUMIFS($F$2:F128,$A$2:A128,A128)</f>
      </c>
    </row>
    <row r="129">
      <c r="A129" t="s">
        <v>219</v>
      </c>
      <c r="B129" s="102" t="n">
        <v>2048</v>
      </c>
      <c r="C129" s="103" t="str">
        <f>SUMIFS('Annual_Cost'!$Q$2:$Q$807,'Annual_Cost'!$A$2:$A$807,A129,'Annual_Cost'!$B$2:$B$807,B129)</f>
      </c>
      <c r="D129" s="104" t="str">
        <f>SUMIFS('Annual_Cost'!$R$2:$R$807,'Annual_Cost'!$A$2:$A$807,A129,'Annual_Cost'!$B$2:$B$807,B129)</f>
      </c>
      <c r="E129" s="105" t="str">
        <f>SUMIFS('Annual_Cost'!$S$2:$S$807,'Annual_Cost'!$A$2:$A$807,A129,'Annual_Cost'!$B$2:$B$807,B129)</f>
      </c>
      <c r="F129" s="106" t="str">
        <f>SUMIFS('Annual_Cost'!$W$2:$W$807,'Annual_Cost'!$A$2:$A$807,A129,'Annual_Cost'!$B$2:$B$807,B129)</f>
      </c>
      <c r="G129" s="107" t="str">
        <f>SUMIFS($E$2:E129,$A$2:A129,A129)</f>
      </c>
      <c r="H129" s="108" t="str">
        <f>SUMIFS($F$2:F129,$A$2:A129,A129)</f>
      </c>
    </row>
    <row r="130">
      <c r="A130" t="s">
        <v>219</v>
      </c>
      <c r="B130" s="102" t="n">
        <v>2049</v>
      </c>
      <c r="C130" s="103" t="str">
        <f>SUMIFS('Annual_Cost'!$Q$2:$Q$807,'Annual_Cost'!$A$2:$A$807,A130,'Annual_Cost'!$B$2:$B$807,B130)</f>
      </c>
      <c r="D130" s="104" t="str">
        <f>SUMIFS('Annual_Cost'!$R$2:$R$807,'Annual_Cost'!$A$2:$A$807,A130,'Annual_Cost'!$B$2:$B$807,B130)</f>
      </c>
      <c r="E130" s="105" t="str">
        <f>SUMIFS('Annual_Cost'!$S$2:$S$807,'Annual_Cost'!$A$2:$A$807,A130,'Annual_Cost'!$B$2:$B$807,B130)</f>
      </c>
      <c r="F130" s="106" t="str">
        <f>SUMIFS('Annual_Cost'!$W$2:$W$807,'Annual_Cost'!$A$2:$A$807,A130,'Annual_Cost'!$B$2:$B$807,B130)</f>
      </c>
      <c r="G130" s="107" t="str">
        <f>SUMIFS($E$2:E130,$A$2:A130,A130)</f>
      </c>
      <c r="H130" s="108" t="str">
        <f>SUMIFS($F$2:F130,$A$2:A130,A130)</f>
      </c>
    </row>
    <row r="131">
      <c r="A131" t="s">
        <v>219</v>
      </c>
      <c r="B131" s="102" t="n">
        <v>2050</v>
      </c>
      <c r="C131" s="103" t="str">
        <f>SUMIFS('Annual_Cost'!$Q$2:$Q$807,'Annual_Cost'!$A$2:$A$807,A131,'Annual_Cost'!$B$2:$B$807,B131)</f>
      </c>
      <c r="D131" s="104" t="str">
        <f>SUMIFS('Annual_Cost'!$R$2:$R$807,'Annual_Cost'!$A$2:$A$807,A131,'Annual_Cost'!$B$2:$B$807,B131)</f>
      </c>
      <c r="E131" s="105" t="str">
        <f>SUMIFS('Annual_Cost'!$S$2:$S$807,'Annual_Cost'!$A$2:$A$807,A131,'Annual_Cost'!$B$2:$B$807,B131)</f>
      </c>
      <c r="F131" s="106" t="str">
        <f>SUMIFS('Annual_Cost'!$W$2:$W$807,'Annual_Cost'!$A$2:$A$807,A131,'Annual_Cost'!$B$2:$B$807,B131)</f>
      </c>
      <c r="G131" s="107" t="str">
        <f>SUMIFS($E$2:E131,$A$2:A131,A131)</f>
      </c>
      <c r="H131" s="108" t="str">
        <f>SUMIFS($F$2:F131,$A$2:A131,A131)</f>
      </c>
    </row>
    <row r="132">
      <c r="A132" t="s">
        <v>207</v>
      </c>
      <c r="B132" s="102" t="n">
        <v>2025</v>
      </c>
      <c r="C132" s="103" t="str">
        <f>SUMIFS('Annual_Cost'!$Q$2:$Q$807,'Annual_Cost'!$A$2:$A$807,A132,'Annual_Cost'!$B$2:$B$807,B132)</f>
      </c>
      <c r="D132" s="104" t="str">
        <f>SUMIFS('Annual_Cost'!$R$2:$R$807,'Annual_Cost'!$A$2:$A$807,A132,'Annual_Cost'!$B$2:$B$807,B132)</f>
      </c>
      <c r="E132" s="105" t="str">
        <f>SUMIFS('Annual_Cost'!$S$2:$S$807,'Annual_Cost'!$A$2:$A$807,A132,'Annual_Cost'!$B$2:$B$807,B132)</f>
      </c>
      <c r="F132" s="106" t="str">
        <f>SUMIFS('Annual_Cost'!$W$2:$W$807,'Annual_Cost'!$A$2:$A$807,A132,'Annual_Cost'!$B$2:$B$807,B132)</f>
      </c>
      <c r="G132" s="107" t="str">
        <f>SUMIFS($E$2:E132,$A$2:A132,A132)</f>
      </c>
      <c r="H132" s="108" t="str">
        <f>SUMIFS($F$2:F132,$A$2:A132,A132)</f>
      </c>
    </row>
    <row r="133">
      <c r="A133" t="s">
        <v>207</v>
      </c>
      <c r="B133" s="102" t="n">
        <v>2026</v>
      </c>
      <c r="C133" s="103" t="str">
        <f>SUMIFS('Annual_Cost'!$Q$2:$Q$807,'Annual_Cost'!$A$2:$A$807,A133,'Annual_Cost'!$B$2:$B$807,B133)</f>
      </c>
      <c r="D133" s="104" t="str">
        <f>SUMIFS('Annual_Cost'!$R$2:$R$807,'Annual_Cost'!$A$2:$A$807,A133,'Annual_Cost'!$B$2:$B$807,B133)</f>
      </c>
      <c r="E133" s="105" t="str">
        <f>SUMIFS('Annual_Cost'!$S$2:$S$807,'Annual_Cost'!$A$2:$A$807,A133,'Annual_Cost'!$B$2:$B$807,B133)</f>
      </c>
      <c r="F133" s="106" t="str">
        <f>SUMIFS('Annual_Cost'!$W$2:$W$807,'Annual_Cost'!$A$2:$A$807,A133,'Annual_Cost'!$B$2:$B$807,B133)</f>
      </c>
      <c r="G133" s="107" t="str">
        <f>SUMIFS($E$2:E133,$A$2:A133,A133)</f>
      </c>
      <c r="H133" s="108" t="str">
        <f>SUMIFS($F$2:F133,$A$2:A133,A133)</f>
      </c>
    </row>
    <row r="134">
      <c r="A134" t="s">
        <v>207</v>
      </c>
      <c r="B134" s="102" t="n">
        <v>2027</v>
      </c>
      <c r="C134" s="103" t="str">
        <f>SUMIFS('Annual_Cost'!$Q$2:$Q$807,'Annual_Cost'!$A$2:$A$807,A134,'Annual_Cost'!$B$2:$B$807,B134)</f>
      </c>
      <c r="D134" s="104" t="str">
        <f>SUMIFS('Annual_Cost'!$R$2:$R$807,'Annual_Cost'!$A$2:$A$807,A134,'Annual_Cost'!$B$2:$B$807,B134)</f>
      </c>
      <c r="E134" s="105" t="str">
        <f>SUMIFS('Annual_Cost'!$S$2:$S$807,'Annual_Cost'!$A$2:$A$807,A134,'Annual_Cost'!$B$2:$B$807,B134)</f>
      </c>
      <c r="F134" s="106" t="str">
        <f>SUMIFS('Annual_Cost'!$W$2:$W$807,'Annual_Cost'!$A$2:$A$807,A134,'Annual_Cost'!$B$2:$B$807,B134)</f>
      </c>
      <c r="G134" s="107" t="str">
        <f>SUMIFS($E$2:E134,$A$2:A134,A134)</f>
      </c>
      <c r="H134" s="108" t="str">
        <f>SUMIFS($F$2:F134,$A$2:A134,A134)</f>
      </c>
    </row>
    <row r="135">
      <c r="A135" t="s">
        <v>207</v>
      </c>
      <c r="B135" s="102" t="n">
        <v>2028</v>
      </c>
      <c r="C135" s="103" t="str">
        <f>SUMIFS('Annual_Cost'!$Q$2:$Q$807,'Annual_Cost'!$A$2:$A$807,A135,'Annual_Cost'!$B$2:$B$807,B135)</f>
      </c>
      <c r="D135" s="104" t="str">
        <f>SUMIFS('Annual_Cost'!$R$2:$R$807,'Annual_Cost'!$A$2:$A$807,A135,'Annual_Cost'!$B$2:$B$807,B135)</f>
      </c>
      <c r="E135" s="105" t="str">
        <f>SUMIFS('Annual_Cost'!$S$2:$S$807,'Annual_Cost'!$A$2:$A$807,A135,'Annual_Cost'!$B$2:$B$807,B135)</f>
      </c>
      <c r="F135" s="106" t="str">
        <f>SUMIFS('Annual_Cost'!$W$2:$W$807,'Annual_Cost'!$A$2:$A$807,A135,'Annual_Cost'!$B$2:$B$807,B135)</f>
      </c>
      <c r="G135" s="107" t="str">
        <f>SUMIFS($E$2:E135,$A$2:A135,A135)</f>
      </c>
      <c r="H135" s="108" t="str">
        <f>SUMIFS($F$2:F135,$A$2:A135,A135)</f>
      </c>
    </row>
    <row r="136">
      <c r="A136" t="s">
        <v>207</v>
      </c>
      <c r="B136" s="102" t="n">
        <v>2029</v>
      </c>
      <c r="C136" s="103" t="str">
        <f>SUMIFS('Annual_Cost'!$Q$2:$Q$807,'Annual_Cost'!$A$2:$A$807,A136,'Annual_Cost'!$B$2:$B$807,B136)</f>
      </c>
      <c r="D136" s="104" t="str">
        <f>SUMIFS('Annual_Cost'!$R$2:$R$807,'Annual_Cost'!$A$2:$A$807,A136,'Annual_Cost'!$B$2:$B$807,B136)</f>
      </c>
      <c r="E136" s="105" t="str">
        <f>SUMIFS('Annual_Cost'!$S$2:$S$807,'Annual_Cost'!$A$2:$A$807,A136,'Annual_Cost'!$B$2:$B$807,B136)</f>
      </c>
      <c r="F136" s="106" t="str">
        <f>SUMIFS('Annual_Cost'!$W$2:$W$807,'Annual_Cost'!$A$2:$A$807,A136,'Annual_Cost'!$B$2:$B$807,B136)</f>
      </c>
      <c r="G136" s="107" t="str">
        <f>SUMIFS($E$2:E136,$A$2:A136,A136)</f>
      </c>
      <c r="H136" s="108" t="str">
        <f>SUMIFS($F$2:F136,$A$2:A136,A136)</f>
      </c>
    </row>
    <row r="137">
      <c r="A137" t="s">
        <v>207</v>
      </c>
      <c r="B137" s="102" t="n">
        <v>2030</v>
      </c>
      <c r="C137" s="103" t="str">
        <f>SUMIFS('Annual_Cost'!$Q$2:$Q$807,'Annual_Cost'!$A$2:$A$807,A137,'Annual_Cost'!$B$2:$B$807,B137)</f>
      </c>
      <c r="D137" s="104" t="str">
        <f>SUMIFS('Annual_Cost'!$R$2:$R$807,'Annual_Cost'!$A$2:$A$807,A137,'Annual_Cost'!$B$2:$B$807,B137)</f>
      </c>
      <c r="E137" s="105" t="str">
        <f>SUMIFS('Annual_Cost'!$S$2:$S$807,'Annual_Cost'!$A$2:$A$807,A137,'Annual_Cost'!$B$2:$B$807,B137)</f>
      </c>
      <c r="F137" s="106" t="str">
        <f>SUMIFS('Annual_Cost'!$W$2:$W$807,'Annual_Cost'!$A$2:$A$807,A137,'Annual_Cost'!$B$2:$B$807,B137)</f>
      </c>
      <c r="G137" s="107" t="str">
        <f>SUMIFS($E$2:E137,$A$2:A137,A137)</f>
      </c>
      <c r="H137" s="108" t="str">
        <f>SUMIFS($F$2:F137,$A$2:A137,A137)</f>
      </c>
    </row>
    <row r="138">
      <c r="A138" t="s">
        <v>207</v>
      </c>
      <c r="B138" s="102" t="n">
        <v>2031</v>
      </c>
      <c r="C138" s="103" t="str">
        <f>SUMIFS('Annual_Cost'!$Q$2:$Q$807,'Annual_Cost'!$A$2:$A$807,A138,'Annual_Cost'!$B$2:$B$807,B138)</f>
      </c>
      <c r="D138" s="104" t="str">
        <f>SUMIFS('Annual_Cost'!$R$2:$R$807,'Annual_Cost'!$A$2:$A$807,A138,'Annual_Cost'!$B$2:$B$807,B138)</f>
      </c>
      <c r="E138" s="105" t="str">
        <f>SUMIFS('Annual_Cost'!$S$2:$S$807,'Annual_Cost'!$A$2:$A$807,A138,'Annual_Cost'!$B$2:$B$807,B138)</f>
      </c>
      <c r="F138" s="106" t="str">
        <f>SUMIFS('Annual_Cost'!$W$2:$W$807,'Annual_Cost'!$A$2:$A$807,A138,'Annual_Cost'!$B$2:$B$807,B138)</f>
      </c>
      <c r="G138" s="107" t="str">
        <f>SUMIFS($E$2:E138,$A$2:A138,A138)</f>
      </c>
      <c r="H138" s="108" t="str">
        <f>SUMIFS($F$2:F138,$A$2:A138,A138)</f>
      </c>
    </row>
    <row r="139">
      <c r="A139" t="s">
        <v>207</v>
      </c>
      <c r="B139" s="102" t="n">
        <v>2032</v>
      </c>
      <c r="C139" s="103" t="str">
        <f>SUMIFS('Annual_Cost'!$Q$2:$Q$807,'Annual_Cost'!$A$2:$A$807,A139,'Annual_Cost'!$B$2:$B$807,B139)</f>
      </c>
      <c r="D139" s="104" t="str">
        <f>SUMIFS('Annual_Cost'!$R$2:$R$807,'Annual_Cost'!$A$2:$A$807,A139,'Annual_Cost'!$B$2:$B$807,B139)</f>
      </c>
      <c r="E139" s="105" t="str">
        <f>SUMIFS('Annual_Cost'!$S$2:$S$807,'Annual_Cost'!$A$2:$A$807,A139,'Annual_Cost'!$B$2:$B$807,B139)</f>
      </c>
      <c r="F139" s="106" t="str">
        <f>SUMIFS('Annual_Cost'!$W$2:$W$807,'Annual_Cost'!$A$2:$A$807,A139,'Annual_Cost'!$B$2:$B$807,B139)</f>
      </c>
      <c r="G139" s="107" t="str">
        <f>SUMIFS($E$2:E139,$A$2:A139,A139)</f>
      </c>
      <c r="H139" s="108" t="str">
        <f>SUMIFS($F$2:F139,$A$2:A139,A139)</f>
      </c>
    </row>
    <row r="140">
      <c r="A140" t="s">
        <v>207</v>
      </c>
      <c r="B140" s="102" t="n">
        <v>2033</v>
      </c>
      <c r="C140" s="103" t="str">
        <f>SUMIFS('Annual_Cost'!$Q$2:$Q$807,'Annual_Cost'!$A$2:$A$807,A140,'Annual_Cost'!$B$2:$B$807,B140)</f>
      </c>
      <c r="D140" s="104" t="str">
        <f>SUMIFS('Annual_Cost'!$R$2:$R$807,'Annual_Cost'!$A$2:$A$807,A140,'Annual_Cost'!$B$2:$B$807,B140)</f>
      </c>
      <c r="E140" s="105" t="str">
        <f>SUMIFS('Annual_Cost'!$S$2:$S$807,'Annual_Cost'!$A$2:$A$807,A140,'Annual_Cost'!$B$2:$B$807,B140)</f>
      </c>
      <c r="F140" s="106" t="str">
        <f>SUMIFS('Annual_Cost'!$W$2:$W$807,'Annual_Cost'!$A$2:$A$807,A140,'Annual_Cost'!$B$2:$B$807,B140)</f>
      </c>
      <c r="G140" s="107" t="str">
        <f>SUMIFS($E$2:E140,$A$2:A140,A140)</f>
      </c>
      <c r="H140" s="108" t="str">
        <f>SUMIFS($F$2:F140,$A$2:A140,A140)</f>
      </c>
    </row>
    <row r="141">
      <c r="A141" t="s">
        <v>207</v>
      </c>
      <c r="B141" s="102" t="n">
        <v>2034</v>
      </c>
      <c r="C141" s="103" t="str">
        <f>SUMIFS('Annual_Cost'!$Q$2:$Q$807,'Annual_Cost'!$A$2:$A$807,A141,'Annual_Cost'!$B$2:$B$807,B141)</f>
      </c>
      <c r="D141" s="104" t="str">
        <f>SUMIFS('Annual_Cost'!$R$2:$R$807,'Annual_Cost'!$A$2:$A$807,A141,'Annual_Cost'!$B$2:$B$807,B141)</f>
      </c>
      <c r="E141" s="105" t="str">
        <f>SUMIFS('Annual_Cost'!$S$2:$S$807,'Annual_Cost'!$A$2:$A$807,A141,'Annual_Cost'!$B$2:$B$807,B141)</f>
      </c>
      <c r="F141" s="106" t="str">
        <f>SUMIFS('Annual_Cost'!$W$2:$W$807,'Annual_Cost'!$A$2:$A$807,A141,'Annual_Cost'!$B$2:$B$807,B141)</f>
      </c>
      <c r="G141" s="107" t="str">
        <f>SUMIFS($E$2:E141,$A$2:A141,A141)</f>
      </c>
      <c r="H141" s="108" t="str">
        <f>SUMIFS($F$2:F141,$A$2:A141,A141)</f>
      </c>
    </row>
    <row r="142">
      <c r="A142" t="s">
        <v>207</v>
      </c>
      <c r="B142" s="102" t="n">
        <v>2035</v>
      </c>
      <c r="C142" s="103" t="str">
        <f>SUMIFS('Annual_Cost'!$Q$2:$Q$807,'Annual_Cost'!$A$2:$A$807,A142,'Annual_Cost'!$B$2:$B$807,B142)</f>
      </c>
      <c r="D142" s="104" t="str">
        <f>SUMIFS('Annual_Cost'!$R$2:$R$807,'Annual_Cost'!$A$2:$A$807,A142,'Annual_Cost'!$B$2:$B$807,B142)</f>
      </c>
      <c r="E142" s="105" t="str">
        <f>SUMIFS('Annual_Cost'!$S$2:$S$807,'Annual_Cost'!$A$2:$A$807,A142,'Annual_Cost'!$B$2:$B$807,B142)</f>
      </c>
      <c r="F142" s="106" t="str">
        <f>SUMIFS('Annual_Cost'!$W$2:$W$807,'Annual_Cost'!$A$2:$A$807,A142,'Annual_Cost'!$B$2:$B$807,B142)</f>
      </c>
      <c r="G142" s="107" t="str">
        <f>SUMIFS($E$2:E142,$A$2:A142,A142)</f>
      </c>
      <c r="H142" s="108" t="str">
        <f>SUMIFS($F$2:F142,$A$2:A142,A142)</f>
      </c>
    </row>
    <row r="143">
      <c r="A143" t="s">
        <v>207</v>
      </c>
      <c r="B143" s="102" t="n">
        <v>2036</v>
      </c>
      <c r="C143" s="103" t="str">
        <f>SUMIFS('Annual_Cost'!$Q$2:$Q$807,'Annual_Cost'!$A$2:$A$807,A143,'Annual_Cost'!$B$2:$B$807,B143)</f>
      </c>
      <c r="D143" s="104" t="str">
        <f>SUMIFS('Annual_Cost'!$R$2:$R$807,'Annual_Cost'!$A$2:$A$807,A143,'Annual_Cost'!$B$2:$B$807,B143)</f>
      </c>
      <c r="E143" s="105" t="str">
        <f>SUMIFS('Annual_Cost'!$S$2:$S$807,'Annual_Cost'!$A$2:$A$807,A143,'Annual_Cost'!$B$2:$B$807,B143)</f>
      </c>
      <c r="F143" s="106" t="str">
        <f>SUMIFS('Annual_Cost'!$W$2:$W$807,'Annual_Cost'!$A$2:$A$807,A143,'Annual_Cost'!$B$2:$B$807,B143)</f>
      </c>
      <c r="G143" s="107" t="str">
        <f>SUMIFS($E$2:E143,$A$2:A143,A143)</f>
      </c>
      <c r="H143" s="108" t="str">
        <f>SUMIFS($F$2:F143,$A$2:A143,A143)</f>
      </c>
    </row>
    <row r="144">
      <c r="A144" t="s">
        <v>207</v>
      </c>
      <c r="B144" s="102" t="n">
        <v>2037</v>
      </c>
      <c r="C144" s="103" t="str">
        <f>SUMIFS('Annual_Cost'!$Q$2:$Q$807,'Annual_Cost'!$A$2:$A$807,A144,'Annual_Cost'!$B$2:$B$807,B144)</f>
      </c>
      <c r="D144" s="104" t="str">
        <f>SUMIFS('Annual_Cost'!$R$2:$R$807,'Annual_Cost'!$A$2:$A$807,A144,'Annual_Cost'!$B$2:$B$807,B144)</f>
      </c>
      <c r="E144" s="105" t="str">
        <f>SUMIFS('Annual_Cost'!$S$2:$S$807,'Annual_Cost'!$A$2:$A$807,A144,'Annual_Cost'!$B$2:$B$807,B144)</f>
      </c>
      <c r="F144" s="106" t="str">
        <f>SUMIFS('Annual_Cost'!$W$2:$W$807,'Annual_Cost'!$A$2:$A$807,A144,'Annual_Cost'!$B$2:$B$807,B144)</f>
      </c>
      <c r="G144" s="107" t="str">
        <f>SUMIFS($E$2:E144,$A$2:A144,A144)</f>
      </c>
      <c r="H144" s="108" t="str">
        <f>SUMIFS($F$2:F144,$A$2:A144,A144)</f>
      </c>
    </row>
    <row r="145">
      <c r="A145" t="s">
        <v>207</v>
      </c>
      <c r="B145" s="102" t="n">
        <v>2038</v>
      </c>
      <c r="C145" s="103" t="str">
        <f>SUMIFS('Annual_Cost'!$Q$2:$Q$807,'Annual_Cost'!$A$2:$A$807,A145,'Annual_Cost'!$B$2:$B$807,B145)</f>
      </c>
      <c r="D145" s="104" t="str">
        <f>SUMIFS('Annual_Cost'!$R$2:$R$807,'Annual_Cost'!$A$2:$A$807,A145,'Annual_Cost'!$B$2:$B$807,B145)</f>
      </c>
      <c r="E145" s="105" t="str">
        <f>SUMIFS('Annual_Cost'!$S$2:$S$807,'Annual_Cost'!$A$2:$A$807,A145,'Annual_Cost'!$B$2:$B$807,B145)</f>
      </c>
      <c r="F145" s="106" t="str">
        <f>SUMIFS('Annual_Cost'!$W$2:$W$807,'Annual_Cost'!$A$2:$A$807,A145,'Annual_Cost'!$B$2:$B$807,B145)</f>
      </c>
      <c r="G145" s="107" t="str">
        <f>SUMIFS($E$2:E145,$A$2:A145,A145)</f>
      </c>
      <c r="H145" s="108" t="str">
        <f>SUMIFS($F$2:F145,$A$2:A145,A145)</f>
      </c>
    </row>
    <row r="146">
      <c r="A146" t="s">
        <v>207</v>
      </c>
      <c r="B146" s="102" t="n">
        <v>2039</v>
      </c>
      <c r="C146" s="103" t="str">
        <f>SUMIFS('Annual_Cost'!$Q$2:$Q$807,'Annual_Cost'!$A$2:$A$807,A146,'Annual_Cost'!$B$2:$B$807,B146)</f>
      </c>
      <c r="D146" s="104" t="str">
        <f>SUMIFS('Annual_Cost'!$R$2:$R$807,'Annual_Cost'!$A$2:$A$807,A146,'Annual_Cost'!$B$2:$B$807,B146)</f>
      </c>
      <c r="E146" s="105" t="str">
        <f>SUMIFS('Annual_Cost'!$S$2:$S$807,'Annual_Cost'!$A$2:$A$807,A146,'Annual_Cost'!$B$2:$B$807,B146)</f>
      </c>
      <c r="F146" s="106" t="str">
        <f>SUMIFS('Annual_Cost'!$W$2:$W$807,'Annual_Cost'!$A$2:$A$807,A146,'Annual_Cost'!$B$2:$B$807,B146)</f>
      </c>
      <c r="G146" s="107" t="str">
        <f>SUMIFS($E$2:E146,$A$2:A146,A146)</f>
      </c>
      <c r="H146" s="108" t="str">
        <f>SUMIFS($F$2:F146,$A$2:A146,A146)</f>
      </c>
    </row>
    <row r="147">
      <c r="A147" t="s">
        <v>207</v>
      </c>
      <c r="B147" s="102" t="n">
        <v>2040</v>
      </c>
      <c r="C147" s="103" t="str">
        <f>SUMIFS('Annual_Cost'!$Q$2:$Q$807,'Annual_Cost'!$A$2:$A$807,A147,'Annual_Cost'!$B$2:$B$807,B147)</f>
      </c>
      <c r="D147" s="104" t="str">
        <f>SUMIFS('Annual_Cost'!$R$2:$R$807,'Annual_Cost'!$A$2:$A$807,A147,'Annual_Cost'!$B$2:$B$807,B147)</f>
      </c>
      <c r="E147" s="105" t="str">
        <f>SUMIFS('Annual_Cost'!$S$2:$S$807,'Annual_Cost'!$A$2:$A$807,A147,'Annual_Cost'!$B$2:$B$807,B147)</f>
      </c>
      <c r="F147" s="106" t="str">
        <f>SUMIFS('Annual_Cost'!$W$2:$W$807,'Annual_Cost'!$A$2:$A$807,A147,'Annual_Cost'!$B$2:$B$807,B147)</f>
      </c>
      <c r="G147" s="107" t="str">
        <f>SUMIFS($E$2:E147,$A$2:A147,A147)</f>
      </c>
      <c r="H147" s="108" t="str">
        <f>SUMIFS($F$2:F147,$A$2:A147,A147)</f>
      </c>
    </row>
    <row r="148">
      <c r="A148" t="s">
        <v>207</v>
      </c>
      <c r="B148" s="102" t="n">
        <v>2041</v>
      </c>
      <c r="C148" s="103" t="str">
        <f>SUMIFS('Annual_Cost'!$Q$2:$Q$807,'Annual_Cost'!$A$2:$A$807,A148,'Annual_Cost'!$B$2:$B$807,B148)</f>
      </c>
      <c r="D148" s="104" t="str">
        <f>SUMIFS('Annual_Cost'!$R$2:$R$807,'Annual_Cost'!$A$2:$A$807,A148,'Annual_Cost'!$B$2:$B$807,B148)</f>
      </c>
      <c r="E148" s="105" t="str">
        <f>SUMIFS('Annual_Cost'!$S$2:$S$807,'Annual_Cost'!$A$2:$A$807,A148,'Annual_Cost'!$B$2:$B$807,B148)</f>
      </c>
      <c r="F148" s="106" t="str">
        <f>SUMIFS('Annual_Cost'!$W$2:$W$807,'Annual_Cost'!$A$2:$A$807,A148,'Annual_Cost'!$B$2:$B$807,B148)</f>
      </c>
      <c r="G148" s="107" t="str">
        <f>SUMIFS($E$2:E148,$A$2:A148,A148)</f>
      </c>
      <c r="H148" s="108" t="str">
        <f>SUMIFS($F$2:F148,$A$2:A148,A148)</f>
      </c>
    </row>
    <row r="149">
      <c r="A149" t="s">
        <v>207</v>
      </c>
      <c r="B149" s="102" t="n">
        <v>2042</v>
      </c>
      <c r="C149" s="103" t="str">
        <f>SUMIFS('Annual_Cost'!$Q$2:$Q$807,'Annual_Cost'!$A$2:$A$807,A149,'Annual_Cost'!$B$2:$B$807,B149)</f>
      </c>
      <c r="D149" s="104" t="str">
        <f>SUMIFS('Annual_Cost'!$R$2:$R$807,'Annual_Cost'!$A$2:$A$807,A149,'Annual_Cost'!$B$2:$B$807,B149)</f>
      </c>
      <c r="E149" s="105" t="str">
        <f>SUMIFS('Annual_Cost'!$S$2:$S$807,'Annual_Cost'!$A$2:$A$807,A149,'Annual_Cost'!$B$2:$B$807,B149)</f>
      </c>
      <c r="F149" s="106" t="str">
        <f>SUMIFS('Annual_Cost'!$W$2:$W$807,'Annual_Cost'!$A$2:$A$807,A149,'Annual_Cost'!$B$2:$B$807,B149)</f>
      </c>
      <c r="G149" s="107" t="str">
        <f>SUMIFS($E$2:E149,$A$2:A149,A149)</f>
      </c>
      <c r="H149" s="108" t="str">
        <f>SUMIFS($F$2:F149,$A$2:A149,A149)</f>
      </c>
    </row>
    <row r="150">
      <c r="A150" t="s">
        <v>207</v>
      </c>
      <c r="B150" s="102" t="n">
        <v>2043</v>
      </c>
      <c r="C150" s="103" t="str">
        <f>SUMIFS('Annual_Cost'!$Q$2:$Q$807,'Annual_Cost'!$A$2:$A$807,A150,'Annual_Cost'!$B$2:$B$807,B150)</f>
      </c>
      <c r="D150" s="104" t="str">
        <f>SUMIFS('Annual_Cost'!$R$2:$R$807,'Annual_Cost'!$A$2:$A$807,A150,'Annual_Cost'!$B$2:$B$807,B150)</f>
      </c>
      <c r="E150" s="105" t="str">
        <f>SUMIFS('Annual_Cost'!$S$2:$S$807,'Annual_Cost'!$A$2:$A$807,A150,'Annual_Cost'!$B$2:$B$807,B150)</f>
      </c>
      <c r="F150" s="106" t="str">
        <f>SUMIFS('Annual_Cost'!$W$2:$W$807,'Annual_Cost'!$A$2:$A$807,A150,'Annual_Cost'!$B$2:$B$807,B150)</f>
      </c>
      <c r="G150" s="107" t="str">
        <f>SUMIFS($E$2:E150,$A$2:A150,A150)</f>
      </c>
      <c r="H150" s="108" t="str">
        <f>SUMIFS($F$2:F150,$A$2:A150,A150)</f>
      </c>
    </row>
    <row r="151">
      <c r="A151" t="s">
        <v>207</v>
      </c>
      <c r="B151" s="102" t="n">
        <v>2044</v>
      </c>
      <c r="C151" s="103" t="str">
        <f>SUMIFS('Annual_Cost'!$Q$2:$Q$807,'Annual_Cost'!$A$2:$A$807,A151,'Annual_Cost'!$B$2:$B$807,B151)</f>
      </c>
      <c r="D151" s="104" t="str">
        <f>SUMIFS('Annual_Cost'!$R$2:$R$807,'Annual_Cost'!$A$2:$A$807,A151,'Annual_Cost'!$B$2:$B$807,B151)</f>
      </c>
      <c r="E151" s="105" t="str">
        <f>SUMIFS('Annual_Cost'!$S$2:$S$807,'Annual_Cost'!$A$2:$A$807,A151,'Annual_Cost'!$B$2:$B$807,B151)</f>
      </c>
      <c r="F151" s="106" t="str">
        <f>SUMIFS('Annual_Cost'!$W$2:$W$807,'Annual_Cost'!$A$2:$A$807,A151,'Annual_Cost'!$B$2:$B$807,B151)</f>
      </c>
      <c r="G151" s="107" t="str">
        <f>SUMIFS($E$2:E151,$A$2:A151,A151)</f>
      </c>
      <c r="H151" s="108" t="str">
        <f>SUMIFS($F$2:F151,$A$2:A151,A151)</f>
      </c>
    </row>
    <row r="152">
      <c r="A152" t="s">
        <v>207</v>
      </c>
      <c r="B152" s="102" t="n">
        <v>2045</v>
      </c>
      <c r="C152" s="103" t="str">
        <f>SUMIFS('Annual_Cost'!$Q$2:$Q$807,'Annual_Cost'!$A$2:$A$807,A152,'Annual_Cost'!$B$2:$B$807,B152)</f>
      </c>
      <c r="D152" s="104" t="str">
        <f>SUMIFS('Annual_Cost'!$R$2:$R$807,'Annual_Cost'!$A$2:$A$807,A152,'Annual_Cost'!$B$2:$B$807,B152)</f>
      </c>
      <c r="E152" s="105" t="str">
        <f>SUMIFS('Annual_Cost'!$S$2:$S$807,'Annual_Cost'!$A$2:$A$807,A152,'Annual_Cost'!$B$2:$B$807,B152)</f>
      </c>
      <c r="F152" s="106" t="str">
        <f>SUMIFS('Annual_Cost'!$W$2:$W$807,'Annual_Cost'!$A$2:$A$807,A152,'Annual_Cost'!$B$2:$B$807,B152)</f>
      </c>
      <c r="G152" s="107" t="str">
        <f>SUMIFS($E$2:E152,$A$2:A152,A152)</f>
      </c>
      <c r="H152" s="108" t="str">
        <f>SUMIFS($F$2:F152,$A$2:A152,A152)</f>
      </c>
    </row>
    <row r="153">
      <c r="A153" t="s">
        <v>207</v>
      </c>
      <c r="B153" s="102" t="n">
        <v>2046</v>
      </c>
      <c r="C153" s="103" t="str">
        <f>SUMIFS('Annual_Cost'!$Q$2:$Q$807,'Annual_Cost'!$A$2:$A$807,A153,'Annual_Cost'!$B$2:$B$807,B153)</f>
      </c>
      <c r="D153" s="104" t="str">
        <f>SUMIFS('Annual_Cost'!$R$2:$R$807,'Annual_Cost'!$A$2:$A$807,A153,'Annual_Cost'!$B$2:$B$807,B153)</f>
      </c>
      <c r="E153" s="105" t="str">
        <f>SUMIFS('Annual_Cost'!$S$2:$S$807,'Annual_Cost'!$A$2:$A$807,A153,'Annual_Cost'!$B$2:$B$807,B153)</f>
      </c>
      <c r="F153" s="106" t="str">
        <f>SUMIFS('Annual_Cost'!$W$2:$W$807,'Annual_Cost'!$A$2:$A$807,A153,'Annual_Cost'!$B$2:$B$807,B153)</f>
      </c>
      <c r="G153" s="107" t="str">
        <f>SUMIFS($E$2:E153,$A$2:A153,A153)</f>
      </c>
      <c r="H153" s="108" t="str">
        <f>SUMIFS($F$2:F153,$A$2:A153,A153)</f>
      </c>
    </row>
    <row r="154">
      <c r="A154" t="s">
        <v>207</v>
      </c>
      <c r="B154" s="102" t="n">
        <v>2047</v>
      </c>
      <c r="C154" s="103" t="str">
        <f>SUMIFS('Annual_Cost'!$Q$2:$Q$807,'Annual_Cost'!$A$2:$A$807,A154,'Annual_Cost'!$B$2:$B$807,B154)</f>
      </c>
      <c r="D154" s="104" t="str">
        <f>SUMIFS('Annual_Cost'!$R$2:$R$807,'Annual_Cost'!$A$2:$A$807,A154,'Annual_Cost'!$B$2:$B$807,B154)</f>
      </c>
      <c r="E154" s="105" t="str">
        <f>SUMIFS('Annual_Cost'!$S$2:$S$807,'Annual_Cost'!$A$2:$A$807,A154,'Annual_Cost'!$B$2:$B$807,B154)</f>
      </c>
      <c r="F154" s="106" t="str">
        <f>SUMIFS('Annual_Cost'!$W$2:$W$807,'Annual_Cost'!$A$2:$A$807,A154,'Annual_Cost'!$B$2:$B$807,B154)</f>
      </c>
      <c r="G154" s="107" t="str">
        <f>SUMIFS($E$2:E154,$A$2:A154,A154)</f>
      </c>
      <c r="H154" s="108" t="str">
        <f>SUMIFS($F$2:F154,$A$2:A154,A154)</f>
      </c>
    </row>
    <row r="155">
      <c r="A155" t="s">
        <v>207</v>
      </c>
      <c r="B155" s="102" t="n">
        <v>2048</v>
      </c>
      <c r="C155" s="103" t="str">
        <f>SUMIFS('Annual_Cost'!$Q$2:$Q$807,'Annual_Cost'!$A$2:$A$807,A155,'Annual_Cost'!$B$2:$B$807,B155)</f>
      </c>
      <c r="D155" s="104" t="str">
        <f>SUMIFS('Annual_Cost'!$R$2:$R$807,'Annual_Cost'!$A$2:$A$807,A155,'Annual_Cost'!$B$2:$B$807,B155)</f>
      </c>
      <c r="E155" s="105" t="str">
        <f>SUMIFS('Annual_Cost'!$S$2:$S$807,'Annual_Cost'!$A$2:$A$807,A155,'Annual_Cost'!$B$2:$B$807,B155)</f>
      </c>
      <c r="F155" s="106" t="str">
        <f>SUMIFS('Annual_Cost'!$W$2:$W$807,'Annual_Cost'!$A$2:$A$807,A155,'Annual_Cost'!$B$2:$B$807,B155)</f>
      </c>
      <c r="G155" s="107" t="str">
        <f>SUMIFS($E$2:E155,$A$2:A155,A155)</f>
      </c>
      <c r="H155" s="108" t="str">
        <f>SUMIFS($F$2:F155,$A$2:A155,A155)</f>
      </c>
    </row>
    <row r="156">
      <c r="A156" t="s">
        <v>207</v>
      </c>
      <c r="B156" s="102" t="n">
        <v>2049</v>
      </c>
      <c r="C156" s="103" t="str">
        <f>SUMIFS('Annual_Cost'!$Q$2:$Q$807,'Annual_Cost'!$A$2:$A$807,A156,'Annual_Cost'!$B$2:$B$807,B156)</f>
      </c>
      <c r="D156" s="104" t="str">
        <f>SUMIFS('Annual_Cost'!$R$2:$R$807,'Annual_Cost'!$A$2:$A$807,A156,'Annual_Cost'!$B$2:$B$807,B156)</f>
      </c>
      <c r="E156" s="105" t="str">
        <f>SUMIFS('Annual_Cost'!$S$2:$S$807,'Annual_Cost'!$A$2:$A$807,A156,'Annual_Cost'!$B$2:$B$807,B156)</f>
      </c>
      <c r="F156" s="106" t="str">
        <f>SUMIFS('Annual_Cost'!$W$2:$W$807,'Annual_Cost'!$A$2:$A$807,A156,'Annual_Cost'!$B$2:$B$807,B156)</f>
      </c>
      <c r="G156" s="107" t="str">
        <f>SUMIFS($E$2:E156,$A$2:A156,A156)</f>
      </c>
      <c r="H156" s="108" t="str">
        <f>SUMIFS($F$2:F156,$A$2:A156,A156)</f>
      </c>
    </row>
    <row r="157">
      <c r="A157" t="s">
        <v>207</v>
      </c>
      <c r="B157" s="102" t="n">
        <v>2050</v>
      </c>
      <c r="C157" s="103" t="str">
        <f>SUMIFS('Annual_Cost'!$Q$2:$Q$807,'Annual_Cost'!$A$2:$A$807,A157,'Annual_Cost'!$B$2:$B$807,B157)</f>
      </c>
      <c r="D157" s="104" t="str">
        <f>SUMIFS('Annual_Cost'!$R$2:$R$807,'Annual_Cost'!$A$2:$A$807,A157,'Annual_Cost'!$B$2:$B$807,B157)</f>
      </c>
      <c r="E157" s="105" t="str">
        <f>SUMIFS('Annual_Cost'!$S$2:$S$807,'Annual_Cost'!$A$2:$A$807,A157,'Annual_Cost'!$B$2:$B$807,B157)</f>
      </c>
      <c r="F157" s="106" t="str">
        <f>SUMIFS('Annual_Cost'!$W$2:$W$807,'Annual_Cost'!$A$2:$A$807,A157,'Annual_Cost'!$B$2:$B$807,B157)</f>
      </c>
      <c r="G157" s="107" t="str">
        <f>SUMIFS($E$2:E157,$A$2:A157,A157)</f>
      </c>
      <c r="H157" s="108" t="str">
        <f>SUMIFS($F$2:F157,$A$2:A157,A157)</f>
      </c>
    </row>
    <row r="158">
      <c r="A158" t="s">
        <v>226</v>
      </c>
      <c r="B158" s="102" t="n">
        <v>2025</v>
      </c>
      <c r="C158" s="103" t="str">
        <f>SUMIFS('Annual_Cost'!$Q$2:$Q$807,'Annual_Cost'!$A$2:$A$807,A158,'Annual_Cost'!$B$2:$B$807,B158)</f>
      </c>
      <c r="D158" s="104" t="str">
        <f>SUMIFS('Annual_Cost'!$R$2:$R$807,'Annual_Cost'!$A$2:$A$807,A158,'Annual_Cost'!$B$2:$B$807,B158)</f>
      </c>
      <c r="E158" s="105" t="str">
        <f>SUMIFS('Annual_Cost'!$S$2:$S$807,'Annual_Cost'!$A$2:$A$807,A158,'Annual_Cost'!$B$2:$B$807,B158)</f>
      </c>
      <c r="F158" s="106" t="str">
        <f>SUMIFS('Annual_Cost'!$W$2:$W$807,'Annual_Cost'!$A$2:$A$807,A158,'Annual_Cost'!$B$2:$B$807,B158)</f>
      </c>
      <c r="G158" s="107" t="str">
        <f>SUMIFS($E$2:E158,$A$2:A158,A158)</f>
      </c>
      <c r="H158" s="108" t="str">
        <f>SUMIFS($F$2:F158,$A$2:A158,A158)</f>
      </c>
    </row>
    <row r="159">
      <c r="A159" t="s">
        <v>226</v>
      </c>
      <c r="B159" s="102" t="n">
        <v>2026</v>
      </c>
      <c r="C159" s="103" t="str">
        <f>SUMIFS('Annual_Cost'!$Q$2:$Q$807,'Annual_Cost'!$A$2:$A$807,A159,'Annual_Cost'!$B$2:$B$807,B159)</f>
      </c>
      <c r="D159" s="104" t="str">
        <f>SUMIFS('Annual_Cost'!$R$2:$R$807,'Annual_Cost'!$A$2:$A$807,A159,'Annual_Cost'!$B$2:$B$807,B159)</f>
      </c>
      <c r="E159" s="105" t="str">
        <f>SUMIFS('Annual_Cost'!$S$2:$S$807,'Annual_Cost'!$A$2:$A$807,A159,'Annual_Cost'!$B$2:$B$807,B159)</f>
      </c>
      <c r="F159" s="106" t="str">
        <f>SUMIFS('Annual_Cost'!$W$2:$W$807,'Annual_Cost'!$A$2:$A$807,A159,'Annual_Cost'!$B$2:$B$807,B159)</f>
      </c>
      <c r="G159" s="107" t="str">
        <f>SUMIFS($E$2:E159,$A$2:A159,A159)</f>
      </c>
      <c r="H159" s="108" t="str">
        <f>SUMIFS($F$2:F159,$A$2:A159,A159)</f>
      </c>
    </row>
    <row r="160">
      <c r="A160" t="s">
        <v>226</v>
      </c>
      <c r="B160" s="102" t="n">
        <v>2027</v>
      </c>
      <c r="C160" s="103" t="str">
        <f>SUMIFS('Annual_Cost'!$Q$2:$Q$807,'Annual_Cost'!$A$2:$A$807,A160,'Annual_Cost'!$B$2:$B$807,B160)</f>
      </c>
      <c r="D160" s="104" t="str">
        <f>SUMIFS('Annual_Cost'!$R$2:$R$807,'Annual_Cost'!$A$2:$A$807,A160,'Annual_Cost'!$B$2:$B$807,B160)</f>
      </c>
      <c r="E160" s="105" t="str">
        <f>SUMIFS('Annual_Cost'!$S$2:$S$807,'Annual_Cost'!$A$2:$A$807,A160,'Annual_Cost'!$B$2:$B$807,B160)</f>
      </c>
      <c r="F160" s="106" t="str">
        <f>SUMIFS('Annual_Cost'!$W$2:$W$807,'Annual_Cost'!$A$2:$A$807,A160,'Annual_Cost'!$B$2:$B$807,B160)</f>
      </c>
      <c r="G160" s="107" t="str">
        <f>SUMIFS($E$2:E160,$A$2:A160,A160)</f>
      </c>
      <c r="H160" s="108" t="str">
        <f>SUMIFS($F$2:F160,$A$2:A160,A160)</f>
      </c>
    </row>
    <row r="161">
      <c r="A161" t="s">
        <v>226</v>
      </c>
      <c r="B161" s="102" t="n">
        <v>2028</v>
      </c>
      <c r="C161" s="103" t="str">
        <f>SUMIFS('Annual_Cost'!$Q$2:$Q$807,'Annual_Cost'!$A$2:$A$807,A161,'Annual_Cost'!$B$2:$B$807,B161)</f>
      </c>
      <c r="D161" s="104" t="str">
        <f>SUMIFS('Annual_Cost'!$R$2:$R$807,'Annual_Cost'!$A$2:$A$807,A161,'Annual_Cost'!$B$2:$B$807,B161)</f>
      </c>
      <c r="E161" s="105" t="str">
        <f>SUMIFS('Annual_Cost'!$S$2:$S$807,'Annual_Cost'!$A$2:$A$807,A161,'Annual_Cost'!$B$2:$B$807,B161)</f>
      </c>
      <c r="F161" s="106" t="str">
        <f>SUMIFS('Annual_Cost'!$W$2:$W$807,'Annual_Cost'!$A$2:$A$807,A161,'Annual_Cost'!$B$2:$B$807,B161)</f>
      </c>
      <c r="G161" s="107" t="str">
        <f>SUMIFS($E$2:E161,$A$2:A161,A161)</f>
      </c>
      <c r="H161" s="108" t="str">
        <f>SUMIFS($F$2:F161,$A$2:A161,A161)</f>
      </c>
    </row>
    <row r="162">
      <c r="A162" t="s">
        <v>226</v>
      </c>
      <c r="B162" s="102" t="n">
        <v>2029</v>
      </c>
      <c r="C162" s="103" t="str">
        <f>SUMIFS('Annual_Cost'!$Q$2:$Q$807,'Annual_Cost'!$A$2:$A$807,A162,'Annual_Cost'!$B$2:$B$807,B162)</f>
      </c>
      <c r="D162" s="104" t="str">
        <f>SUMIFS('Annual_Cost'!$R$2:$R$807,'Annual_Cost'!$A$2:$A$807,A162,'Annual_Cost'!$B$2:$B$807,B162)</f>
      </c>
      <c r="E162" s="105" t="str">
        <f>SUMIFS('Annual_Cost'!$S$2:$S$807,'Annual_Cost'!$A$2:$A$807,A162,'Annual_Cost'!$B$2:$B$807,B162)</f>
      </c>
      <c r="F162" s="106" t="str">
        <f>SUMIFS('Annual_Cost'!$W$2:$W$807,'Annual_Cost'!$A$2:$A$807,A162,'Annual_Cost'!$B$2:$B$807,B162)</f>
      </c>
      <c r="G162" s="107" t="str">
        <f>SUMIFS($E$2:E162,$A$2:A162,A162)</f>
      </c>
      <c r="H162" s="108" t="str">
        <f>SUMIFS($F$2:F162,$A$2:A162,A162)</f>
      </c>
    </row>
    <row r="163">
      <c r="A163" t="s">
        <v>226</v>
      </c>
      <c r="B163" s="102" t="n">
        <v>2030</v>
      </c>
      <c r="C163" s="103" t="str">
        <f>SUMIFS('Annual_Cost'!$Q$2:$Q$807,'Annual_Cost'!$A$2:$A$807,A163,'Annual_Cost'!$B$2:$B$807,B163)</f>
      </c>
      <c r="D163" s="104" t="str">
        <f>SUMIFS('Annual_Cost'!$R$2:$R$807,'Annual_Cost'!$A$2:$A$807,A163,'Annual_Cost'!$B$2:$B$807,B163)</f>
      </c>
      <c r="E163" s="105" t="str">
        <f>SUMIFS('Annual_Cost'!$S$2:$S$807,'Annual_Cost'!$A$2:$A$807,A163,'Annual_Cost'!$B$2:$B$807,B163)</f>
      </c>
      <c r="F163" s="106" t="str">
        <f>SUMIFS('Annual_Cost'!$W$2:$W$807,'Annual_Cost'!$A$2:$A$807,A163,'Annual_Cost'!$B$2:$B$807,B163)</f>
      </c>
      <c r="G163" s="107" t="str">
        <f>SUMIFS($E$2:E163,$A$2:A163,A163)</f>
      </c>
      <c r="H163" s="108" t="str">
        <f>SUMIFS($F$2:F163,$A$2:A163,A163)</f>
      </c>
    </row>
    <row r="164">
      <c r="A164" t="s">
        <v>226</v>
      </c>
      <c r="B164" s="102" t="n">
        <v>2031</v>
      </c>
      <c r="C164" s="103" t="str">
        <f>SUMIFS('Annual_Cost'!$Q$2:$Q$807,'Annual_Cost'!$A$2:$A$807,A164,'Annual_Cost'!$B$2:$B$807,B164)</f>
      </c>
      <c r="D164" s="104" t="str">
        <f>SUMIFS('Annual_Cost'!$R$2:$R$807,'Annual_Cost'!$A$2:$A$807,A164,'Annual_Cost'!$B$2:$B$807,B164)</f>
      </c>
      <c r="E164" s="105" t="str">
        <f>SUMIFS('Annual_Cost'!$S$2:$S$807,'Annual_Cost'!$A$2:$A$807,A164,'Annual_Cost'!$B$2:$B$807,B164)</f>
      </c>
      <c r="F164" s="106" t="str">
        <f>SUMIFS('Annual_Cost'!$W$2:$W$807,'Annual_Cost'!$A$2:$A$807,A164,'Annual_Cost'!$B$2:$B$807,B164)</f>
      </c>
      <c r="G164" s="107" t="str">
        <f>SUMIFS($E$2:E164,$A$2:A164,A164)</f>
      </c>
      <c r="H164" s="108" t="str">
        <f>SUMIFS($F$2:F164,$A$2:A164,A164)</f>
      </c>
    </row>
    <row r="165">
      <c r="A165" t="s">
        <v>226</v>
      </c>
      <c r="B165" s="102" t="n">
        <v>2032</v>
      </c>
      <c r="C165" s="103" t="str">
        <f>SUMIFS('Annual_Cost'!$Q$2:$Q$807,'Annual_Cost'!$A$2:$A$807,A165,'Annual_Cost'!$B$2:$B$807,B165)</f>
      </c>
      <c r="D165" s="104" t="str">
        <f>SUMIFS('Annual_Cost'!$R$2:$R$807,'Annual_Cost'!$A$2:$A$807,A165,'Annual_Cost'!$B$2:$B$807,B165)</f>
      </c>
      <c r="E165" s="105" t="str">
        <f>SUMIFS('Annual_Cost'!$S$2:$S$807,'Annual_Cost'!$A$2:$A$807,A165,'Annual_Cost'!$B$2:$B$807,B165)</f>
      </c>
      <c r="F165" s="106" t="str">
        <f>SUMIFS('Annual_Cost'!$W$2:$W$807,'Annual_Cost'!$A$2:$A$807,A165,'Annual_Cost'!$B$2:$B$807,B165)</f>
      </c>
      <c r="G165" s="107" t="str">
        <f>SUMIFS($E$2:E165,$A$2:A165,A165)</f>
      </c>
      <c r="H165" s="108" t="str">
        <f>SUMIFS($F$2:F165,$A$2:A165,A165)</f>
      </c>
    </row>
    <row r="166">
      <c r="A166" t="s">
        <v>226</v>
      </c>
      <c r="B166" s="102" t="n">
        <v>2033</v>
      </c>
      <c r="C166" s="103" t="str">
        <f>SUMIFS('Annual_Cost'!$Q$2:$Q$807,'Annual_Cost'!$A$2:$A$807,A166,'Annual_Cost'!$B$2:$B$807,B166)</f>
      </c>
      <c r="D166" s="104" t="str">
        <f>SUMIFS('Annual_Cost'!$R$2:$R$807,'Annual_Cost'!$A$2:$A$807,A166,'Annual_Cost'!$B$2:$B$807,B166)</f>
      </c>
      <c r="E166" s="105" t="str">
        <f>SUMIFS('Annual_Cost'!$S$2:$S$807,'Annual_Cost'!$A$2:$A$807,A166,'Annual_Cost'!$B$2:$B$807,B166)</f>
      </c>
      <c r="F166" s="106" t="str">
        <f>SUMIFS('Annual_Cost'!$W$2:$W$807,'Annual_Cost'!$A$2:$A$807,A166,'Annual_Cost'!$B$2:$B$807,B166)</f>
      </c>
      <c r="G166" s="107" t="str">
        <f>SUMIFS($E$2:E166,$A$2:A166,A166)</f>
      </c>
      <c r="H166" s="108" t="str">
        <f>SUMIFS($F$2:F166,$A$2:A166,A166)</f>
      </c>
    </row>
    <row r="167">
      <c r="A167" t="s">
        <v>226</v>
      </c>
      <c r="B167" s="102" t="n">
        <v>2034</v>
      </c>
      <c r="C167" s="103" t="str">
        <f>SUMIFS('Annual_Cost'!$Q$2:$Q$807,'Annual_Cost'!$A$2:$A$807,A167,'Annual_Cost'!$B$2:$B$807,B167)</f>
      </c>
      <c r="D167" s="104" t="str">
        <f>SUMIFS('Annual_Cost'!$R$2:$R$807,'Annual_Cost'!$A$2:$A$807,A167,'Annual_Cost'!$B$2:$B$807,B167)</f>
      </c>
      <c r="E167" s="105" t="str">
        <f>SUMIFS('Annual_Cost'!$S$2:$S$807,'Annual_Cost'!$A$2:$A$807,A167,'Annual_Cost'!$B$2:$B$807,B167)</f>
      </c>
      <c r="F167" s="106" t="str">
        <f>SUMIFS('Annual_Cost'!$W$2:$W$807,'Annual_Cost'!$A$2:$A$807,A167,'Annual_Cost'!$B$2:$B$807,B167)</f>
      </c>
      <c r="G167" s="107" t="str">
        <f>SUMIFS($E$2:E167,$A$2:A167,A167)</f>
      </c>
      <c r="H167" s="108" t="str">
        <f>SUMIFS($F$2:F167,$A$2:A167,A167)</f>
      </c>
    </row>
    <row r="168">
      <c r="A168" t="s">
        <v>226</v>
      </c>
      <c r="B168" s="102" t="n">
        <v>2035</v>
      </c>
      <c r="C168" s="103" t="str">
        <f>SUMIFS('Annual_Cost'!$Q$2:$Q$807,'Annual_Cost'!$A$2:$A$807,A168,'Annual_Cost'!$B$2:$B$807,B168)</f>
      </c>
      <c r="D168" s="104" t="str">
        <f>SUMIFS('Annual_Cost'!$R$2:$R$807,'Annual_Cost'!$A$2:$A$807,A168,'Annual_Cost'!$B$2:$B$807,B168)</f>
      </c>
      <c r="E168" s="105" t="str">
        <f>SUMIFS('Annual_Cost'!$S$2:$S$807,'Annual_Cost'!$A$2:$A$807,A168,'Annual_Cost'!$B$2:$B$807,B168)</f>
      </c>
      <c r="F168" s="106" t="str">
        <f>SUMIFS('Annual_Cost'!$W$2:$W$807,'Annual_Cost'!$A$2:$A$807,A168,'Annual_Cost'!$B$2:$B$807,B168)</f>
      </c>
      <c r="G168" s="107" t="str">
        <f>SUMIFS($E$2:E168,$A$2:A168,A168)</f>
      </c>
      <c r="H168" s="108" t="str">
        <f>SUMIFS($F$2:F168,$A$2:A168,A168)</f>
      </c>
    </row>
    <row r="169">
      <c r="A169" t="s">
        <v>226</v>
      </c>
      <c r="B169" s="102" t="n">
        <v>2036</v>
      </c>
      <c r="C169" s="103" t="str">
        <f>SUMIFS('Annual_Cost'!$Q$2:$Q$807,'Annual_Cost'!$A$2:$A$807,A169,'Annual_Cost'!$B$2:$B$807,B169)</f>
      </c>
      <c r="D169" s="104" t="str">
        <f>SUMIFS('Annual_Cost'!$R$2:$R$807,'Annual_Cost'!$A$2:$A$807,A169,'Annual_Cost'!$B$2:$B$807,B169)</f>
      </c>
      <c r="E169" s="105" t="str">
        <f>SUMIFS('Annual_Cost'!$S$2:$S$807,'Annual_Cost'!$A$2:$A$807,A169,'Annual_Cost'!$B$2:$B$807,B169)</f>
      </c>
      <c r="F169" s="106" t="str">
        <f>SUMIFS('Annual_Cost'!$W$2:$W$807,'Annual_Cost'!$A$2:$A$807,A169,'Annual_Cost'!$B$2:$B$807,B169)</f>
      </c>
      <c r="G169" s="107" t="str">
        <f>SUMIFS($E$2:E169,$A$2:A169,A169)</f>
      </c>
      <c r="H169" s="108" t="str">
        <f>SUMIFS($F$2:F169,$A$2:A169,A169)</f>
      </c>
    </row>
    <row r="170">
      <c r="A170" t="s">
        <v>226</v>
      </c>
      <c r="B170" s="102" t="n">
        <v>2037</v>
      </c>
      <c r="C170" s="103" t="str">
        <f>SUMIFS('Annual_Cost'!$Q$2:$Q$807,'Annual_Cost'!$A$2:$A$807,A170,'Annual_Cost'!$B$2:$B$807,B170)</f>
      </c>
      <c r="D170" s="104" t="str">
        <f>SUMIFS('Annual_Cost'!$R$2:$R$807,'Annual_Cost'!$A$2:$A$807,A170,'Annual_Cost'!$B$2:$B$807,B170)</f>
      </c>
      <c r="E170" s="105" t="str">
        <f>SUMIFS('Annual_Cost'!$S$2:$S$807,'Annual_Cost'!$A$2:$A$807,A170,'Annual_Cost'!$B$2:$B$807,B170)</f>
      </c>
      <c r="F170" s="106" t="str">
        <f>SUMIFS('Annual_Cost'!$W$2:$W$807,'Annual_Cost'!$A$2:$A$807,A170,'Annual_Cost'!$B$2:$B$807,B170)</f>
      </c>
      <c r="G170" s="107" t="str">
        <f>SUMIFS($E$2:E170,$A$2:A170,A170)</f>
      </c>
      <c r="H170" s="108" t="str">
        <f>SUMIFS($F$2:F170,$A$2:A170,A170)</f>
      </c>
    </row>
    <row r="171">
      <c r="A171" t="s">
        <v>226</v>
      </c>
      <c r="B171" s="102" t="n">
        <v>2038</v>
      </c>
      <c r="C171" s="103" t="str">
        <f>SUMIFS('Annual_Cost'!$Q$2:$Q$807,'Annual_Cost'!$A$2:$A$807,A171,'Annual_Cost'!$B$2:$B$807,B171)</f>
      </c>
      <c r="D171" s="104" t="str">
        <f>SUMIFS('Annual_Cost'!$R$2:$R$807,'Annual_Cost'!$A$2:$A$807,A171,'Annual_Cost'!$B$2:$B$807,B171)</f>
      </c>
      <c r="E171" s="105" t="str">
        <f>SUMIFS('Annual_Cost'!$S$2:$S$807,'Annual_Cost'!$A$2:$A$807,A171,'Annual_Cost'!$B$2:$B$807,B171)</f>
      </c>
      <c r="F171" s="106" t="str">
        <f>SUMIFS('Annual_Cost'!$W$2:$W$807,'Annual_Cost'!$A$2:$A$807,A171,'Annual_Cost'!$B$2:$B$807,B171)</f>
      </c>
      <c r="G171" s="107" t="str">
        <f>SUMIFS($E$2:E171,$A$2:A171,A171)</f>
      </c>
      <c r="H171" s="108" t="str">
        <f>SUMIFS($F$2:F171,$A$2:A171,A171)</f>
      </c>
    </row>
    <row r="172">
      <c r="A172" t="s">
        <v>226</v>
      </c>
      <c r="B172" s="102" t="n">
        <v>2039</v>
      </c>
      <c r="C172" s="103" t="str">
        <f>SUMIFS('Annual_Cost'!$Q$2:$Q$807,'Annual_Cost'!$A$2:$A$807,A172,'Annual_Cost'!$B$2:$B$807,B172)</f>
      </c>
      <c r="D172" s="104" t="str">
        <f>SUMIFS('Annual_Cost'!$R$2:$R$807,'Annual_Cost'!$A$2:$A$807,A172,'Annual_Cost'!$B$2:$B$807,B172)</f>
      </c>
      <c r="E172" s="105" t="str">
        <f>SUMIFS('Annual_Cost'!$S$2:$S$807,'Annual_Cost'!$A$2:$A$807,A172,'Annual_Cost'!$B$2:$B$807,B172)</f>
      </c>
      <c r="F172" s="106" t="str">
        <f>SUMIFS('Annual_Cost'!$W$2:$W$807,'Annual_Cost'!$A$2:$A$807,A172,'Annual_Cost'!$B$2:$B$807,B172)</f>
      </c>
      <c r="G172" s="107" t="str">
        <f>SUMIFS($E$2:E172,$A$2:A172,A172)</f>
      </c>
      <c r="H172" s="108" t="str">
        <f>SUMIFS($F$2:F172,$A$2:A172,A172)</f>
      </c>
    </row>
    <row r="173">
      <c r="A173" t="s">
        <v>226</v>
      </c>
      <c r="B173" s="102" t="n">
        <v>2040</v>
      </c>
      <c r="C173" s="103" t="str">
        <f>SUMIFS('Annual_Cost'!$Q$2:$Q$807,'Annual_Cost'!$A$2:$A$807,A173,'Annual_Cost'!$B$2:$B$807,B173)</f>
      </c>
      <c r="D173" s="104" t="str">
        <f>SUMIFS('Annual_Cost'!$R$2:$R$807,'Annual_Cost'!$A$2:$A$807,A173,'Annual_Cost'!$B$2:$B$807,B173)</f>
      </c>
      <c r="E173" s="105" t="str">
        <f>SUMIFS('Annual_Cost'!$S$2:$S$807,'Annual_Cost'!$A$2:$A$807,A173,'Annual_Cost'!$B$2:$B$807,B173)</f>
      </c>
      <c r="F173" s="106" t="str">
        <f>SUMIFS('Annual_Cost'!$W$2:$W$807,'Annual_Cost'!$A$2:$A$807,A173,'Annual_Cost'!$B$2:$B$807,B173)</f>
      </c>
      <c r="G173" s="107" t="str">
        <f>SUMIFS($E$2:E173,$A$2:A173,A173)</f>
      </c>
      <c r="H173" s="108" t="str">
        <f>SUMIFS($F$2:F173,$A$2:A173,A173)</f>
      </c>
    </row>
    <row r="174">
      <c r="A174" t="s">
        <v>226</v>
      </c>
      <c r="B174" s="102" t="n">
        <v>2041</v>
      </c>
      <c r="C174" s="103" t="str">
        <f>SUMIFS('Annual_Cost'!$Q$2:$Q$807,'Annual_Cost'!$A$2:$A$807,A174,'Annual_Cost'!$B$2:$B$807,B174)</f>
      </c>
      <c r="D174" s="104" t="str">
        <f>SUMIFS('Annual_Cost'!$R$2:$R$807,'Annual_Cost'!$A$2:$A$807,A174,'Annual_Cost'!$B$2:$B$807,B174)</f>
      </c>
      <c r="E174" s="105" t="str">
        <f>SUMIFS('Annual_Cost'!$S$2:$S$807,'Annual_Cost'!$A$2:$A$807,A174,'Annual_Cost'!$B$2:$B$807,B174)</f>
      </c>
      <c r="F174" s="106" t="str">
        <f>SUMIFS('Annual_Cost'!$W$2:$W$807,'Annual_Cost'!$A$2:$A$807,A174,'Annual_Cost'!$B$2:$B$807,B174)</f>
      </c>
      <c r="G174" s="107" t="str">
        <f>SUMIFS($E$2:E174,$A$2:A174,A174)</f>
      </c>
      <c r="H174" s="108" t="str">
        <f>SUMIFS($F$2:F174,$A$2:A174,A174)</f>
      </c>
    </row>
    <row r="175">
      <c r="A175" t="s">
        <v>226</v>
      </c>
      <c r="B175" s="102" t="n">
        <v>2042</v>
      </c>
      <c r="C175" s="103" t="str">
        <f>SUMIFS('Annual_Cost'!$Q$2:$Q$807,'Annual_Cost'!$A$2:$A$807,A175,'Annual_Cost'!$B$2:$B$807,B175)</f>
      </c>
      <c r="D175" s="104" t="str">
        <f>SUMIFS('Annual_Cost'!$R$2:$R$807,'Annual_Cost'!$A$2:$A$807,A175,'Annual_Cost'!$B$2:$B$807,B175)</f>
      </c>
      <c r="E175" s="105" t="str">
        <f>SUMIFS('Annual_Cost'!$S$2:$S$807,'Annual_Cost'!$A$2:$A$807,A175,'Annual_Cost'!$B$2:$B$807,B175)</f>
      </c>
      <c r="F175" s="106" t="str">
        <f>SUMIFS('Annual_Cost'!$W$2:$W$807,'Annual_Cost'!$A$2:$A$807,A175,'Annual_Cost'!$B$2:$B$807,B175)</f>
      </c>
      <c r="G175" s="107" t="str">
        <f>SUMIFS($E$2:E175,$A$2:A175,A175)</f>
      </c>
      <c r="H175" s="108" t="str">
        <f>SUMIFS($F$2:F175,$A$2:A175,A175)</f>
      </c>
    </row>
    <row r="176">
      <c r="A176" t="s">
        <v>226</v>
      </c>
      <c r="B176" s="102" t="n">
        <v>2043</v>
      </c>
      <c r="C176" s="103" t="str">
        <f>SUMIFS('Annual_Cost'!$Q$2:$Q$807,'Annual_Cost'!$A$2:$A$807,A176,'Annual_Cost'!$B$2:$B$807,B176)</f>
      </c>
      <c r="D176" s="104" t="str">
        <f>SUMIFS('Annual_Cost'!$R$2:$R$807,'Annual_Cost'!$A$2:$A$807,A176,'Annual_Cost'!$B$2:$B$807,B176)</f>
      </c>
      <c r="E176" s="105" t="str">
        <f>SUMIFS('Annual_Cost'!$S$2:$S$807,'Annual_Cost'!$A$2:$A$807,A176,'Annual_Cost'!$B$2:$B$807,B176)</f>
      </c>
      <c r="F176" s="106" t="str">
        <f>SUMIFS('Annual_Cost'!$W$2:$W$807,'Annual_Cost'!$A$2:$A$807,A176,'Annual_Cost'!$B$2:$B$807,B176)</f>
      </c>
      <c r="G176" s="107" t="str">
        <f>SUMIFS($E$2:E176,$A$2:A176,A176)</f>
      </c>
      <c r="H176" s="108" t="str">
        <f>SUMIFS($F$2:F176,$A$2:A176,A176)</f>
      </c>
    </row>
    <row r="177">
      <c r="A177" t="s">
        <v>226</v>
      </c>
      <c r="B177" s="102" t="n">
        <v>2044</v>
      </c>
      <c r="C177" s="103" t="str">
        <f>SUMIFS('Annual_Cost'!$Q$2:$Q$807,'Annual_Cost'!$A$2:$A$807,A177,'Annual_Cost'!$B$2:$B$807,B177)</f>
      </c>
      <c r="D177" s="104" t="str">
        <f>SUMIFS('Annual_Cost'!$R$2:$R$807,'Annual_Cost'!$A$2:$A$807,A177,'Annual_Cost'!$B$2:$B$807,B177)</f>
      </c>
      <c r="E177" s="105" t="str">
        <f>SUMIFS('Annual_Cost'!$S$2:$S$807,'Annual_Cost'!$A$2:$A$807,A177,'Annual_Cost'!$B$2:$B$807,B177)</f>
      </c>
      <c r="F177" s="106" t="str">
        <f>SUMIFS('Annual_Cost'!$W$2:$W$807,'Annual_Cost'!$A$2:$A$807,A177,'Annual_Cost'!$B$2:$B$807,B177)</f>
      </c>
      <c r="G177" s="107" t="str">
        <f>SUMIFS($E$2:E177,$A$2:A177,A177)</f>
      </c>
      <c r="H177" s="108" t="str">
        <f>SUMIFS($F$2:F177,$A$2:A177,A177)</f>
      </c>
    </row>
    <row r="178">
      <c r="A178" t="s">
        <v>226</v>
      </c>
      <c r="B178" s="102" t="n">
        <v>2045</v>
      </c>
      <c r="C178" s="103" t="str">
        <f>SUMIFS('Annual_Cost'!$Q$2:$Q$807,'Annual_Cost'!$A$2:$A$807,A178,'Annual_Cost'!$B$2:$B$807,B178)</f>
      </c>
      <c r="D178" s="104" t="str">
        <f>SUMIFS('Annual_Cost'!$R$2:$R$807,'Annual_Cost'!$A$2:$A$807,A178,'Annual_Cost'!$B$2:$B$807,B178)</f>
      </c>
      <c r="E178" s="105" t="str">
        <f>SUMIFS('Annual_Cost'!$S$2:$S$807,'Annual_Cost'!$A$2:$A$807,A178,'Annual_Cost'!$B$2:$B$807,B178)</f>
      </c>
      <c r="F178" s="106" t="str">
        <f>SUMIFS('Annual_Cost'!$W$2:$W$807,'Annual_Cost'!$A$2:$A$807,A178,'Annual_Cost'!$B$2:$B$807,B178)</f>
      </c>
      <c r="G178" s="107" t="str">
        <f>SUMIFS($E$2:E178,$A$2:A178,A178)</f>
      </c>
      <c r="H178" s="108" t="str">
        <f>SUMIFS($F$2:F178,$A$2:A178,A178)</f>
      </c>
    </row>
    <row r="179">
      <c r="A179" t="s">
        <v>226</v>
      </c>
      <c r="B179" s="102" t="n">
        <v>2046</v>
      </c>
      <c r="C179" s="103" t="str">
        <f>SUMIFS('Annual_Cost'!$Q$2:$Q$807,'Annual_Cost'!$A$2:$A$807,A179,'Annual_Cost'!$B$2:$B$807,B179)</f>
      </c>
      <c r="D179" s="104" t="str">
        <f>SUMIFS('Annual_Cost'!$R$2:$R$807,'Annual_Cost'!$A$2:$A$807,A179,'Annual_Cost'!$B$2:$B$807,B179)</f>
      </c>
      <c r="E179" s="105" t="str">
        <f>SUMIFS('Annual_Cost'!$S$2:$S$807,'Annual_Cost'!$A$2:$A$807,A179,'Annual_Cost'!$B$2:$B$807,B179)</f>
      </c>
      <c r="F179" s="106" t="str">
        <f>SUMIFS('Annual_Cost'!$W$2:$W$807,'Annual_Cost'!$A$2:$A$807,A179,'Annual_Cost'!$B$2:$B$807,B179)</f>
      </c>
      <c r="G179" s="107" t="str">
        <f>SUMIFS($E$2:E179,$A$2:A179,A179)</f>
      </c>
      <c r="H179" s="108" t="str">
        <f>SUMIFS($F$2:F179,$A$2:A179,A179)</f>
      </c>
    </row>
    <row r="180">
      <c r="A180" t="s">
        <v>226</v>
      </c>
      <c r="B180" s="102" t="n">
        <v>2047</v>
      </c>
      <c r="C180" s="103" t="str">
        <f>SUMIFS('Annual_Cost'!$Q$2:$Q$807,'Annual_Cost'!$A$2:$A$807,A180,'Annual_Cost'!$B$2:$B$807,B180)</f>
      </c>
      <c r="D180" s="104" t="str">
        <f>SUMIFS('Annual_Cost'!$R$2:$R$807,'Annual_Cost'!$A$2:$A$807,A180,'Annual_Cost'!$B$2:$B$807,B180)</f>
      </c>
      <c r="E180" s="105" t="str">
        <f>SUMIFS('Annual_Cost'!$S$2:$S$807,'Annual_Cost'!$A$2:$A$807,A180,'Annual_Cost'!$B$2:$B$807,B180)</f>
      </c>
      <c r="F180" s="106" t="str">
        <f>SUMIFS('Annual_Cost'!$W$2:$W$807,'Annual_Cost'!$A$2:$A$807,A180,'Annual_Cost'!$B$2:$B$807,B180)</f>
      </c>
      <c r="G180" s="107" t="str">
        <f>SUMIFS($E$2:E180,$A$2:A180,A180)</f>
      </c>
      <c r="H180" s="108" t="str">
        <f>SUMIFS($F$2:F180,$A$2:A180,A180)</f>
      </c>
    </row>
    <row r="181">
      <c r="A181" t="s">
        <v>226</v>
      </c>
      <c r="B181" s="102" t="n">
        <v>2048</v>
      </c>
      <c r="C181" s="103" t="str">
        <f>SUMIFS('Annual_Cost'!$Q$2:$Q$807,'Annual_Cost'!$A$2:$A$807,A181,'Annual_Cost'!$B$2:$B$807,B181)</f>
      </c>
      <c r="D181" s="104" t="str">
        <f>SUMIFS('Annual_Cost'!$R$2:$R$807,'Annual_Cost'!$A$2:$A$807,A181,'Annual_Cost'!$B$2:$B$807,B181)</f>
      </c>
      <c r="E181" s="105" t="str">
        <f>SUMIFS('Annual_Cost'!$S$2:$S$807,'Annual_Cost'!$A$2:$A$807,A181,'Annual_Cost'!$B$2:$B$807,B181)</f>
      </c>
      <c r="F181" s="106" t="str">
        <f>SUMIFS('Annual_Cost'!$W$2:$W$807,'Annual_Cost'!$A$2:$A$807,A181,'Annual_Cost'!$B$2:$B$807,B181)</f>
      </c>
      <c r="G181" s="107" t="str">
        <f>SUMIFS($E$2:E181,$A$2:A181,A181)</f>
      </c>
      <c r="H181" s="108" t="str">
        <f>SUMIFS($F$2:F181,$A$2:A181,A181)</f>
      </c>
    </row>
    <row r="182">
      <c r="A182" t="s">
        <v>226</v>
      </c>
      <c r="B182" s="102" t="n">
        <v>2049</v>
      </c>
      <c r="C182" s="103" t="str">
        <f>SUMIFS('Annual_Cost'!$Q$2:$Q$807,'Annual_Cost'!$A$2:$A$807,A182,'Annual_Cost'!$B$2:$B$807,B182)</f>
      </c>
      <c r="D182" s="104" t="str">
        <f>SUMIFS('Annual_Cost'!$R$2:$R$807,'Annual_Cost'!$A$2:$A$807,A182,'Annual_Cost'!$B$2:$B$807,B182)</f>
      </c>
      <c r="E182" s="105" t="str">
        <f>SUMIFS('Annual_Cost'!$S$2:$S$807,'Annual_Cost'!$A$2:$A$807,A182,'Annual_Cost'!$B$2:$B$807,B182)</f>
      </c>
      <c r="F182" s="106" t="str">
        <f>SUMIFS('Annual_Cost'!$W$2:$W$807,'Annual_Cost'!$A$2:$A$807,A182,'Annual_Cost'!$B$2:$B$807,B182)</f>
      </c>
      <c r="G182" s="107" t="str">
        <f>SUMIFS($E$2:E182,$A$2:A182,A182)</f>
      </c>
      <c r="H182" s="108" t="str">
        <f>SUMIFS($F$2:F182,$A$2:A182,A182)</f>
      </c>
    </row>
    <row r="183">
      <c r="A183" t="s">
        <v>226</v>
      </c>
      <c r="B183" s="102" t="n">
        <v>2050</v>
      </c>
      <c r="C183" s="103" t="str">
        <f>SUMIFS('Annual_Cost'!$Q$2:$Q$807,'Annual_Cost'!$A$2:$A$807,A183,'Annual_Cost'!$B$2:$B$807,B183)</f>
      </c>
      <c r="D183" s="104" t="str">
        <f>SUMIFS('Annual_Cost'!$R$2:$R$807,'Annual_Cost'!$A$2:$A$807,A183,'Annual_Cost'!$B$2:$B$807,B183)</f>
      </c>
      <c r="E183" s="105" t="str">
        <f>SUMIFS('Annual_Cost'!$S$2:$S$807,'Annual_Cost'!$A$2:$A$807,A183,'Annual_Cost'!$B$2:$B$807,B183)</f>
      </c>
      <c r="F183" s="106" t="str">
        <f>SUMIFS('Annual_Cost'!$W$2:$W$807,'Annual_Cost'!$A$2:$A$807,A183,'Annual_Cost'!$B$2:$B$807,B183)</f>
      </c>
      <c r="G183" s="107" t="str">
        <f>SUMIFS($E$2:E183,$A$2:A183,A183)</f>
      </c>
      <c r="H183" s="108" t="str">
        <f>SUMIFS($F$2:F183,$A$2:A183,A183)</f>
      </c>
    </row>
    <row r="184">
      <c r="A184" t="s">
        <v>233</v>
      </c>
      <c r="B184" s="102" t="n">
        <v>2025</v>
      </c>
      <c r="C184" s="103" t="str">
        <f>SUMIFS('Annual_Cost'!$Q$2:$Q$807,'Annual_Cost'!$A$2:$A$807,A184,'Annual_Cost'!$B$2:$B$807,B184)</f>
      </c>
      <c r="D184" s="104" t="str">
        <f>SUMIFS('Annual_Cost'!$R$2:$R$807,'Annual_Cost'!$A$2:$A$807,A184,'Annual_Cost'!$B$2:$B$807,B184)</f>
      </c>
      <c r="E184" s="105" t="str">
        <f>SUMIFS('Annual_Cost'!$S$2:$S$807,'Annual_Cost'!$A$2:$A$807,A184,'Annual_Cost'!$B$2:$B$807,B184)</f>
      </c>
      <c r="F184" s="106" t="str">
        <f>SUMIFS('Annual_Cost'!$W$2:$W$807,'Annual_Cost'!$A$2:$A$807,A184,'Annual_Cost'!$B$2:$B$807,B184)</f>
      </c>
      <c r="G184" s="107" t="str">
        <f>SUMIFS($E$2:E184,$A$2:A184,A184)</f>
      </c>
      <c r="H184" s="108" t="str">
        <f>SUMIFS($F$2:F184,$A$2:A184,A184)</f>
      </c>
    </row>
    <row r="185">
      <c r="A185" t="s">
        <v>233</v>
      </c>
      <c r="B185" s="102" t="n">
        <v>2026</v>
      </c>
      <c r="C185" s="103" t="str">
        <f>SUMIFS('Annual_Cost'!$Q$2:$Q$807,'Annual_Cost'!$A$2:$A$807,A185,'Annual_Cost'!$B$2:$B$807,B185)</f>
      </c>
      <c r="D185" s="104" t="str">
        <f>SUMIFS('Annual_Cost'!$R$2:$R$807,'Annual_Cost'!$A$2:$A$807,A185,'Annual_Cost'!$B$2:$B$807,B185)</f>
      </c>
      <c r="E185" s="105" t="str">
        <f>SUMIFS('Annual_Cost'!$S$2:$S$807,'Annual_Cost'!$A$2:$A$807,A185,'Annual_Cost'!$B$2:$B$807,B185)</f>
      </c>
      <c r="F185" s="106" t="str">
        <f>SUMIFS('Annual_Cost'!$W$2:$W$807,'Annual_Cost'!$A$2:$A$807,A185,'Annual_Cost'!$B$2:$B$807,B185)</f>
      </c>
      <c r="G185" s="107" t="str">
        <f>SUMIFS($E$2:E185,$A$2:A185,A185)</f>
      </c>
      <c r="H185" s="108" t="str">
        <f>SUMIFS($F$2:F185,$A$2:A185,A185)</f>
      </c>
    </row>
    <row r="186">
      <c r="A186" t="s">
        <v>233</v>
      </c>
      <c r="B186" s="102" t="n">
        <v>2027</v>
      </c>
      <c r="C186" s="103" t="str">
        <f>SUMIFS('Annual_Cost'!$Q$2:$Q$807,'Annual_Cost'!$A$2:$A$807,A186,'Annual_Cost'!$B$2:$B$807,B186)</f>
      </c>
      <c r="D186" s="104" t="str">
        <f>SUMIFS('Annual_Cost'!$R$2:$R$807,'Annual_Cost'!$A$2:$A$807,A186,'Annual_Cost'!$B$2:$B$807,B186)</f>
      </c>
      <c r="E186" s="105" t="str">
        <f>SUMIFS('Annual_Cost'!$S$2:$S$807,'Annual_Cost'!$A$2:$A$807,A186,'Annual_Cost'!$B$2:$B$807,B186)</f>
      </c>
      <c r="F186" s="106" t="str">
        <f>SUMIFS('Annual_Cost'!$W$2:$W$807,'Annual_Cost'!$A$2:$A$807,A186,'Annual_Cost'!$B$2:$B$807,B186)</f>
      </c>
      <c r="G186" s="107" t="str">
        <f>SUMIFS($E$2:E186,$A$2:A186,A186)</f>
      </c>
      <c r="H186" s="108" t="str">
        <f>SUMIFS($F$2:F186,$A$2:A186,A186)</f>
      </c>
    </row>
    <row r="187">
      <c r="A187" t="s">
        <v>233</v>
      </c>
      <c r="B187" s="102" t="n">
        <v>2028</v>
      </c>
      <c r="C187" s="103" t="str">
        <f>SUMIFS('Annual_Cost'!$Q$2:$Q$807,'Annual_Cost'!$A$2:$A$807,A187,'Annual_Cost'!$B$2:$B$807,B187)</f>
      </c>
      <c r="D187" s="104" t="str">
        <f>SUMIFS('Annual_Cost'!$R$2:$R$807,'Annual_Cost'!$A$2:$A$807,A187,'Annual_Cost'!$B$2:$B$807,B187)</f>
      </c>
      <c r="E187" s="105" t="str">
        <f>SUMIFS('Annual_Cost'!$S$2:$S$807,'Annual_Cost'!$A$2:$A$807,A187,'Annual_Cost'!$B$2:$B$807,B187)</f>
      </c>
      <c r="F187" s="106" t="str">
        <f>SUMIFS('Annual_Cost'!$W$2:$W$807,'Annual_Cost'!$A$2:$A$807,A187,'Annual_Cost'!$B$2:$B$807,B187)</f>
      </c>
      <c r="G187" s="107" t="str">
        <f>SUMIFS($E$2:E187,$A$2:A187,A187)</f>
      </c>
      <c r="H187" s="108" t="str">
        <f>SUMIFS($F$2:F187,$A$2:A187,A187)</f>
      </c>
    </row>
    <row r="188">
      <c r="A188" t="s">
        <v>233</v>
      </c>
      <c r="B188" s="102" t="n">
        <v>2029</v>
      </c>
      <c r="C188" s="103" t="str">
        <f>SUMIFS('Annual_Cost'!$Q$2:$Q$807,'Annual_Cost'!$A$2:$A$807,A188,'Annual_Cost'!$B$2:$B$807,B188)</f>
      </c>
      <c r="D188" s="104" t="str">
        <f>SUMIFS('Annual_Cost'!$R$2:$R$807,'Annual_Cost'!$A$2:$A$807,A188,'Annual_Cost'!$B$2:$B$807,B188)</f>
      </c>
      <c r="E188" s="105" t="str">
        <f>SUMIFS('Annual_Cost'!$S$2:$S$807,'Annual_Cost'!$A$2:$A$807,A188,'Annual_Cost'!$B$2:$B$807,B188)</f>
      </c>
      <c r="F188" s="106" t="str">
        <f>SUMIFS('Annual_Cost'!$W$2:$W$807,'Annual_Cost'!$A$2:$A$807,A188,'Annual_Cost'!$B$2:$B$807,B188)</f>
      </c>
      <c r="G188" s="107" t="str">
        <f>SUMIFS($E$2:E188,$A$2:A188,A188)</f>
      </c>
      <c r="H188" s="108" t="str">
        <f>SUMIFS($F$2:F188,$A$2:A188,A188)</f>
      </c>
    </row>
    <row r="189">
      <c r="A189" t="s">
        <v>233</v>
      </c>
      <c r="B189" s="102" t="n">
        <v>2030</v>
      </c>
      <c r="C189" s="103" t="str">
        <f>SUMIFS('Annual_Cost'!$Q$2:$Q$807,'Annual_Cost'!$A$2:$A$807,A189,'Annual_Cost'!$B$2:$B$807,B189)</f>
      </c>
      <c r="D189" s="104" t="str">
        <f>SUMIFS('Annual_Cost'!$R$2:$R$807,'Annual_Cost'!$A$2:$A$807,A189,'Annual_Cost'!$B$2:$B$807,B189)</f>
      </c>
      <c r="E189" s="105" t="str">
        <f>SUMIFS('Annual_Cost'!$S$2:$S$807,'Annual_Cost'!$A$2:$A$807,A189,'Annual_Cost'!$B$2:$B$807,B189)</f>
      </c>
      <c r="F189" s="106" t="str">
        <f>SUMIFS('Annual_Cost'!$W$2:$W$807,'Annual_Cost'!$A$2:$A$807,A189,'Annual_Cost'!$B$2:$B$807,B189)</f>
      </c>
      <c r="G189" s="107" t="str">
        <f>SUMIFS($E$2:E189,$A$2:A189,A189)</f>
      </c>
      <c r="H189" s="108" t="str">
        <f>SUMIFS($F$2:F189,$A$2:A189,A189)</f>
      </c>
    </row>
    <row r="190">
      <c r="A190" t="s">
        <v>233</v>
      </c>
      <c r="B190" s="102" t="n">
        <v>2031</v>
      </c>
      <c r="C190" s="103" t="str">
        <f>SUMIFS('Annual_Cost'!$Q$2:$Q$807,'Annual_Cost'!$A$2:$A$807,A190,'Annual_Cost'!$B$2:$B$807,B190)</f>
      </c>
      <c r="D190" s="104" t="str">
        <f>SUMIFS('Annual_Cost'!$R$2:$R$807,'Annual_Cost'!$A$2:$A$807,A190,'Annual_Cost'!$B$2:$B$807,B190)</f>
      </c>
      <c r="E190" s="105" t="str">
        <f>SUMIFS('Annual_Cost'!$S$2:$S$807,'Annual_Cost'!$A$2:$A$807,A190,'Annual_Cost'!$B$2:$B$807,B190)</f>
      </c>
      <c r="F190" s="106" t="str">
        <f>SUMIFS('Annual_Cost'!$W$2:$W$807,'Annual_Cost'!$A$2:$A$807,A190,'Annual_Cost'!$B$2:$B$807,B190)</f>
      </c>
      <c r="G190" s="107" t="str">
        <f>SUMIFS($E$2:E190,$A$2:A190,A190)</f>
      </c>
      <c r="H190" s="108" t="str">
        <f>SUMIFS($F$2:F190,$A$2:A190,A190)</f>
      </c>
    </row>
    <row r="191">
      <c r="A191" t="s">
        <v>233</v>
      </c>
      <c r="B191" s="102" t="n">
        <v>2032</v>
      </c>
      <c r="C191" s="103" t="str">
        <f>SUMIFS('Annual_Cost'!$Q$2:$Q$807,'Annual_Cost'!$A$2:$A$807,A191,'Annual_Cost'!$B$2:$B$807,B191)</f>
      </c>
      <c r="D191" s="104" t="str">
        <f>SUMIFS('Annual_Cost'!$R$2:$R$807,'Annual_Cost'!$A$2:$A$807,A191,'Annual_Cost'!$B$2:$B$807,B191)</f>
      </c>
      <c r="E191" s="105" t="str">
        <f>SUMIFS('Annual_Cost'!$S$2:$S$807,'Annual_Cost'!$A$2:$A$807,A191,'Annual_Cost'!$B$2:$B$807,B191)</f>
      </c>
      <c r="F191" s="106" t="str">
        <f>SUMIFS('Annual_Cost'!$W$2:$W$807,'Annual_Cost'!$A$2:$A$807,A191,'Annual_Cost'!$B$2:$B$807,B191)</f>
      </c>
      <c r="G191" s="107" t="str">
        <f>SUMIFS($E$2:E191,$A$2:A191,A191)</f>
      </c>
      <c r="H191" s="108" t="str">
        <f>SUMIFS($F$2:F191,$A$2:A191,A191)</f>
      </c>
    </row>
    <row r="192">
      <c r="A192" t="s">
        <v>233</v>
      </c>
      <c r="B192" s="102" t="n">
        <v>2033</v>
      </c>
      <c r="C192" s="103" t="str">
        <f>SUMIFS('Annual_Cost'!$Q$2:$Q$807,'Annual_Cost'!$A$2:$A$807,A192,'Annual_Cost'!$B$2:$B$807,B192)</f>
      </c>
      <c r="D192" s="104" t="str">
        <f>SUMIFS('Annual_Cost'!$R$2:$R$807,'Annual_Cost'!$A$2:$A$807,A192,'Annual_Cost'!$B$2:$B$807,B192)</f>
      </c>
      <c r="E192" s="105" t="str">
        <f>SUMIFS('Annual_Cost'!$S$2:$S$807,'Annual_Cost'!$A$2:$A$807,A192,'Annual_Cost'!$B$2:$B$807,B192)</f>
      </c>
      <c r="F192" s="106" t="str">
        <f>SUMIFS('Annual_Cost'!$W$2:$W$807,'Annual_Cost'!$A$2:$A$807,A192,'Annual_Cost'!$B$2:$B$807,B192)</f>
      </c>
      <c r="G192" s="107" t="str">
        <f>SUMIFS($E$2:E192,$A$2:A192,A192)</f>
      </c>
      <c r="H192" s="108" t="str">
        <f>SUMIFS($F$2:F192,$A$2:A192,A192)</f>
      </c>
    </row>
    <row r="193">
      <c r="A193" t="s">
        <v>233</v>
      </c>
      <c r="B193" s="102" t="n">
        <v>2034</v>
      </c>
      <c r="C193" s="103" t="str">
        <f>SUMIFS('Annual_Cost'!$Q$2:$Q$807,'Annual_Cost'!$A$2:$A$807,A193,'Annual_Cost'!$B$2:$B$807,B193)</f>
      </c>
      <c r="D193" s="104" t="str">
        <f>SUMIFS('Annual_Cost'!$R$2:$R$807,'Annual_Cost'!$A$2:$A$807,A193,'Annual_Cost'!$B$2:$B$807,B193)</f>
      </c>
      <c r="E193" s="105" t="str">
        <f>SUMIFS('Annual_Cost'!$S$2:$S$807,'Annual_Cost'!$A$2:$A$807,A193,'Annual_Cost'!$B$2:$B$807,B193)</f>
      </c>
      <c r="F193" s="106" t="str">
        <f>SUMIFS('Annual_Cost'!$W$2:$W$807,'Annual_Cost'!$A$2:$A$807,A193,'Annual_Cost'!$B$2:$B$807,B193)</f>
      </c>
      <c r="G193" s="107" t="str">
        <f>SUMIFS($E$2:E193,$A$2:A193,A193)</f>
      </c>
      <c r="H193" s="108" t="str">
        <f>SUMIFS($F$2:F193,$A$2:A193,A193)</f>
      </c>
    </row>
    <row r="194">
      <c r="A194" t="s">
        <v>233</v>
      </c>
      <c r="B194" s="102" t="n">
        <v>2035</v>
      </c>
      <c r="C194" s="103" t="str">
        <f>SUMIFS('Annual_Cost'!$Q$2:$Q$807,'Annual_Cost'!$A$2:$A$807,A194,'Annual_Cost'!$B$2:$B$807,B194)</f>
      </c>
      <c r="D194" s="104" t="str">
        <f>SUMIFS('Annual_Cost'!$R$2:$R$807,'Annual_Cost'!$A$2:$A$807,A194,'Annual_Cost'!$B$2:$B$807,B194)</f>
      </c>
      <c r="E194" s="105" t="str">
        <f>SUMIFS('Annual_Cost'!$S$2:$S$807,'Annual_Cost'!$A$2:$A$807,A194,'Annual_Cost'!$B$2:$B$807,B194)</f>
      </c>
      <c r="F194" s="106" t="str">
        <f>SUMIFS('Annual_Cost'!$W$2:$W$807,'Annual_Cost'!$A$2:$A$807,A194,'Annual_Cost'!$B$2:$B$807,B194)</f>
      </c>
      <c r="G194" s="107" t="str">
        <f>SUMIFS($E$2:E194,$A$2:A194,A194)</f>
      </c>
      <c r="H194" s="108" t="str">
        <f>SUMIFS($F$2:F194,$A$2:A194,A194)</f>
      </c>
    </row>
    <row r="195">
      <c r="A195" t="s">
        <v>233</v>
      </c>
      <c r="B195" s="102" t="n">
        <v>2036</v>
      </c>
      <c r="C195" s="103" t="str">
        <f>SUMIFS('Annual_Cost'!$Q$2:$Q$807,'Annual_Cost'!$A$2:$A$807,A195,'Annual_Cost'!$B$2:$B$807,B195)</f>
      </c>
      <c r="D195" s="104" t="str">
        <f>SUMIFS('Annual_Cost'!$R$2:$R$807,'Annual_Cost'!$A$2:$A$807,A195,'Annual_Cost'!$B$2:$B$807,B195)</f>
      </c>
      <c r="E195" s="105" t="str">
        <f>SUMIFS('Annual_Cost'!$S$2:$S$807,'Annual_Cost'!$A$2:$A$807,A195,'Annual_Cost'!$B$2:$B$807,B195)</f>
      </c>
      <c r="F195" s="106" t="str">
        <f>SUMIFS('Annual_Cost'!$W$2:$W$807,'Annual_Cost'!$A$2:$A$807,A195,'Annual_Cost'!$B$2:$B$807,B195)</f>
      </c>
      <c r="G195" s="107" t="str">
        <f>SUMIFS($E$2:E195,$A$2:A195,A195)</f>
      </c>
      <c r="H195" s="108" t="str">
        <f>SUMIFS($F$2:F195,$A$2:A195,A195)</f>
      </c>
    </row>
    <row r="196">
      <c r="A196" t="s">
        <v>233</v>
      </c>
      <c r="B196" s="102" t="n">
        <v>2037</v>
      </c>
      <c r="C196" s="103" t="str">
        <f>SUMIFS('Annual_Cost'!$Q$2:$Q$807,'Annual_Cost'!$A$2:$A$807,A196,'Annual_Cost'!$B$2:$B$807,B196)</f>
      </c>
      <c r="D196" s="104" t="str">
        <f>SUMIFS('Annual_Cost'!$R$2:$R$807,'Annual_Cost'!$A$2:$A$807,A196,'Annual_Cost'!$B$2:$B$807,B196)</f>
      </c>
      <c r="E196" s="105" t="str">
        <f>SUMIFS('Annual_Cost'!$S$2:$S$807,'Annual_Cost'!$A$2:$A$807,A196,'Annual_Cost'!$B$2:$B$807,B196)</f>
      </c>
      <c r="F196" s="106" t="str">
        <f>SUMIFS('Annual_Cost'!$W$2:$W$807,'Annual_Cost'!$A$2:$A$807,A196,'Annual_Cost'!$B$2:$B$807,B196)</f>
      </c>
      <c r="G196" s="107" t="str">
        <f>SUMIFS($E$2:E196,$A$2:A196,A196)</f>
      </c>
      <c r="H196" s="108" t="str">
        <f>SUMIFS($F$2:F196,$A$2:A196,A196)</f>
      </c>
    </row>
    <row r="197">
      <c r="A197" t="s">
        <v>233</v>
      </c>
      <c r="B197" s="102" t="n">
        <v>2038</v>
      </c>
      <c r="C197" s="103" t="str">
        <f>SUMIFS('Annual_Cost'!$Q$2:$Q$807,'Annual_Cost'!$A$2:$A$807,A197,'Annual_Cost'!$B$2:$B$807,B197)</f>
      </c>
      <c r="D197" s="104" t="str">
        <f>SUMIFS('Annual_Cost'!$R$2:$R$807,'Annual_Cost'!$A$2:$A$807,A197,'Annual_Cost'!$B$2:$B$807,B197)</f>
      </c>
      <c r="E197" s="105" t="str">
        <f>SUMIFS('Annual_Cost'!$S$2:$S$807,'Annual_Cost'!$A$2:$A$807,A197,'Annual_Cost'!$B$2:$B$807,B197)</f>
      </c>
      <c r="F197" s="106" t="str">
        <f>SUMIFS('Annual_Cost'!$W$2:$W$807,'Annual_Cost'!$A$2:$A$807,A197,'Annual_Cost'!$B$2:$B$807,B197)</f>
      </c>
      <c r="G197" s="107" t="str">
        <f>SUMIFS($E$2:E197,$A$2:A197,A197)</f>
      </c>
      <c r="H197" s="108" t="str">
        <f>SUMIFS($F$2:F197,$A$2:A197,A197)</f>
      </c>
    </row>
    <row r="198">
      <c r="A198" t="s">
        <v>233</v>
      </c>
      <c r="B198" s="102" t="n">
        <v>2039</v>
      </c>
      <c r="C198" s="103" t="str">
        <f>SUMIFS('Annual_Cost'!$Q$2:$Q$807,'Annual_Cost'!$A$2:$A$807,A198,'Annual_Cost'!$B$2:$B$807,B198)</f>
      </c>
      <c r="D198" s="104" t="str">
        <f>SUMIFS('Annual_Cost'!$R$2:$R$807,'Annual_Cost'!$A$2:$A$807,A198,'Annual_Cost'!$B$2:$B$807,B198)</f>
      </c>
      <c r="E198" s="105" t="str">
        <f>SUMIFS('Annual_Cost'!$S$2:$S$807,'Annual_Cost'!$A$2:$A$807,A198,'Annual_Cost'!$B$2:$B$807,B198)</f>
      </c>
      <c r="F198" s="106" t="str">
        <f>SUMIFS('Annual_Cost'!$W$2:$W$807,'Annual_Cost'!$A$2:$A$807,A198,'Annual_Cost'!$B$2:$B$807,B198)</f>
      </c>
      <c r="G198" s="107" t="str">
        <f>SUMIFS($E$2:E198,$A$2:A198,A198)</f>
      </c>
      <c r="H198" s="108" t="str">
        <f>SUMIFS($F$2:F198,$A$2:A198,A198)</f>
      </c>
    </row>
    <row r="199">
      <c r="A199" t="s">
        <v>233</v>
      </c>
      <c r="B199" s="102" t="n">
        <v>2040</v>
      </c>
      <c r="C199" s="103" t="str">
        <f>SUMIFS('Annual_Cost'!$Q$2:$Q$807,'Annual_Cost'!$A$2:$A$807,A199,'Annual_Cost'!$B$2:$B$807,B199)</f>
      </c>
      <c r="D199" s="104" t="str">
        <f>SUMIFS('Annual_Cost'!$R$2:$R$807,'Annual_Cost'!$A$2:$A$807,A199,'Annual_Cost'!$B$2:$B$807,B199)</f>
      </c>
      <c r="E199" s="105" t="str">
        <f>SUMIFS('Annual_Cost'!$S$2:$S$807,'Annual_Cost'!$A$2:$A$807,A199,'Annual_Cost'!$B$2:$B$807,B199)</f>
      </c>
      <c r="F199" s="106" t="str">
        <f>SUMIFS('Annual_Cost'!$W$2:$W$807,'Annual_Cost'!$A$2:$A$807,A199,'Annual_Cost'!$B$2:$B$807,B199)</f>
      </c>
      <c r="G199" s="107" t="str">
        <f>SUMIFS($E$2:E199,$A$2:A199,A199)</f>
      </c>
      <c r="H199" s="108" t="str">
        <f>SUMIFS($F$2:F199,$A$2:A199,A199)</f>
      </c>
    </row>
    <row r="200">
      <c r="A200" t="s">
        <v>233</v>
      </c>
      <c r="B200" s="102" t="n">
        <v>2041</v>
      </c>
      <c r="C200" s="103" t="str">
        <f>SUMIFS('Annual_Cost'!$Q$2:$Q$807,'Annual_Cost'!$A$2:$A$807,A200,'Annual_Cost'!$B$2:$B$807,B200)</f>
      </c>
      <c r="D200" s="104" t="str">
        <f>SUMIFS('Annual_Cost'!$R$2:$R$807,'Annual_Cost'!$A$2:$A$807,A200,'Annual_Cost'!$B$2:$B$807,B200)</f>
      </c>
      <c r="E200" s="105" t="str">
        <f>SUMIFS('Annual_Cost'!$S$2:$S$807,'Annual_Cost'!$A$2:$A$807,A200,'Annual_Cost'!$B$2:$B$807,B200)</f>
      </c>
      <c r="F200" s="106" t="str">
        <f>SUMIFS('Annual_Cost'!$W$2:$W$807,'Annual_Cost'!$A$2:$A$807,A200,'Annual_Cost'!$B$2:$B$807,B200)</f>
      </c>
      <c r="G200" s="107" t="str">
        <f>SUMIFS($E$2:E200,$A$2:A200,A200)</f>
      </c>
      <c r="H200" s="108" t="str">
        <f>SUMIFS($F$2:F200,$A$2:A200,A200)</f>
      </c>
    </row>
    <row r="201">
      <c r="A201" t="s">
        <v>233</v>
      </c>
      <c r="B201" s="102" t="n">
        <v>2042</v>
      </c>
      <c r="C201" s="103" t="str">
        <f>SUMIFS('Annual_Cost'!$Q$2:$Q$807,'Annual_Cost'!$A$2:$A$807,A201,'Annual_Cost'!$B$2:$B$807,B201)</f>
      </c>
      <c r="D201" s="104" t="str">
        <f>SUMIFS('Annual_Cost'!$R$2:$R$807,'Annual_Cost'!$A$2:$A$807,A201,'Annual_Cost'!$B$2:$B$807,B201)</f>
      </c>
      <c r="E201" s="105" t="str">
        <f>SUMIFS('Annual_Cost'!$S$2:$S$807,'Annual_Cost'!$A$2:$A$807,A201,'Annual_Cost'!$B$2:$B$807,B201)</f>
      </c>
      <c r="F201" s="106" t="str">
        <f>SUMIFS('Annual_Cost'!$W$2:$W$807,'Annual_Cost'!$A$2:$A$807,A201,'Annual_Cost'!$B$2:$B$807,B201)</f>
      </c>
      <c r="G201" s="107" t="str">
        <f>SUMIFS($E$2:E201,$A$2:A201,A201)</f>
      </c>
      <c r="H201" s="108" t="str">
        <f>SUMIFS($F$2:F201,$A$2:A201,A201)</f>
      </c>
    </row>
    <row r="202">
      <c r="A202" t="s">
        <v>233</v>
      </c>
      <c r="B202" s="102" t="n">
        <v>2043</v>
      </c>
      <c r="C202" s="103" t="str">
        <f>SUMIFS('Annual_Cost'!$Q$2:$Q$807,'Annual_Cost'!$A$2:$A$807,A202,'Annual_Cost'!$B$2:$B$807,B202)</f>
      </c>
      <c r="D202" s="104" t="str">
        <f>SUMIFS('Annual_Cost'!$R$2:$R$807,'Annual_Cost'!$A$2:$A$807,A202,'Annual_Cost'!$B$2:$B$807,B202)</f>
      </c>
      <c r="E202" s="105" t="str">
        <f>SUMIFS('Annual_Cost'!$S$2:$S$807,'Annual_Cost'!$A$2:$A$807,A202,'Annual_Cost'!$B$2:$B$807,B202)</f>
      </c>
      <c r="F202" s="106" t="str">
        <f>SUMIFS('Annual_Cost'!$W$2:$W$807,'Annual_Cost'!$A$2:$A$807,A202,'Annual_Cost'!$B$2:$B$807,B202)</f>
      </c>
      <c r="G202" s="107" t="str">
        <f>SUMIFS($E$2:E202,$A$2:A202,A202)</f>
      </c>
      <c r="H202" s="108" t="str">
        <f>SUMIFS($F$2:F202,$A$2:A202,A202)</f>
      </c>
    </row>
    <row r="203">
      <c r="A203" t="s">
        <v>233</v>
      </c>
      <c r="B203" s="102" t="n">
        <v>2044</v>
      </c>
      <c r="C203" s="103" t="str">
        <f>SUMIFS('Annual_Cost'!$Q$2:$Q$807,'Annual_Cost'!$A$2:$A$807,A203,'Annual_Cost'!$B$2:$B$807,B203)</f>
      </c>
      <c r="D203" s="104" t="str">
        <f>SUMIFS('Annual_Cost'!$R$2:$R$807,'Annual_Cost'!$A$2:$A$807,A203,'Annual_Cost'!$B$2:$B$807,B203)</f>
      </c>
      <c r="E203" s="105" t="str">
        <f>SUMIFS('Annual_Cost'!$S$2:$S$807,'Annual_Cost'!$A$2:$A$807,A203,'Annual_Cost'!$B$2:$B$807,B203)</f>
      </c>
      <c r="F203" s="106" t="str">
        <f>SUMIFS('Annual_Cost'!$W$2:$W$807,'Annual_Cost'!$A$2:$A$807,A203,'Annual_Cost'!$B$2:$B$807,B203)</f>
      </c>
      <c r="G203" s="107" t="str">
        <f>SUMIFS($E$2:E203,$A$2:A203,A203)</f>
      </c>
      <c r="H203" s="108" t="str">
        <f>SUMIFS($F$2:F203,$A$2:A203,A203)</f>
      </c>
    </row>
    <row r="204">
      <c r="A204" t="s">
        <v>233</v>
      </c>
      <c r="B204" s="102" t="n">
        <v>2045</v>
      </c>
      <c r="C204" s="103" t="str">
        <f>SUMIFS('Annual_Cost'!$Q$2:$Q$807,'Annual_Cost'!$A$2:$A$807,A204,'Annual_Cost'!$B$2:$B$807,B204)</f>
      </c>
      <c r="D204" s="104" t="str">
        <f>SUMIFS('Annual_Cost'!$R$2:$R$807,'Annual_Cost'!$A$2:$A$807,A204,'Annual_Cost'!$B$2:$B$807,B204)</f>
      </c>
      <c r="E204" s="105" t="str">
        <f>SUMIFS('Annual_Cost'!$S$2:$S$807,'Annual_Cost'!$A$2:$A$807,A204,'Annual_Cost'!$B$2:$B$807,B204)</f>
      </c>
      <c r="F204" s="106" t="str">
        <f>SUMIFS('Annual_Cost'!$W$2:$W$807,'Annual_Cost'!$A$2:$A$807,A204,'Annual_Cost'!$B$2:$B$807,B204)</f>
      </c>
      <c r="G204" s="107" t="str">
        <f>SUMIFS($E$2:E204,$A$2:A204,A204)</f>
      </c>
      <c r="H204" s="108" t="str">
        <f>SUMIFS($F$2:F204,$A$2:A204,A204)</f>
      </c>
    </row>
    <row r="205">
      <c r="A205" t="s">
        <v>233</v>
      </c>
      <c r="B205" s="102" t="n">
        <v>2046</v>
      </c>
      <c r="C205" s="103" t="str">
        <f>SUMIFS('Annual_Cost'!$Q$2:$Q$807,'Annual_Cost'!$A$2:$A$807,A205,'Annual_Cost'!$B$2:$B$807,B205)</f>
      </c>
      <c r="D205" s="104" t="str">
        <f>SUMIFS('Annual_Cost'!$R$2:$R$807,'Annual_Cost'!$A$2:$A$807,A205,'Annual_Cost'!$B$2:$B$807,B205)</f>
      </c>
      <c r="E205" s="105" t="str">
        <f>SUMIFS('Annual_Cost'!$S$2:$S$807,'Annual_Cost'!$A$2:$A$807,A205,'Annual_Cost'!$B$2:$B$807,B205)</f>
      </c>
      <c r="F205" s="106" t="str">
        <f>SUMIFS('Annual_Cost'!$W$2:$W$807,'Annual_Cost'!$A$2:$A$807,A205,'Annual_Cost'!$B$2:$B$807,B205)</f>
      </c>
      <c r="G205" s="107" t="str">
        <f>SUMIFS($E$2:E205,$A$2:A205,A205)</f>
      </c>
      <c r="H205" s="108" t="str">
        <f>SUMIFS($F$2:F205,$A$2:A205,A205)</f>
      </c>
    </row>
    <row r="206">
      <c r="A206" t="s">
        <v>233</v>
      </c>
      <c r="B206" s="102" t="n">
        <v>2047</v>
      </c>
      <c r="C206" s="103" t="str">
        <f>SUMIFS('Annual_Cost'!$Q$2:$Q$807,'Annual_Cost'!$A$2:$A$807,A206,'Annual_Cost'!$B$2:$B$807,B206)</f>
      </c>
      <c r="D206" s="104" t="str">
        <f>SUMIFS('Annual_Cost'!$R$2:$R$807,'Annual_Cost'!$A$2:$A$807,A206,'Annual_Cost'!$B$2:$B$807,B206)</f>
      </c>
      <c r="E206" s="105" t="str">
        <f>SUMIFS('Annual_Cost'!$S$2:$S$807,'Annual_Cost'!$A$2:$A$807,A206,'Annual_Cost'!$B$2:$B$807,B206)</f>
      </c>
      <c r="F206" s="106" t="str">
        <f>SUMIFS('Annual_Cost'!$W$2:$W$807,'Annual_Cost'!$A$2:$A$807,A206,'Annual_Cost'!$B$2:$B$807,B206)</f>
      </c>
      <c r="G206" s="107" t="str">
        <f>SUMIFS($E$2:E206,$A$2:A206,A206)</f>
      </c>
      <c r="H206" s="108" t="str">
        <f>SUMIFS($F$2:F206,$A$2:A206,A206)</f>
      </c>
    </row>
    <row r="207">
      <c r="A207" t="s">
        <v>233</v>
      </c>
      <c r="B207" s="102" t="n">
        <v>2048</v>
      </c>
      <c r="C207" s="103" t="str">
        <f>SUMIFS('Annual_Cost'!$Q$2:$Q$807,'Annual_Cost'!$A$2:$A$807,A207,'Annual_Cost'!$B$2:$B$807,B207)</f>
      </c>
      <c r="D207" s="104" t="str">
        <f>SUMIFS('Annual_Cost'!$R$2:$R$807,'Annual_Cost'!$A$2:$A$807,A207,'Annual_Cost'!$B$2:$B$807,B207)</f>
      </c>
      <c r="E207" s="105" t="str">
        <f>SUMIFS('Annual_Cost'!$S$2:$S$807,'Annual_Cost'!$A$2:$A$807,A207,'Annual_Cost'!$B$2:$B$807,B207)</f>
      </c>
      <c r="F207" s="106" t="str">
        <f>SUMIFS('Annual_Cost'!$W$2:$W$807,'Annual_Cost'!$A$2:$A$807,A207,'Annual_Cost'!$B$2:$B$807,B207)</f>
      </c>
      <c r="G207" s="107" t="str">
        <f>SUMIFS($E$2:E207,$A$2:A207,A207)</f>
      </c>
      <c r="H207" s="108" t="str">
        <f>SUMIFS($F$2:F207,$A$2:A207,A207)</f>
      </c>
    </row>
    <row r="208">
      <c r="A208" t="s">
        <v>233</v>
      </c>
      <c r="B208" s="102" t="n">
        <v>2049</v>
      </c>
      <c r="C208" s="103" t="str">
        <f>SUMIFS('Annual_Cost'!$Q$2:$Q$807,'Annual_Cost'!$A$2:$A$807,A208,'Annual_Cost'!$B$2:$B$807,B208)</f>
      </c>
      <c r="D208" s="104" t="str">
        <f>SUMIFS('Annual_Cost'!$R$2:$R$807,'Annual_Cost'!$A$2:$A$807,A208,'Annual_Cost'!$B$2:$B$807,B208)</f>
      </c>
      <c r="E208" s="105" t="str">
        <f>SUMIFS('Annual_Cost'!$S$2:$S$807,'Annual_Cost'!$A$2:$A$807,A208,'Annual_Cost'!$B$2:$B$807,B208)</f>
      </c>
      <c r="F208" s="106" t="str">
        <f>SUMIFS('Annual_Cost'!$W$2:$W$807,'Annual_Cost'!$A$2:$A$807,A208,'Annual_Cost'!$B$2:$B$807,B208)</f>
      </c>
      <c r="G208" s="107" t="str">
        <f>SUMIFS($E$2:E208,$A$2:A208,A208)</f>
      </c>
      <c r="H208" s="108" t="str">
        <f>SUMIFS($F$2:F208,$A$2:A208,A208)</f>
      </c>
    </row>
    <row r="209">
      <c r="A209" t="s">
        <v>233</v>
      </c>
      <c r="B209" s="102" t="n">
        <v>2050</v>
      </c>
      <c r="C209" s="103" t="str">
        <f>SUMIFS('Annual_Cost'!$Q$2:$Q$807,'Annual_Cost'!$A$2:$A$807,A209,'Annual_Cost'!$B$2:$B$807,B209)</f>
      </c>
      <c r="D209" s="104" t="str">
        <f>SUMIFS('Annual_Cost'!$R$2:$R$807,'Annual_Cost'!$A$2:$A$807,A209,'Annual_Cost'!$B$2:$B$807,B209)</f>
      </c>
      <c r="E209" s="105" t="str">
        <f>SUMIFS('Annual_Cost'!$S$2:$S$807,'Annual_Cost'!$A$2:$A$807,A209,'Annual_Cost'!$B$2:$B$807,B209)</f>
      </c>
      <c r="F209" s="106" t="str">
        <f>SUMIFS('Annual_Cost'!$W$2:$W$807,'Annual_Cost'!$A$2:$A$807,A209,'Annual_Cost'!$B$2:$B$807,B209)</f>
      </c>
      <c r="G209" s="107" t="str">
        <f>SUMIFS($E$2:E209,$A$2:A209,A209)</f>
      </c>
      <c r="H209" s="108" t="str">
        <f>SUMIFS($F$2:F209,$A$2:A209,A209)</f>
      </c>
    </row>
    <row r="210">
      <c r="A210" t="s">
        <v>244</v>
      </c>
      <c r="B210" s="102" t="n">
        <v>2025</v>
      </c>
      <c r="C210" s="103" t="str">
        <f>SUMIFS('Annual_Cost'!$Q$2:$Q$807,'Annual_Cost'!$A$2:$A$807,A210,'Annual_Cost'!$B$2:$B$807,B210)</f>
      </c>
      <c r="D210" s="104" t="str">
        <f>SUMIFS('Annual_Cost'!$R$2:$R$807,'Annual_Cost'!$A$2:$A$807,A210,'Annual_Cost'!$B$2:$B$807,B210)</f>
      </c>
      <c r="E210" s="105" t="str">
        <f>SUMIFS('Annual_Cost'!$S$2:$S$807,'Annual_Cost'!$A$2:$A$807,A210,'Annual_Cost'!$B$2:$B$807,B210)</f>
      </c>
      <c r="F210" s="106" t="str">
        <f>SUMIFS('Annual_Cost'!$W$2:$W$807,'Annual_Cost'!$A$2:$A$807,A210,'Annual_Cost'!$B$2:$B$807,B210)</f>
      </c>
      <c r="G210" s="107" t="str">
        <f>SUMIFS($E$2:E210,$A$2:A210,A210)</f>
      </c>
      <c r="H210" s="108" t="str">
        <f>SUMIFS($F$2:F210,$A$2:A210,A210)</f>
      </c>
    </row>
    <row r="211">
      <c r="A211" t="s">
        <v>244</v>
      </c>
      <c r="B211" s="102" t="n">
        <v>2026</v>
      </c>
      <c r="C211" s="103" t="str">
        <f>SUMIFS('Annual_Cost'!$Q$2:$Q$807,'Annual_Cost'!$A$2:$A$807,A211,'Annual_Cost'!$B$2:$B$807,B211)</f>
      </c>
      <c r="D211" s="104" t="str">
        <f>SUMIFS('Annual_Cost'!$R$2:$R$807,'Annual_Cost'!$A$2:$A$807,A211,'Annual_Cost'!$B$2:$B$807,B211)</f>
      </c>
      <c r="E211" s="105" t="str">
        <f>SUMIFS('Annual_Cost'!$S$2:$S$807,'Annual_Cost'!$A$2:$A$807,A211,'Annual_Cost'!$B$2:$B$807,B211)</f>
      </c>
      <c r="F211" s="106" t="str">
        <f>SUMIFS('Annual_Cost'!$W$2:$W$807,'Annual_Cost'!$A$2:$A$807,A211,'Annual_Cost'!$B$2:$B$807,B211)</f>
      </c>
      <c r="G211" s="107" t="str">
        <f>SUMIFS($E$2:E211,$A$2:A211,A211)</f>
      </c>
      <c r="H211" s="108" t="str">
        <f>SUMIFS($F$2:F211,$A$2:A211,A211)</f>
      </c>
    </row>
    <row r="212">
      <c r="A212" t="s">
        <v>244</v>
      </c>
      <c r="B212" s="102" t="n">
        <v>2027</v>
      </c>
      <c r="C212" s="103" t="str">
        <f>SUMIFS('Annual_Cost'!$Q$2:$Q$807,'Annual_Cost'!$A$2:$A$807,A212,'Annual_Cost'!$B$2:$B$807,B212)</f>
      </c>
      <c r="D212" s="104" t="str">
        <f>SUMIFS('Annual_Cost'!$R$2:$R$807,'Annual_Cost'!$A$2:$A$807,A212,'Annual_Cost'!$B$2:$B$807,B212)</f>
      </c>
      <c r="E212" s="105" t="str">
        <f>SUMIFS('Annual_Cost'!$S$2:$S$807,'Annual_Cost'!$A$2:$A$807,A212,'Annual_Cost'!$B$2:$B$807,B212)</f>
      </c>
      <c r="F212" s="106" t="str">
        <f>SUMIFS('Annual_Cost'!$W$2:$W$807,'Annual_Cost'!$A$2:$A$807,A212,'Annual_Cost'!$B$2:$B$807,B212)</f>
      </c>
      <c r="G212" s="107" t="str">
        <f>SUMIFS($E$2:E212,$A$2:A212,A212)</f>
      </c>
      <c r="H212" s="108" t="str">
        <f>SUMIFS($F$2:F212,$A$2:A212,A212)</f>
      </c>
    </row>
    <row r="213">
      <c r="A213" t="s">
        <v>244</v>
      </c>
      <c r="B213" s="102" t="n">
        <v>2028</v>
      </c>
      <c r="C213" s="103" t="str">
        <f>SUMIFS('Annual_Cost'!$Q$2:$Q$807,'Annual_Cost'!$A$2:$A$807,A213,'Annual_Cost'!$B$2:$B$807,B213)</f>
      </c>
      <c r="D213" s="104" t="str">
        <f>SUMIFS('Annual_Cost'!$R$2:$R$807,'Annual_Cost'!$A$2:$A$807,A213,'Annual_Cost'!$B$2:$B$807,B213)</f>
      </c>
      <c r="E213" s="105" t="str">
        <f>SUMIFS('Annual_Cost'!$S$2:$S$807,'Annual_Cost'!$A$2:$A$807,A213,'Annual_Cost'!$B$2:$B$807,B213)</f>
      </c>
      <c r="F213" s="106" t="str">
        <f>SUMIFS('Annual_Cost'!$W$2:$W$807,'Annual_Cost'!$A$2:$A$807,A213,'Annual_Cost'!$B$2:$B$807,B213)</f>
      </c>
      <c r="G213" s="107" t="str">
        <f>SUMIFS($E$2:E213,$A$2:A213,A213)</f>
      </c>
      <c r="H213" s="108" t="str">
        <f>SUMIFS($F$2:F213,$A$2:A213,A213)</f>
      </c>
    </row>
    <row r="214">
      <c r="A214" t="s">
        <v>244</v>
      </c>
      <c r="B214" s="102" t="n">
        <v>2029</v>
      </c>
      <c r="C214" s="103" t="str">
        <f>SUMIFS('Annual_Cost'!$Q$2:$Q$807,'Annual_Cost'!$A$2:$A$807,A214,'Annual_Cost'!$B$2:$B$807,B214)</f>
      </c>
      <c r="D214" s="104" t="str">
        <f>SUMIFS('Annual_Cost'!$R$2:$R$807,'Annual_Cost'!$A$2:$A$807,A214,'Annual_Cost'!$B$2:$B$807,B214)</f>
      </c>
      <c r="E214" s="105" t="str">
        <f>SUMIFS('Annual_Cost'!$S$2:$S$807,'Annual_Cost'!$A$2:$A$807,A214,'Annual_Cost'!$B$2:$B$807,B214)</f>
      </c>
      <c r="F214" s="106" t="str">
        <f>SUMIFS('Annual_Cost'!$W$2:$W$807,'Annual_Cost'!$A$2:$A$807,A214,'Annual_Cost'!$B$2:$B$807,B214)</f>
      </c>
      <c r="G214" s="107" t="str">
        <f>SUMIFS($E$2:E214,$A$2:A214,A214)</f>
      </c>
      <c r="H214" s="108" t="str">
        <f>SUMIFS($F$2:F214,$A$2:A214,A214)</f>
      </c>
    </row>
    <row r="215">
      <c r="A215" t="s">
        <v>244</v>
      </c>
      <c r="B215" s="102" t="n">
        <v>2030</v>
      </c>
      <c r="C215" s="103" t="str">
        <f>SUMIFS('Annual_Cost'!$Q$2:$Q$807,'Annual_Cost'!$A$2:$A$807,A215,'Annual_Cost'!$B$2:$B$807,B215)</f>
      </c>
      <c r="D215" s="104" t="str">
        <f>SUMIFS('Annual_Cost'!$R$2:$R$807,'Annual_Cost'!$A$2:$A$807,A215,'Annual_Cost'!$B$2:$B$807,B215)</f>
      </c>
      <c r="E215" s="105" t="str">
        <f>SUMIFS('Annual_Cost'!$S$2:$S$807,'Annual_Cost'!$A$2:$A$807,A215,'Annual_Cost'!$B$2:$B$807,B215)</f>
      </c>
      <c r="F215" s="106" t="str">
        <f>SUMIFS('Annual_Cost'!$W$2:$W$807,'Annual_Cost'!$A$2:$A$807,A215,'Annual_Cost'!$B$2:$B$807,B215)</f>
      </c>
      <c r="G215" s="107" t="str">
        <f>SUMIFS($E$2:E215,$A$2:A215,A215)</f>
      </c>
      <c r="H215" s="108" t="str">
        <f>SUMIFS($F$2:F215,$A$2:A215,A215)</f>
      </c>
    </row>
    <row r="216">
      <c r="A216" t="s">
        <v>244</v>
      </c>
      <c r="B216" s="102" t="n">
        <v>2031</v>
      </c>
      <c r="C216" s="103" t="str">
        <f>SUMIFS('Annual_Cost'!$Q$2:$Q$807,'Annual_Cost'!$A$2:$A$807,A216,'Annual_Cost'!$B$2:$B$807,B216)</f>
      </c>
      <c r="D216" s="104" t="str">
        <f>SUMIFS('Annual_Cost'!$R$2:$R$807,'Annual_Cost'!$A$2:$A$807,A216,'Annual_Cost'!$B$2:$B$807,B216)</f>
      </c>
      <c r="E216" s="105" t="str">
        <f>SUMIFS('Annual_Cost'!$S$2:$S$807,'Annual_Cost'!$A$2:$A$807,A216,'Annual_Cost'!$B$2:$B$807,B216)</f>
      </c>
      <c r="F216" s="106" t="str">
        <f>SUMIFS('Annual_Cost'!$W$2:$W$807,'Annual_Cost'!$A$2:$A$807,A216,'Annual_Cost'!$B$2:$B$807,B216)</f>
      </c>
      <c r="G216" s="107" t="str">
        <f>SUMIFS($E$2:E216,$A$2:A216,A216)</f>
      </c>
      <c r="H216" s="108" t="str">
        <f>SUMIFS($F$2:F216,$A$2:A216,A216)</f>
      </c>
    </row>
    <row r="217">
      <c r="A217" t="s">
        <v>244</v>
      </c>
      <c r="B217" s="102" t="n">
        <v>2032</v>
      </c>
      <c r="C217" s="103" t="str">
        <f>SUMIFS('Annual_Cost'!$Q$2:$Q$807,'Annual_Cost'!$A$2:$A$807,A217,'Annual_Cost'!$B$2:$B$807,B217)</f>
      </c>
      <c r="D217" s="104" t="str">
        <f>SUMIFS('Annual_Cost'!$R$2:$R$807,'Annual_Cost'!$A$2:$A$807,A217,'Annual_Cost'!$B$2:$B$807,B217)</f>
      </c>
      <c r="E217" s="105" t="str">
        <f>SUMIFS('Annual_Cost'!$S$2:$S$807,'Annual_Cost'!$A$2:$A$807,A217,'Annual_Cost'!$B$2:$B$807,B217)</f>
      </c>
      <c r="F217" s="106" t="str">
        <f>SUMIFS('Annual_Cost'!$W$2:$W$807,'Annual_Cost'!$A$2:$A$807,A217,'Annual_Cost'!$B$2:$B$807,B217)</f>
      </c>
      <c r="G217" s="107" t="str">
        <f>SUMIFS($E$2:E217,$A$2:A217,A217)</f>
      </c>
      <c r="H217" s="108" t="str">
        <f>SUMIFS($F$2:F217,$A$2:A217,A217)</f>
      </c>
    </row>
    <row r="218">
      <c r="A218" t="s">
        <v>244</v>
      </c>
      <c r="B218" s="102" t="n">
        <v>2033</v>
      </c>
      <c r="C218" s="103" t="str">
        <f>SUMIFS('Annual_Cost'!$Q$2:$Q$807,'Annual_Cost'!$A$2:$A$807,A218,'Annual_Cost'!$B$2:$B$807,B218)</f>
      </c>
      <c r="D218" s="104" t="str">
        <f>SUMIFS('Annual_Cost'!$R$2:$R$807,'Annual_Cost'!$A$2:$A$807,A218,'Annual_Cost'!$B$2:$B$807,B218)</f>
      </c>
      <c r="E218" s="105" t="str">
        <f>SUMIFS('Annual_Cost'!$S$2:$S$807,'Annual_Cost'!$A$2:$A$807,A218,'Annual_Cost'!$B$2:$B$807,B218)</f>
      </c>
      <c r="F218" s="106" t="str">
        <f>SUMIFS('Annual_Cost'!$W$2:$W$807,'Annual_Cost'!$A$2:$A$807,A218,'Annual_Cost'!$B$2:$B$807,B218)</f>
      </c>
      <c r="G218" s="107" t="str">
        <f>SUMIFS($E$2:E218,$A$2:A218,A218)</f>
      </c>
      <c r="H218" s="108" t="str">
        <f>SUMIFS($F$2:F218,$A$2:A218,A218)</f>
      </c>
    </row>
    <row r="219">
      <c r="A219" t="s">
        <v>244</v>
      </c>
      <c r="B219" s="102" t="n">
        <v>2034</v>
      </c>
      <c r="C219" s="103" t="str">
        <f>SUMIFS('Annual_Cost'!$Q$2:$Q$807,'Annual_Cost'!$A$2:$A$807,A219,'Annual_Cost'!$B$2:$B$807,B219)</f>
      </c>
      <c r="D219" s="104" t="str">
        <f>SUMIFS('Annual_Cost'!$R$2:$R$807,'Annual_Cost'!$A$2:$A$807,A219,'Annual_Cost'!$B$2:$B$807,B219)</f>
      </c>
      <c r="E219" s="105" t="str">
        <f>SUMIFS('Annual_Cost'!$S$2:$S$807,'Annual_Cost'!$A$2:$A$807,A219,'Annual_Cost'!$B$2:$B$807,B219)</f>
      </c>
      <c r="F219" s="106" t="str">
        <f>SUMIFS('Annual_Cost'!$W$2:$W$807,'Annual_Cost'!$A$2:$A$807,A219,'Annual_Cost'!$B$2:$B$807,B219)</f>
      </c>
      <c r="G219" s="107" t="str">
        <f>SUMIFS($E$2:E219,$A$2:A219,A219)</f>
      </c>
      <c r="H219" s="108" t="str">
        <f>SUMIFS($F$2:F219,$A$2:A219,A219)</f>
      </c>
    </row>
    <row r="220">
      <c r="A220" t="s">
        <v>244</v>
      </c>
      <c r="B220" s="102" t="n">
        <v>2035</v>
      </c>
      <c r="C220" s="103" t="str">
        <f>SUMIFS('Annual_Cost'!$Q$2:$Q$807,'Annual_Cost'!$A$2:$A$807,A220,'Annual_Cost'!$B$2:$B$807,B220)</f>
      </c>
      <c r="D220" s="104" t="str">
        <f>SUMIFS('Annual_Cost'!$R$2:$R$807,'Annual_Cost'!$A$2:$A$807,A220,'Annual_Cost'!$B$2:$B$807,B220)</f>
      </c>
      <c r="E220" s="105" t="str">
        <f>SUMIFS('Annual_Cost'!$S$2:$S$807,'Annual_Cost'!$A$2:$A$807,A220,'Annual_Cost'!$B$2:$B$807,B220)</f>
      </c>
      <c r="F220" s="106" t="str">
        <f>SUMIFS('Annual_Cost'!$W$2:$W$807,'Annual_Cost'!$A$2:$A$807,A220,'Annual_Cost'!$B$2:$B$807,B220)</f>
      </c>
      <c r="G220" s="107" t="str">
        <f>SUMIFS($E$2:E220,$A$2:A220,A220)</f>
      </c>
      <c r="H220" s="108" t="str">
        <f>SUMIFS($F$2:F220,$A$2:A220,A220)</f>
      </c>
    </row>
    <row r="221">
      <c r="A221" t="s">
        <v>244</v>
      </c>
      <c r="B221" s="102" t="n">
        <v>2036</v>
      </c>
      <c r="C221" s="103" t="str">
        <f>SUMIFS('Annual_Cost'!$Q$2:$Q$807,'Annual_Cost'!$A$2:$A$807,A221,'Annual_Cost'!$B$2:$B$807,B221)</f>
      </c>
      <c r="D221" s="104" t="str">
        <f>SUMIFS('Annual_Cost'!$R$2:$R$807,'Annual_Cost'!$A$2:$A$807,A221,'Annual_Cost'!$B$2:$B$807,B221)</f>
      </c>
      <c r="E221" s="105" t="str">
        <f>SUMIFS('Annual_Cost'!$S$2:$S$807,'Annual_Cost'!$A$2:$A$807,A221,'Annual_Cost'!$B$2:$B$807,B221)</f>
      </c>
      <c r="F221" s="106" t="str">
        <f>SUMIFS('Annual_Cost'!$W$2:$W$807,'Annual_Cost'!$A$2:$A$807,A221,'Annual_Cost'!$B$2:$B$807,B221)</f>
      </c>
      <c r="G221" s="107" t="str">
        <f>SUMIFS($E$2:E221,$A$2:A221,A221)</f>
      </c>
      <c r="H221" s="108" t="str">
        <f>SUMIFS($F$2:F221,$A$2:A221,A221)</f>
      </c>
    </row>
    <row r="222">
      <c r="A222" t="s">
        <v>244</v>
      </c>
      <c r="B222" s="102" t="n">
        <v>2037</v>
      </c>
      <c r="C222" s="103" t="str">
        <f>SUMIFS('Annual_Cost'!$Q$2:$Q$807,'Annual_Cost'!$A$2:$A$807,A222,'Annual_Cost'!$B$2:$B$807,B222)</f>
      </c>
      <c r="D222" s="104" t="str">
        <f>SUMIFS('Annual_Cost'!$R$2:$R$807,'Annual_Cost'!$A$2:$A$807,A222,'Annual_Cost'!$B$2:$B$807,B222)</f>
      </c>
      <c r="E222" s="105" t="str">
        <f>SUMIFS('Annual_Cost'!$S$2:$S$807,'Annual_Cost'!$A$2:$A$807,A222,'Annual_Cost'!$B$2:$B$807,B222)</f>
      </c>
      <c r="F222" s="106" t="str">
        <f>SUMIFS('Annual_Cost'!$W$2:$W$807,'Annual_Cost'!$A$2:$A$807,A222,'Annual_Cost'!$B$2:$B$807,B222)</f>
      </c>
      <c r="G222" s="107" t="str">
        <f>SUMIFS($E$2:E222,$A$2:A222,A222)</f>
      </c>
      <c r="H222" s="108" t="str">
        <f>SUMIFS($F$2:F222,$A$2:A222,A222)</f>
      </c>
    </row>
    <row r="223">
      <c r="A223" t="s">
        <v>244</v>
      </c>
      <c r="B223" s="102" t="n">
        <v>2038</v>
      </c>
      <c r="C223" s="103" t="str">
        <f>SUMIFS('Annual_Cost'!$Q$2:$Q$807,'Annual_Cost'!$A$2:$A$807,A223,'Annual_Cost'!$B$2:$B$807,B223)</f>
      </c>
      <c r="D223" s="104" t="str">
        <f>SUMIFS('Annual_Cost'!$R$2:$R$807,'Annual_Cost'!$A$2:$A$807,A223,'Annual_Cost'!$B$2:$B$807,B223)</f>
      </c>
      <c r="E223" s="105" t="str">
        <f>SUMIFS('Annual_Cost'!$S$2:$S$807,'Annual_Cost'!$A$2:$A$807,A223,'Annual_Cost'!$B$2:$B$807,B223)</f>
      </c>
      <c r="F223" s="106" t="str">
        <f>SUMIFS('Annual_Cost'!$W$2:$W$807,'Annual_Cost'!$A$2:$A$807,A223,'Annual_Cost'!$B$2:$B$807,B223)</f>
      </c>
      <c r="G223" s="107" t="str">
        <f>SUMIFS($E$2:E223,$A$2:A223,A223)</f>
      </c>
      <c r="H223" s="108" t="str">
        <f>SUMIFS($F$2:F223,$A$2:A223,A223)</f>
      </c>
    </row>
    <row r="224">
      <c r="A224" t="s">
        <v>244</v>
      </c>
      <c r="B224" s="102" t="n">
        <v>2039</v>
      </c>
      <c r="C224" s="103" t="str">
        <f>SUMIFS('Annual_Cost'!$Q$2:$Q$807,'Annual_Cost'!$A$2:$A$807,A224,'Annual_Cost'!$B$2:$B$807,B224)</f>
      </c>
      <c r="D224" s="104" t="str">
        <f>SUMIFS('Annual_Cost'!$R$2:$R$807,'Annual_Cost'!$A$2:$A$807,A224,'Annual_Cost'!$B$2:$B$807,B224)</f>
      </c>
      <c r="E224" s="105" t="str">
        <f>SUMIFS('Annual_Cost'!$S$2:$S$807,'Annual_Cost'!$A$2:$A$807,A224,'Annual_Cost'!$B$2:$B$807,B224)</f>
      </c>
      <c r="F224" s="106" t="str">
        <f>SUMIFS('Annual_Cost'!$W$2:$W$807,'Annual_Cost'!$A$2:$A$807,A224,'Annual_Cost'!$B$2:$B$807,B224)</f>
      </c>
      <c r="G224" s="107" t="str">
        <f>SUMIFS($E$2:E224,$A$2:A224,A224)</f>
      </c>
      <c r="H224" s="108" t="str">
        <f>SUMIFS($F$2:F224,$A$2:A224,A224)</f>
      </c>
    </row>
    <row r="225">
      <c r="A225" t="s">
        <v>244</v>
      </c>
      <c r="B225" s="102" t="n">
        <v>2040</v>
      </c>
      <c r="C225" s="103" t="str">
        <f>SUMIFS('Annual_Cost'!$Q$2:$Q$807,'Annual_Cost'!$A$2:$A$807,A225,'Annual_Cost'!$B$2:$B$807,B225)</f>
      </c>
      <c r="D225" s="104" t="str">
        <f>SUMIFS('Annual_Cost'!$R$2:$R$807,'Annual_Cost'!$A$2:$A$807,A225,'Annual_Cost'!$B$2:$B$807,B225)</f>
      </c>
      <c r="E225" s="105" t="str">
        <f>SUMIFS('Annual_Cost'!$S$2:$S$807,'Annual_Cost'!$A$2:$A$807,A225,'Annual_Cost'!$B$2:$B$807,B225)</f>
      </c>
      <c r="F225" s="106" t="str">
        <f>SUMIFS('Annual_Cost'!$W$2:$W$807,'Annual_Cost'!$A$2:$A$807,A225,'Annual_Cost'!$B$2:$B$807,B225)</f>
      </c>
      <c r="G225" s="107" t="str">
        <f>SUMIFS($E$2:E225,$A$2:A225,A225)</f>
      </c>
      <c r="H225" s="108" t="str">
        <f>SUMIFS($F$2:F225,$A$2:A225,A225)</f>
      </c>
    </row>
    <row r="226">
      <c r="A226" t="s">
        <v>244</v>
      </c>
      <c r="B226" s="102" t="n">
        <v>2041</v>
      </c>
      <c r="C226" s="103" t="str">
        <f>SUMIFS('Annual_Cost'!$Q$2:$Q$807,'Annual_Cost'!$A$2:$A$807,A226,'Annual_Cost'!$B$2:$B$807,B226)</f>
      </c>
      <c r="D226" s="104" t="str">
        <f>SUMIFS('Annual_Cost'!$R$2:$R$807,'Annual_Cost'!$A$2:$A$807,A226,'Annual_Cost'!$B$2:$B$807,B226)</f>
      </c>
      <c r="E226" s="105" t="str">
        <f>SUMIFS('Annual_Cost'!$S$2:$S$807,'Annual_Cost'!$A$2:$A$807,A226,'Annual_Cost'!$B$2:$B$807,B226)</f>
      </c>
      <c r="F226" s="106" t="str">
        <f>SUMIFS('Annual_Cost'!$W$2:$W$807,'Annual_Cost'!$A$2:$A$807,A226,'Annual_Cost'!$B$2:$B$807,B226)</f>
      </c>
      <c r="G226" s="107" t="str">
        <f>SUMIFS($E$2:E226,$A$2:A226,A226)</f>
      </c>
      <c r="H226" s="108" t="str">
        <f>SUMIFS($F$2:F226,$A$2:A226,A226)</f>
      </c>
    </row>
    <row r="227">
      <c r="A227" t="s">
        <v>244</v>
      </c>
      <c r="B227" s="102" t="n">
        <v>2042</v>
      </c>
      <c r="C227" s="103" t="str">
        <f>SUMIFS('Annual_Cost'!$Q$2:$Q$807,'Annual_Cost'!$A$2:$A$807,A227,'Annual_Cost'!$B$2:$B$807,B227)</f>
      </c>
      <c r="D227" s="104" t="str">
        <f>SUMIFS('Annual_Cost'!$R$2:$R$807,'Annual_Cost'!$A$2:$A$807,A227,'Annual_Cost'!$B$2:$B$807,B227)</f>
      </c>
      <c r="E227" s="105" t="str">
        <f>SUMIFS('Annual_Cost'!$S$2:$S$807,'Annual_Cost'!$A$2:$A$807,A227,'Annual_Cost'!$B$2:$B$807,B227)</f>
      </c>
      <c r="F227" s="106" t="str">
        <f>SUMIFS('Annual_Cost'!$W$2:$W$807,'Annual_Cost'!$A$2:$A$807,A227,'Annual_Cost'!$B$2:$B$807,B227)</f>
      </c>
      <c r="G227" s="107" t="str">
        <f>SUMIFS($E$2:E227,$A$2:A227,A227)</f>
      </c>
      <c r="H227" s="108" t="str">
        <f>SUMIFS($F$2:F227,$A$2:A227,A227)</f>
      </c>
    </row>
    <row r="228">
      <c r="A228" t="s">
        <v>244</v>
      </c>
      <c r="B228" s="102" t="n">
        <v>2043</v>
      </c>
      <c r="C228" s="103" t="str">
        <f>SUMIFS('Annual_Cost'!$Q$2:$Q$807,'Annual_Cost'!$A$2:$A$807,A228,'Annual_Cost'!$B$2:$B$807,B228)</f>
      </c>
      <c r="D228" s="104" t="str">
        <f>SUMIFS('Annual_Cost'!$R$2:$R$807,'Annual_Cost'!$A$2:$A$807,A228,'Annual_Cost'!$B$2:$B$807,B228)</f>
      </c>
      <c r="E228" s="105" t="str">
        <f>SUMIFS('Annual_Cost'!$S$2:$S$807,'Annual_Cost'!$A$2:$A$807,A228,'Annual_Cost'!$B$2:$B$807,B228)</f>
      </c>
      <c r="F228" s="106" t="str">
        <f>SUMIFS('Annual_Cost'!$W$2:$W$807,'Annual_Cost'!$A$2:$A$807,A228,'Annual_Cost'!$B$2:$B$807,B228)</f>
      </c>
      <c r="G228" s="107" t="str">
        <f>SUMIFS($E$2:E228,$A$2:A228,A228)</f>
      </c>
      <c r="H228" s="108" t="str">
        <f>SUMIFS($F$2:F228,$A$2:A228,A228)</f>
      </c>
    </row>
    <row r="229">
      <c r="A229" t="s">
        <v>244</v>
      </c>
      <c r="B229" s="102" t="n">
        <v>2044</v>
      </c>
      <c r="C229" s="103" t="str">
        <f>SUMIFS('Annual_Cost'!$Q$2:$Q$807,'Annual_Cost'!$A$2:$A$807,A229,'Annual_Cost'!$B$2:$B$807,B229)</f>
      </c>
      <c r="D229" s="104" t="str">
        <f>SUMIFS('Annual_Cost'!$R$2:$R$807,'Annual_Cost'!$A$2:$A$807,A229,'Annual_Cost'!$B$2:$B$807,B229)</f>
      </c>
      <c r="E229" s="105" t="str">
        <f>SUMIFS('Annual_Cost'!$S$2:$S$807,'Annual_Cost'!$A$2:$A$807,A229,'Annual_Cost'!$B$2:$B$807,B229)</f>
      </c>
      <c r="F229" s="106" t="str">
        <f>SUMIFS('Annual_Cost'!$W$2:$W$807,'Annual_Cost'!$A$2:$A$807,A229,'Annual_Cost'!$B$2:$B$807,B229)</f>
      </c>
      <c r="G229" s="107" t="str">
        <f>SUMIFS($E$2:E229,$A$2:A229,A229)</f>
      </c>
      <c r="H229" s="108" t="str">
        <f>SUMIFS($F$2:F229,$A$2:A229,A229)</f>
      </c>
    </row>
    <row r="230">
      <c r="A230" t="s">
        <v>244</v>
      </c>
      <c r="B230" s="102" t="n">
        <v>2045</v>
      </c>
      <c r="C230" s="103" t="str">
        <f>SUMIFS('Annual_Cost'!$Q$2:$Q$807,'Annual_Cost'!$A$2:$A$807,A230,'Annual_Cost'!$B$2:$B$807,B230)</f>
      </c>
      <c r="D230" s="104" t="str">
        <f>SUMIFS('Annual_Cost'!$R$2:$R$807,'Annual_Cost'!$A$2:$A$807,A230,'Annual_Cost'!$B$2:$B$807,B230)</f>
      </c>
      <c r="E230" s="105" t="str">
        <f>SUMIFS('Annual_Cost'!$S$2:$S$807,'Annual_Cost'!$A$2:$A$807,A230,'Annual_Cost'!$B$2:$B$807,B230)</f>
      </c>
      <c r="F230" s="106" t="str">
        <f>SUMIFS('Annual_Cost'!$W$2:$W$807,'Annual_Cost'!$A$2:$A$807,A230,'Annual_Cost'!$B$2:$B$807,B230)</f>
      </c>
      <c r="G230" s="107" t="str">
        <f>SUMIFS($E$2:E230,$A$2:A230,A230)</f>
      </c>
      <c r="H230" s="108" t="str">
        <f>SUMIFS($F$2:F230,$A$2:A230,A230)</f>
      </c>
    </row>
    <row r="231">
      <c r="A231" t="s">
        <v>244</v>
      </c>
      <c r="B231" s="102" t="n">
        <v>2046</v>
      </c>
      <c r="C231" s="103" t="str">
        <f>SUMIFS('Annual_Cost'!$Q$2:$Q$807,'Annual_Cost'!$A$2:$A$807,A231,'Annual_Cost'!$B$2:$B$807,B231)</f>
      </c>
      <c r="D231" s="104" t="str">
        <f>SUMIFS('Annual_Cost'!$R$2:$R$807,'Annual_Cost'!$A$2:$A$807,A231,'Annual_Cost'!$B$2:$B$807,B231)</f>
      </c>
      <c r="E231" s="105" t="str">
        <f>SUMIFS('Annual_Cost'!$S$2:$S$807,'Annual_Cost'!$A$2:$A$807,A231,'Annual_Cost'!$B$2:$B$807,B231)</f>
      </c>
      <c r="F231" s="106" t="str">
        <f>SUMIFS('Annual_Cost'!$W$2:$W$807,'Annual_Cost'!$A$2:$A$807,A231,'Annual_Cost'!$B$2:$B$807,B231)</f>
      </c>
      <c r="G231" s="107" t="str">
        <f>SUMIFS($E$2:E231,$A$2:A231,A231)</f>
      </c>
      <c r="H231" s="108" t="str">
        <f>SUMIFS($F$2:F231,$A$2:A231,A231)</f>
      </c>
    </row>
    <row r="232">
      <c r="A232" t="s">
        <v>244</v>
      </c>
      <c r="B232" s="102" t="n">
        <v>2047</v>
      </c>
      <c r="C232" s="103" t="str">
        <f>SUMIFS('Annual_Cost'!$Q$2:$Q$807,'Annual_Cost'!$A$2:$A$807,A232,'Annual_Cost'!$B$2:$B$807,B232)</f>
      </c>
      <c r="D232" s="104" t="str">
        <f>SUMIFS('Annual_Cost'!$R$2:$R$807,'Annual_Cost'!$A$2:$A$807,A232,'Annual_Cost'!$B$2:$B$807,B232)</f>
      </c>
      <c r="E232" s="105" t="str">
        <f>SUMIFS('Annual_Cost'!$S$2:$S$807,'Annual_Cost'!$A$2:$A$807,A232,'Annual_Cost'!$B$2:$B$807,B232)</f>
      </c>
      <c r="F232" s="106" t="str">
        <f>SUMIFS('Annual_Cost'!$W$2:$W$807,'Annual_Cost'!$A$2:$A$807,A232,'Annual_Cost'!$B$2:$B$807,B232)</f>
      </c>
      <c r="G232" s="107" t="str">
        <f>SUMIFS($E$2:E232,$A$2:A232,A232)</f>
      </c>
      <c r="H232" s="108" t="str">
        <f>SUMIFS($F$2:F232,$A$2:A232,A232)</f>
      </c>
    </row>
    <row r="233">
      <c r="A233" t="s">
        <v>244</v>
      </c>
      <c r="B233" s="102" t="n">
        <v>2048</v>
      </c>
      <c r="C233" s="103" t="str">
        <f>SUMIFS('Annual_Cost'!$Q$2:$Q$807,'Annual_Cost'!$A$2:$A$807,A233,'Annual_Cost'!$B$2:$B$807,B233)</f>
      </c>
      <c r="D233" s="104" t="str">
        <f>SUMIFS('Annual_Cost'!$R$2:$R$807,'Annual_Cost'!$A$2:$A$807,A233,'Annual_Cost'!$B$2:$B$807,B233)</f>
      </c>
      <c r="E233" s="105" t="str">
        <f>SUMIFS('Annual_Cost'!$S$2:$S$807,'Annual_Cost'!$A$2:$A$807,A233,'Annual_Cost'!$B$2:$B$807,B233)</f>
      </c>
      <c r="F233" s="106" t="str">
        <f>SUMIFS('Annual_Cost'!$W$2:$W$807,'Annual_Cost'!$A$2:$A$807,A233,'Annual_Cost'!$B$2:$B$807,B233)</f>
      </c>
      <c r="G233" s="107" t="str">
        <f>SUMIFS($E$2:E233,$A$2:A233,A233)</f>
      </c>
      <c r="H233" s="108" t="str">
        <f>SUMIFS($F$2:F233,$A$2:A233,A233)</f>
      </c>
    </row>
    <row r="234">
      <c r="A234" t="s">
        <v>244</v>
      </c>
      <c r="B234" s="102" t="n">
        <v>2049</v>
      </c>
      <c r="C234" s="103" t="str">
        <f>SUMIFS('Annual_Cost'!$Q$2:$Q$807,'Annual_Cost'!$A$2:$A$807,A234,'Annual_Cost'!$B$2:$B$807,B234)</f>
      </c>
      <c r="D234" s="104" t="str">
        <f>SUMIFS('Annual_Cost'!$R$2:$R$807,'Annual_Cost'!$A$2:$A$807,A234,'Annual_Cost'!$B$2:$B$807,B234)</f>
      </c>
      <c r="E234" s="105" t="str">
        <f>SUMIFS('Annual_Cost'!$S$2:$S$807,'Annual_Cost'!$A$2:$A$807,A234,'Annual_Cost'!$B$2:$B$807,B234)</f>
      </c>
      <c r="F234" s="106" t="str">
        <f>SUMIFS('Annual_Cost'!$W$2:$W$807,'Annual_Cost'!$A$2:$A$807,A234,'Annual_Cost'!$B$2:$B$807,B234)</f>
      </c>
      <c r="G234" s="107" t="str">
        <f>SUMIFS($E$2:E234,$A$2:A234,A234)</f>
      </c>
      <c r="H234" s="108" t="str">
        <f>SUMIFS($F$2:F234,$A$2:A234,A234)</f>
      </c>
    </row>
    <row r="235">
      <c r="A235" t="s">
        <v>244</v>
      </c>
      <c r="B235" s="102" t="n">
        <v>2050</v>
      </c>
      <c r="C235" s="103" t="str">
        <f>SUMIFS('Annual_Cost'!$Q$2:$Q$807,'Annual_Cost'!$A$2:$A$807,A235,'Annual_Cost'!$B$2:$B$807,B235)</f>
      </c>
      <c r="D235" s="104" t="str">
        <f>SUMIFS('Annual_Cost'!$R$2:$R$807,'Annual_Cost'!$A$2:$A$807,A235,'Annual_Cost'!$B$2:$B$807,B235)</f>
      </c>
      <c r="E235" s="105" t="str">
        <f>SUMIFS('Annual_Cost'!$S$2:$S$807,'Annual_Cost'!$A$2:$A$807,A235,'Annual_Cost'!$B$2:$B$807,B235)</f>
      </c>
      <c r="F235" s="106" t="str">
        <f>SUMIFS('Annual_Cost'!$W$2:$W$807,'Annual_Cost'!$A$2:$A$807,A235,'Annual_Cost'!$B$2:$B$807,B235)</f>
      </c>
      <c r="G235" s="107" t="str">
        <f>SUMIFS($E$2:E235,$A$2:A235,A235)</f>
      </c>
      <c r="H235" s="108" t="str">
        <f>SUMIFS($F$2:F235,$A$2:A235,A235)</f>
      </c>
    </row>
    <row r="236">
      <c r="A236" t="s">
        <v>263</v>
      </c>
      <c r="B236" s="102" t="n">
        <v>2025</v>
      </c>
      <c r="C236" s="103" t="str">
        <f>SUMIFS('Annual_Cost'!$Q$2:$Q$807,'Annual_Cost'!$A$2:$A$807,A236,'Annual_Cost'!$B$2:$B$807,B236)</f>
      </c>
      <c r="D236" s="104" t="str">
        <f>SUMIFS('Annual_Cost'!$R$2:$R$807,'Annual_Cost'!$A$2:$A$807,A236,'Annual_Cost'!$B$2:$B$807,B236)</f>
      </c>
      <c r="E236" s="105" t="str">
        <f>SUMIFS('Annual_Cost'!$S$2:$S$807,'Annual_Cost'!$A$2:$A$807,A236,'Annual_Cost'!$B$2:$B$807,B236)</f>
      </c>
      <c r="F236" s="106" t="str">
        <f>SUMIFS('Annual_Cost'!$W$2:$W$807,'Annual_Cost'!$A$2:$A$807,A236,'Annual_Cost'!$B$2:$B$807,B236)</f>
      </c>
      <c r="G236" s="107" t="str">
        <f>SUMIFS($E$2:E236,$A$2:A236,A236)</f>
      </c>
      <c r="H236" s="108" t="str">
        <f>SUMIFS($F$2:F236,$A$2:A236,A236)</f>
      </c>
    </row>
    <row r="237">
      <c r="A237" t="s">
        <v>263</v>
      </c>
      <c r="B237" s="102" t="n">
        <v>2026</v>
      </c>
      <c r="C237" s="103" t="str">
        <f>SUMIFS('Annual_Cost'!$Q$2:$Q$807,'Annual_Cost'!$A$2:$A$807,A237,'Annual_Cost'!$B$2:$B$807,B237)</f>
      </c>
      <c r="D237" s="104" t="str">
        <f>SUMIFS('Annual_Cost'!$R$2:$R$807,'Annual_Cost'!$A$2:$A$807,A237,'Annual_Cost'!$B$2:$B$807,B237)</f>
      </c>
      <c r="E237" s="105" t="str">
        <f>SUMIFS('Annual_Cost'!$S$2:$S$807,'Annual_Cost'!$A$2:$A$807,A237,'Annual_Cost'!$B$2:$B$807,B237)</f>
      </c>
      <c r="F237" s="106" t="str">
        <f>SUMIFS('Annual_Cost'!$W$2:$W$807,'Annual_Cost'!$A$2:$A$807,A237,'Annual_Cost'!$B$2:$B$807,B237)</f>
      </c>
      <c r="G237" s="107" t="str">
        <f>SUMIFS($E$2:E237,$A$2:A237,A237)</f>
      </c>
      <c r="H237" s="108" t="str">
        <f>SUMIFS($F$2:F237,$A$2:A237,A237)</f>
      </c>
    </row>
    <row r="238">
      <c r="A238" t="s">
        <v>263</v>
      </c>
      <c r="B238" s="102" t="n">
        <v>2027</v>
      </c>
      <c r="C238" s="103" t="str">
        <f>SUMIFS('Annual_Cost'!$Q$2:$Q$807,'Annual_Cost'!$A$2:$A$807,A238,'Annual_Cost'!$B$2:$B$807,B238)</f>
      </c>
      <c r="D238" s="104" t="str">
        <f>SUMIFS('Annual_Cost'!$R$2:$R$807,'Annual_Cost'!$A$2:$A$807,A238,'Annual_Cost'!$B$2:$B$807,B238)</f>
      </c>
      <c r="E238" s="105" t="str">
        <f>SUMIFS('Annual_Cost'!$S$2:$S$807,'Annual_Cost'!$A$2:$A$807,A238,'Annual_Cost'!$B$2:$B$807,B238)</f>
      </c>
      <c r="F238" s="106" t="str">
        <f>SUMIFS('Annual_Cost'!$W$2:$W$807,'Annual_Cost'!$A$2:$A$807,A238,'Annual_Cost'!$B$2:$B$807,B238)</f>
      </c>
      <c r="G238" s="107" t="str">
        <f>SUMIFS($E$2:E238,$A$2:A238,A238)</f>
      </c>
      <c r="H238" s="108" t="str">
        <f>SUMIFS($F$2:F238,$A$2:A238,A238)</f>
      </c>
    </row>
    <row r="239">
      <c r="A239" t="s">
        <v>263</v>
      </c>
      <c r="B239" s="102" t="n">
        <v>2028</v>
      </c>
      <c r="C239" s="103" t="str">
        <f>SUMIFS('Annual_Cost'!$Q$2:$Q$807,'Annual_Cost'!$A$2:$A$807,A239,'Annual_Cost'!$B$2:$B$807,B239)</f>
      </c>
      <c r="D239" s="104" t="str">
        <f>SUMIFS('Annual_Cost'!$R$2:$R$807,'Annual_Cost'!$A$2:$A$807,A239,'Annual_Cost'!$B$2:$B$807,B239)</f>
      </c>
      <c r="E239" s="105" t="str">
        <f>SUMIFS('Annual_Cost'!$S$2:$S$807,'Annual_Cost'!$A$2:$A$807,A239,'Annual_Cost'!$B$2:$B$807,B239)</f>
      </c>
      <c r="F239" s="106" t="str">
        <f>SUMIFS('Annual_Cost'!$W$2:$W$807,'Annual_Cost'!$A$2:$A$807,A239,'Annual_Cost'!$B$2:$B$807,B239)</f>
      </c>
      <c r="G239" s="107" t="str">
        <f>SUMIFS($E$2:E239,$A$2:A239,A239)</f>
      </c>
      <c r="H239" s="108" t="str">
        <f>SUMIFS($F$2:F239,$A$2:A239,A239)</f>
      </c>
    </row>
    <row r="240">
      <c r="A240" t="s">
        <v>263</v>
      </c>
      <c r="B240" s="102" t="n">
        <v>2029</v>
      </c>
      <c r="C240" s="103" t="str">
        <f>SUMIFS('Annual_Cost'!$Q$2:$Q$807,'Annual_Cost'!$A$2:$A$807,A240,'Annual_Cost'!$B$2:$B$807,B240)</f>
      </c>
      <c r="D240" s="104" t="str">
        <f>SUMIFS('Annual_Cost'!$R$2:$R$807,'Annual_Cost'!$A$2:$A$807,A240,'Annual_Cost'!$B$2:$B$807,B240)</f>
      </c>
      <c r="E240" s="105" t="str">
        <f>SUMIFS('Annual_Cost'!$S$2:$S$807,'Annual_Cost'!$A$2:$A$807,A240,'Annual_Cost'!$B$2:$B$807,B240)</f>
      </c>
      <c r="F240" s="106" t="str">
        <f>SUMIFS('Annual_Cost'!$W$2:$W$807,'Annual_Cost'!$A$2:$A$807,A240,'Annual_Cost'!$B$2:$B$807,B240)</f>
      </c>
      <c r="G240" s="107" t="str">
        <f>SUMIFS($E$2:E240,$A$2:A240,A240)</f>
      </c>
      <c r="H240" s="108" t="str">
        <f>SUMIFS($F$2:F240,$A$2:A240,A240)</f>
      </c>
    </row>
    <row r="241">
      <c r="A241" t="s">
        <v>263</v>
      </c>
      <c r="B241" s="102" t="n">
        <v>2030</v>
      </c>
      <c r="C241" s="103" t="str">
        <f>SUMIFS('Annual_Cost'!$Q$2:$Q$807,'Annual_Cost'!$A$2:$A$807,A241,'Annual_Cost'!$B$2:$B$807,B241)</f>
      </c>
      <c r="D241" s="104" t="str">
        <f>SUMIFS('Annual_Cost'!$R$2:$R$807,'Annual_Cost'!$A$2:$A$807,A241,'Annual_Cost'!$B$2:$B$807,B241)</f>
      </c>
      <c r="E241" s="105" t="str">
        <f>SUMIFS('Annual_Cost'!$S$2:$S$807,'Annual_Cost'!$A$2:$A$807,A241,'Annual_Cost'!$B$2:$B$807,B241)</f>
      </c>
      <c r="F241" s="106" t="str">
        <f>SUMIFS('Annual_Cost'!$W$2:$W$807,'Annual_Cost'!$A$2:$A$807,A241,'Annual_Cost'!$B$2:$B$807,B241)</f>
      </c>
      <c r="G241" s="107" t="str">
        <f>SUMIFS($E$2:E241,$A$2:A241,A241)</f>
      </c>
      <c r="H241" s="108" t="str">
        <f>SUMIFS($F$2:F241,$A$2:A241,A241)</f>
      </c>
    </row>
    <row r="242">
      <c r="A242" t="s">
        <v>263</v>
      </c>
      <c r="B242" s="102" t="n">
        <v>2031</v>
      </c>
      <c r="C242" s="103" t="str">
        <f>SUMIFS('Annual_Cost'!$Q$2:$Q$807,'Annual_Cost'!$A$2:$A$807,A242,'Annual_Cost'!$B$2:$B$807,B242)</f>
      </c>
      <c r="D242" s="104" t="str">
        <f>SUMIFS('Annual_Cost'!$R$2:$R$807,'Annual_Cost'!$A$2:$A$807,A242,'Annual_Cost'!$B$2:$B$807,B242)</f>
      </c>
      <c r="E242" s="105" t="str">
        <f>SUMIFS('Annual_Cost'!$S$2:$S$807,'Annual_Cost'!$A$2:$A$807,A242,'Annual_Cost'!$B$2:$B$807,B242)</f>
      </c>
      <c r="F242" s="106" t="str">
        <f>SUMIFS('Annual_Cost'!$W$2:$W$807,'Annual_Cost'!$A$2:$A$807,A242,'Annual_Cost'!$B$2:$B$807,B242)</f>
      </c>
      <c r="G242" s="107" t="str">
        <f>SUMIFS($E$2:E242,$A$2:A242,A242)</f>
      </c>
      <c r="H242" s="108" t="str">
        <f>SUMIFS($F$2:F242,$A$2:A242,A242)</f>
      </c>
    </row>
    <row r="243">
      <c r="A243" t="s">
        <v>263</v>
      </c>
      <c r="B243" s="102" t="n">
        <v>2032</v>
      </c>
      <c r="C243" s="103" t="str">
        <f>SUMIFS('Annual_Cost'!$Q$2:$Q$807,'Annual_Cost'!$A$2:$A$807,A243,'Annual_Cost'!$B$2:$B$807,B243)</f>
      </c>
      <c r="D243" s="104" t="str">
        <f>SUMIFS('Annual_Cost'!$R$2:$R$807,'Annual_Cost'!$A$2:$A$807,A243,'Annual_Cost'!$B$2:$B$807,B243)</f>
      </c>
      <c r="E243" s="105" t="str">
        <f>SUMIFS('Annual_Cost'!$S$2:$S$807,'Annual_Cost'!$A$2:$A$807,A243,'Annual_Cost'!$B$2:$B$807,B243)</f>
      </c>
      <c r="F243" s="106" t="str">
        <f>SUMIFS('Annual_Cost'!$W$2:$W$807,'Annual_Cost'!$A$2:$A$807,A243,'Annual_Cost'!$B$2:$B$807,B243)</f>
      </c>
      <c r="G243" s="107" t="str">
        <f>SUMIFS($E$2:E243,$A$2:A243,A243)</f>
      </c>
      <c r="H243" s="108" t="str">
        <f>SUMIFS($F$2:F243,$A$2:A243,A243)</f>
      </c>
    </row>
    <row r="244">
      <c r="A244" t="s">
        <v>263</v>
      </c>
      <c r="B244" s="102" t="n">
        <v>2033</v>
      </c>
      <c r="C244" s="103" t="str">
        <f>SUMIFS('Annual_Cost'!$Q$2:$Q$807,'Annual_Cost'!$A$2:$A$807,A244,'Annual_Cost'!$B$2:$B$807,B244)</f>
      </c>
      <c r="D244" s="104" t="str">
        <f>SUMIFS('Annual_Cost'!$R$2:$R$807,'Annual_Cost'!$A$2:$A$807,A244,'Annual_Cost'!$B$2:$B$807,B244)</f>
      </c>
      <c r="E244" s="105" t="str">
        <f>SUMIFS('Annual_Cost'!$S$2:$S$807,'Annual_Cost'!$A$2:$A$807,A244,'Annual_Cost'!$B$2:$B$807,B244)</f>
      </c>
      <c r="F244" s="106" t="str">
        <f>SUMIFS('Annual_Cost'!$W$2:$W$807,'Annual_Cost'!$A$2:$A$807,A244,'Annual_Cost'!$B$2:$B$807,B244)</f>
      </c>
      <c r="G244" s="107" t="str">
        <f>SUMIFS($E$2:E244,$A$2:A244,A244)</f>
      </c>
      <c r="H244" s="108" t="str">
        <f>SUMIFS($F$2:F244,$A$2:A244,A244)</f>
      </c>
    </row>
    <row r="245">
      <c r="A245" t="s">
        <v>263</v>
      </c>
      <c r="B245" s="102" t="n">
        <v>2034</v>
      </c>
      <c r="C245" s="103" t="str">
        <f>SUMIFS('Annual_Cost'!$Q$2:$Q$807,'Annual_Cost'!$A$2:$A$807,A245,'Annual_Cost'!$B$2:$B$807,B245)</f>
      </c>
      <c r="D245" s="104" t="str">
        <f>SUMIFS('Annual_Cost'!$R$2:$R$807,'Annual_Cost'!$A$2:$A$807,A245,'Annual_Cost'!$B$2:$B$807,B245)</f>
      </c>
      <c r="E245" s="105" t="str">
        <f>SUMIFS('Annual_Cost'!$S$2:$S$807,'Annual_Cost'!$A$2:$A$807,A245,'Annual_Cost'!$B$2:$B$807,B245)</f>
      </c>
      <c r="F245" s="106" t="str">
        <f>SUMIFS('Annual_Cost'!$W$2:$W$807,'Annual_Cost'!$A$2:$A$807,A245,'Annual_Cost'!$B$2:$B$807,B245)</f>
      </c>
      <c r="G245" s="107" t="str">
        <f>SUMIFS($E$2:E245,$A$2:A245,A245)</f>
      </c>
      <c r="H245" s="108" t="str">
        <f>SUMIFS($F$2:F245,$A$2:A245,A245)</f>
      </c>
    </row>
    <row r="246">
      <c r="A246" t="s">
        <v>263</v>
      </c>
      <c r="B246" s="102" t="n">
        <v>2035</v>
      </c>
      <c r="C246" s="103" t="str">
        <f>SUMIFS('Annual_Cost'!$Q$2:$Q$807,'Annual_Cost'!$A$2:$A$807,A246,'Annual_Cost'!$B$2:$B$807,B246)</f>
      </c>
      <c r="D246" s="104" t="str">
        <f>SUMIFS('Annual_Cost'!$R$2:$R$807,'Annual_Cost'!$A$2:$A$807,A246,'Annual_Cost'!$B$2:$B$807,B246)</f>
      </c>
      <c r="E246" s="105" t="str">
        <f>SUMIFS('Annual_Cost'!$S$2:$S$807,'Annual_Cost'!$A$2:$A$807,A246,'Annual_Cost'!$B$2:$B$807,B246)</f>
      </c>
      <c r="F246" s="106" t="str">
        <f>SUMIFS('Annual_Cost'!$W$2:$W$807,'Annual_Cost'!$A$2:$A$807,A246,'Annual_Cost'!$B$2:$B$807,B246)</f>
      </c>
      <c r="G246" s="107" t="str">
        <f>SUMIFS($E$2:E246,$A$2:A246,A246)</f>
      </c>
      <c r="H246" s="108" t="str">
        <f>SUMIFS($F$2:F246,$A$2:A246,A246)</f>
      </c>
    </row>
    <row r="247">
      <c r="A247" t="s">
        <v>263</v>
      </c>
      <c r="B247" s="102" t="n">
        <v>2036</v>
      </c>
      <c r="C247" s="103" t="str">
        <f>SUMIFS('Annual_Cost'!$Q$2:$Q$807,'Annual_Cost'!$A$2:$A$807,A247,'Annual_Cost'!$B$2:$B$807,B247)</f>
      </c>
      <c r="D247" s="104" t="str">
        <f>SUMIFS('Annual_Cost'!$R$2:$R$807,'Annual_Cost'!$A$2:$A$807,A247,'Annual_Cost'!$B$2:$B$807,B247)</f>
      </c>
      <c r="E247" s="105" t="str">
        <f>SUMIFS('Annual_Cost'!$S$2:$S$807,'Annual_Cost'!$A$2:$A$807,A247,'Annual_Cost'!$B$2:$B$807,B247)</f>
      </c>
      <c r="F247" s="106" t="str">
        <f>SUMIFS('Annual_Cost'!$W$2:$W$807,'Annual_Cost'!$A$2:$A$807,A247,'Annual_Cost'!$B$2:$B$807,B247)</f>
      </c>
      <c r="G247" s="107" t="str">
        <f>SUMIFS($E$2:E247,$A$2:A247,A247)</f>
      </c>
      <c r="H247" s="108" t="str">
        <f>SUMIFS($F$2:F247,$A$2:A247,A247)</f>
      </c>
    </row>
    <row r="248">
      <c r="A248" t="s">
        <v>263</v>
      </c>
      <c r="B248" s="102" t="n">
        <v>2037</v>
      </c>
      <c r="C248" s="103" t="str">
        <f>SUMIFS('Annual_Cost'!$Q$2:$Q$807,'Annual_Cost'!$A$2:$A$807,A248,'Annual_Cost'!$B$2:$B$807,B248)</f>
      </c>
      <c r="D248" s="104" t="str">
        <f>SUMIFS('Annual_Cost'!$R$2:$R$807,'Annual_Cost'!$A$2:$A$807,A248,'Annual_Cost'!$B$2:$B$807,B248)</f>
      </c>
      <c r="E248" s="105" t="str">
        <f>SUMIFS('Annual_Cost'!$S$2:$S$807,'Annual_Cost'!$A$2:$A$807,A248,'Annual_Cost'!$B$2:$B$807,B248)</f>
      </c>
      <c r="F248" s="106" t="str">
        <f>SUMIFS('Annual_Cost'!$W$2:$W$807,'Annual_Cost'!$A$2:$A$807,A248,'Annual_Cost'!$B$2:$B$807,B248)</f>
      </c>
      <c r="G248" s="107" t="str">
        <f>SUMIFS($E$2:E248,$A$2:A248,A248)</f>
      </c>
      <c r="H248" s="108" t="str">
        <f>SUMIFS($F$2:F248,$A$2:A248,A248)</f>
      </c>
    </row>
    <row r="249">
      <c r="A249" t="s">
        <v>263</v>
      </c>
      <c r="B249" s="102" t="n">
        <v>2038</v>
      </c>
      <c r="C249" s="103" t="str">
        <f>SUMIFS('Annual_Cost'!$Q$2:$Q$807,'Annual_Cost'!$A$2:$A$807,A249,'Annual_Cost'!$B$2:$B$807,B249)</f>
      </c>
      <c r="D249" s="104" t="str">
        <f>SUMIFS('Annual_Cost'!$R$2:$R$807,'Annual_Cost'!$A$2:$A$807,A249,'Annual_Cost'!$B$2:$B$807,B249)</f>
      </c>
      <c r="E249" s="105" t="str">
        <f>SUMIFS('Annual_Cost'!$S$2:$S$807,'Annual_Cost'!$A$2:$A$807,A249,'Annual_Cost'!$B$2:$B$807,B249)</f>
      </c>
      <c r="F249" s="106" t="str">
        <f>SUMIFS('Annual_Cost'!$W$2:$W$807,'Annual_Cost'!$A$2:$A$807,A249,'Annual_Cost'!$B$2:$B$807,B249)</f>
      </c>
      <c r="G249" s="107" t="str">
        <f>SUMIFS($E$2:E249,$A$2:A249,A249)</f>
      </c>
      <c r="H249" s="108" t="str">
        <f>SUMIFS($F$2:F249,$A$2:A249,A249)</f>
      </c>
    </row>
    <row r="250">
      <c r="A250" t="s">
        <v>263</v>
      </c>
      <c r="B250" s="102" t="n">
        <v>2039</v>
      </c>
      <c r="C250" s="103" t="str">
        <f>SUMIFS('Annual_Cost'!$Q$2:$Q$807,'Annual_Cost'!$A$2:$A$807,A250,'Annual_Cost'!$B$2:$B$807,B250)</f>
      </c>
      <c r="D250" s="104" t="str">
        <f>SUMIFS('Annual_Cost'!$R$2:$R$807,'Annual_Cost'!$A$2:$A$807,A250,'Annual_Cost'!$B$2:$B$807,B250)</f>
      </c>
      <c r="E250" s="105" t="str">
        <f>SUMIFS('Annual_Cost'!$S$2:$S$807,'Annual_Cost'!$A$2:$A$807,A250,'Annual_Cost'!$B$2:$B$807,B250)</f>
      </c>
      <c r="F250" s="106" t="str">
        <f>SUMIFS('Annual_Cost'!$W$2:$W$807,'Annual_Cost'!$A$2:$A$807,A250,'Annual_Cost'!$B$2:$B$807,B250)</f>
      </c>
      <c r="G250" s="107" t="str">
        <f>SUMIFS($E$2:E250,$A$2:A250,A250)</f>
      </c>
      <c r="H250" s="108" t="str">
        <f>SUMIFS($F$2:F250,$A$2:A250,A250)</f>
      </c>
    </row>
    <row r="251">
      <c r="A251" t="s">
        <v>263</v>
      </c>
      <c r="B251" s="102" t="n">
        <v>2040</v>
      </c>
      <c r="C251" s="103" t="str">
        <f>SUMIFS('Annual_Cost'!$Q$2:$Q$807,'Annual_Cost'!$A$2:$A$807,A251,'Annual_Cost'!$B$2:$B$807,B251)</f>
      </c>
      <c r="D251" s="104" t="str">
        <f>SUMIFS('Annual_Cost'!$R$2:$R$807,'Annual_Cost'!$A$2:$A$807,A251,'Annual_Cost'!$B$2:$B$807,B251)</f>
      </c>
      <c r="E251" s="105" t="str">
        <f>SUMIFS('Annual_Cost'!$S$2:$S$807,'Annual_Cost'!$A$2:$A$807,A251,'Annual_Cost'!$B$2:$B$807,B251)</f>
      </c>
      <c r="F251" s="106" t="str">
        <f>SUMIFS('Annual_Cost'!$W$2:$W$807,'Annual_Cost'!$A$2:$A$807,A251,'Annual_Cost'!$B$2:$B$807,B251)</f>
      </c>
      <c r="G251" s="107" t="str">
        <f>SUMIFS($E$2:E251,$A$2:A251,A251)</f>
      </c>
      <c r="H251" s="108" t="str">
        <f>SUMIFS($F$2:F251,$A$2:A251,A251)</f>
      </c>
    </row>
    <row r="252">
      <c r="A252" t="s">
        <v>263</v>
      </c>
      <c r="B252" s="102" t="n">
        <v>2041</v>
      </c>
      <c r="C252" s="103" t="str">
        <f>SUMIFS('Annual_Cost'!$Q$2:$Q$807,'Annual_Cost'!$A$2:$A$807,A252,'Annual_Cost'!$B$2:$B$807,B252)</f>
      </c>
      <c r="D252" s="104" t="str">
        <f>SUMIFS('Annual_Cost'!$R$2:$R$807,'Annual_Cost'!$A$2:$A$807,A252,'Annual_Cost'!$B$2:$B$807,B252)</f>
      </c>
      <c r="E252" s="105" t="str">
        <f>SUMIFS('Annual_Cost'!$S$2:$S$807,'Annual_Cost'!$A$2:$A$807,A252,'Annual_Cost'!$B$2:$B$807,B252)</f>
      </c>
      <c r="F252" s="106" t="str">
        <f>SUMIFS('Annual_Cost'!$W$2:$W$807,'Annual_Cost'!$A$2:$A$807,A252,'Annual_Cost'!$B$2:$B$807,B252)</f>
      </c>
      <c r="G252" s="107" t="str">
        <f>SUMIFS($E$2:E252,$A$2:A252,A252)</f>
      </c>
      <c r="H252" s="108" t="str">
        <f>SUMIFS($F$2:F252,$A$2:A252,A252)</f>
      </c>
    </row>
    <row r="253">
      <c r="A253" t="s">
        <v>263</v>
      </c>
      <c r="B253" s="102" t="n">
        <v>2042</v>
      </c>
      <c r="C253" s="103" t="str">
        <f>SUMIFS('Annual_Cost'!$Q$2:$Q$807,'Annual_Cost'!$A$2:$A$807,A253,'Annual_Cost'!$B$2:$B$807,B253)</f>
      </c>
      <c r="D253" s="104" t="str">
        <f>SUMIFS('Annual_Cost'!$R$2:$R$807,'Annual_Cost'!$A$2:$A$807,A253,'Annual_Cost'!$B$2:$B$807,B253)</f>
      </c>
      <c r="E253" s="105" t="str">
        <f>SUMIFS('Annual_Cost'!$S$2:$S$807,'Annual_Cost'!$A$2:$A$807,A253,'Annual_Cost'!$B$2:$B$807,B253)</f>
      </c>
      <c r="F253" s="106" t="str">
        <f>SUMIFS('Annual_Cost'!$W$2:$W$807,'Annual_Cost'!$A$2:$A$807,A253,'Annual_Cost'!$B$2:$B$807,B253)</f>
      </c>
      <c r="G253" s="107" t="str">
        <f>SUMIFS($E$2:E253,$A$2:A253,A253)</f>
      </c>
      <c r="H253" s="108" t="str">
        <f>SUMIFS($F$2:F253,$A$2:A253,A253)</f>
      </c>
    </row>
    <row r="254">
      <c r="A254" t="s">
        <v>263</v>
      </c>
      <c r="B254" s="102" t="n">
        <v>2043</v>
      </c>
      <c r="C254" s="103" t="str">
        <f>SUMIFS('Annual_Cost'!$Q$2:$Q$807,'Annual_Cost'!$A$2:$A$807,A254,'Annual_Cost'!$B$2:$B$807,B254)</f>
      </c>
      <c r="D254" s="104" t="str">
        <f>SUMIFS('Annual_Cost'!$R$2:$R$807,'Annual_Cost'!$A$2:$A$807,A254,'Annual_Cost'!$B$2:$B$807,B254)</f>
      </c>
      <c r="E254" s="105" t="str">
        <f>SUMIFS('Annual_Cost'!$S$2:$S$807,'Annual_Cost'!$A$2:$A$807,A254,'Annual_Cost'!$B$2:$B$807,B254)</f>
      </c>
      <c r="F254" s="106" t="str">
        <f>SUMIFS('Annual_Cost'!$W$2:$W$807,'Annual_Cost'!$A$2:$A$807,A254,'Annual_Cost'!$B$2:$B$807,B254)</f>
      </c>
      <c r="G254" s="107" t="str">
        <f>SUMIFS($E$2:E254,$A$2:A254,A254)</f>
      </c>
      <c r="H254" s="108" t="str">
        <f>SUMIFS($F$2:F254,$A$2:A254,A254)</f>
      </c>
    </row>
    <row r="255">
      <c r="A255" t="s">
        <v>263</v>
      </c>
      <c r="B255" s="102" t="n">
        <v>2044</v>
      </c>
      <c r="C255" s="103" t="str">
        <f>SUMIFS('Annual_Cost'!$Q$2:$Q$807,'Annual_Cost'!$A$2:$A$807,A255,'Annual_Cost'!$B$2:$B$807,B255)</f>
      </c>
      <c r="D255" s="104" t="str">
        <f>SUMIFS('Annual_Cost'!$R$2:$R$807,'Annual_Cost'!$A$2:$A$807,A255,'Annual_Cost'!$B$2:$B$807,B255)</f>
      </c>
      <c r="E255" s="105" t="str">
        <f>SUMIFS('Annual_Cost'!$S$2:$S$807,'Annual_Cost'!$A$2:$A$807,A255,'Annual_Cost'!$B$2:$B$807,B255)</f>
      </c>
      <c r="F255" s="106" t="str">
        <f>SUMIFS('Annual_Cost'!$W$2:$W$807,'Annual_Cost'!$A$2:$A$807,A255,'Annual_Cost'!$B$2:$B$807,B255)</f>
      </c>
      <c r="G255" s="107" t="str">
        <f>SUMIFS($E$2:E255,$A$2:A255,A255)</f>
      </c>
      <c r="H255" s="108" t="str">
        <f>SUMIFS($F$2:F255,$A$2:A255,A255)</f>
      </c>
    </row>
    <row r="256">
      <c r="A256" t="s">
        <v>263</v>
      </c>
      <c r="B256" s="102" t="n">
        <v>2045</v>
      </c>
      <c r="C256" s="103" t="str">
        <f>SUMIFS('Annual_Cost'!$Q$2:$Q$807,'Annual_Cost'!$A$2:$A$807,A256,'Annual_Cost'!$B$2:$B$807,B256)</f>
      </c>
      <c r="D256" s="104" t="str">
        <f>SUMIFS('Annual_Cost'!$R$2:$R$807,'Annual_Cost'!$A$2:$A$807,A256,'Annual_Cost'!$B$2:$B$807,B256)</f>
      </c>
      <c r="E256" s="105" t="str">
        <f>SUMIFS('Annual_Cost'!$S$2:$S$807,'Annual_Cost'!$A$2:$A$807,A256,'Annual_Cost'!$B$2:$B$807,B256)</f>
      </c>
      <c r="F256" s="106" t="str">
        <f>SUMIFS('Annual_Cost'!$W$2:$W$807,'Annual_Cost'!$A$2:$A$807,A256,'Annual_Cost'!$B$2:$B$807,B256)</f>
      </c>
      <c r="G256" s="107" t="str">
        <f>SUMIFS($E$2:E256,$A$2:A256,A256)</f>
      </c>
      <c r="H256" s="108" t="str">
        <f>SUMIFS($F$2:F256,$A$2:A256,A256)</f>
      </c>
    </row>
    <row r="257">
      <c r="A257" t="s">
        <v>263</v>
      </c>
      <c r="B257" s="102" t="n">
        <v>2046</v>
      </c>
      <c r="C257" s="103" t="str">
        <f>SUMIFS('Annual_Cost'!$Q$2:$Q$807,'Annual_Cost'!$A$2:$A$807,A257,'Annual_Cost'!$B$2:$B$807,B257)</f>
      </c>
      <c r="D257" s="104" t="str">
        <f>SUMIFS('Annual_Cost'!$R$2:$R$807,'Annual_Cost'!$A$2:$A$807,A257,'Annual_Cost'!$B$2:$B$807,B257)</f>
      </c>
      <c r="E257" s="105" t="str">
        <f>SUMIFS('Annual_Cost'!$S$2:$S$807,'Annual_Cost'!$A$2:$A$807,A257,'Annual_Cost'!$B$2:$B$807,B257)</f>
      </c>
      <c r="F257" s="106" t="str">
        <f>SUMIFS('Annual_Cost'!$W$2:$W$807,'Annual_Cost'!$A$2:$A$807,A257,'Annual_Cost'!$B$2:$B$807,B257)</f>
      </c>
      <c r="G257" s="107" t="str">
        <f>SUMIFS($E$2:E257,$A$2:A257,A257)</f>
      </c>
      <c r="H257" s="108" t="str">
        <f>SUMIFS($F$2:F257,$A$2:A257,A257)</f>
      </c>
    </row>
    <row r="258">
      <c r="A258" t="s">
        <v>263</v>
      </c>
      <c r="B258" s="102" t="n">
        <v>2047</v>
      </c>
      <c r="C258" s="103" t="str">
        <f>SUMIFS('Annual_Cost'!$Q$2:$Q$807,'Annual_Cost'!$A$2:$A$807,A258,'Annual_Cost'!$B$2:$B$807,B258)</f>
      </c>
      <c r="D258" s="104" t="str">
        <f>SUMIFS('Annual_Cost'!$R$2:$R$807,'Annual_Cost'!$A$2:$A$807,A258,'Annual_Cost'!$B$2:$B$807,B258)</f>
      </c>
      <c r="E258" s="105" t="str">
        <f>SUMIFS('Annual_Cost'!$S$2:$S$807,'Annual_Cost'!$A$2:$A$807,A258,'Annual_Cost'!$B$2:$B$807,B258)</f>
      </c>
      <c r="F258" s="106" t="str">
        <f>SUMIFS('Annual_Cost'!$W$2:$W$807,'Annual_Cost'!$A$2:$A$807,A258,'Annual_Cost'!$B$2:$B$807,B258)</f>
      </c>
      <c r="G258" s="107" t="str">
        <f>SUMIFS($E$2:E258,$A$2:A258,A258)</f>
      </c>
      <c r="H258" s="108" t="str">
        <f>SUMIFS($F$2:F258,$A$2:A258,A258)</f>
      </c>
    </row>
    <row r="259">
      <c r="A259" t="s">
        <v>263</v>
      </c>
      <c r="B259" s="102" t="n">
        <v>2048</v>
      </c>
      <c r="C259" s="103" t="str">
        <f>SUMIFS('Annual_Cost'!$Q$2:$Q$807,'Annual_Cost'!$A$2:$A$807,A259,'Annual_Cost'!$B$2:$B$807,B259)</f>
      </c>
      <c r="D259" s="104" t="str">
        <f>SUMIFS('Annual_Cost'!$R$2:$R$807,'Annual_Cost'!$A$2:$A$807,A259,'Annual_Cost'!$B$2:$B$807,B259)</f>
      </c>
      <c r="E259" s="105" t="str">
        <f>SUMIFS('Annual_Cost'!$S$2:$S$807,'Annual_Cost'!$A$2:$A$807,A259,'Annual_Cost'!$B$2:$B$807,B259)</f>
      </c>
      <c r="F259" s="106" t="str">
        <f>SUMIFS('Annual_Cost'!$W$2:$W$807,'Annual_Cost'!$A$2:$A$807,A259,'Annual_Cost'!$B$2:$B$807,B259)</f>
      </c>
      <c r="G259" s="107" t="str">
        <f>SUMIFS($E$2:E259,$A$2:A259,A259)</f>
      </c>
      <c r="H259" s="108" t="str">
        <f>SUMIFS($F$2:F259,$A$2:A259,A259)</f>
      </c>
    </row>
    <row r="260">
      <c r="A260" t="s">
        <v>263</v>
      </c>
      <c r="B260" s="102" t="n">
        <v>2049</v>
      </c>
      <c r="C260" s="103" t="str">
        <f>SUMIFS('Annual_Cost'!$Q$2:$Q$807,'Annual_Cost'!$A$2:$A$807,A260,'Annual_Cost'!$B$2:$B$807,B260)</f>
      </c>
      <c r="D260" s="104" t="str">
        <f>SUMIFS('Annual_Cost'!$R$2:$R$807,'Annual_Cost'!$A$2:$A$807,A260,'Annual_Cost'!$B$2:$B$807,B260)</f>
      </c>
      <c r="E260" s="105" t="str">
        <f>SUMIFS('Annual_Cost'!$S$2:$S$807,'Annual_Cost'!$A$2:$A$807,A260,'Annual_Cost'!$B$2:$B$807,B260)</f>
      </c>
      <c r="F260" s="106" t="str">
        <f>SUMIFS('Annual_Cost'!$W$2:$W$807,'Annual_Cost'!$A$2:$A$807,A260,'Annual_Cost'!$B$2:$B$807,B260)</f>
      </c>
      <c r="G260" s="107" t="str">
        <f>SUMIFS($E$2:E260,$A$2:A260,A260)</f>
      </c>
      <c r="H260" s="108" t="str">
        <f>SUMIFS($F$2:F260,$A$2:A260,A260)</f>
      </c>
    </row>
    <row r="261">
      <c r="A261" t="s">
        <v>263</v>
      </c>
      <c r="B261" s="102" t="n">
        <v>2050</v>
      </c>
      <c r="C261" s="103" t="str">
        <f>SUMIFS('Annual_Cost'!$Q$2:$Q$807,'Annual_Cost'!$A$2:$A$807,A261,'Annual_Cost'!$B$2:$B$807,B261)</f>
      </c>
      <c r="D261" s="104" t="str">
        <f>SUMIFS('Annual_Cost'!$R$2:$R$807,'Annual_Cost'!$A$2:$A$807,A261,'Annual_Cost'!$B$2:$B$807,B261)</f>
      </c>
      <c r="E261" s="105" t="str">
        <f>SUMIFS('Annual_Cost'!$S$2:$S$807,'Annual_Cost'!$A$2:$A$807,A261,'Annual_Cost'!$B$2:$B$807,B261)</f>
      </c>
      <c r="F261" s="106" t="str">
        <f>SUMIFS('Annual_Cost'!$W$2:$W$807,'Annual_Cost'!$A$2:$A$807,A261,'Annual_Cost'!$B$2:$B$807,B261)</f>
      </c>
      <c r="G261" s="107" t="str">
        <f>SUMIFS($E$2:E261,$A$2:A261,A261)</f>
      </c>
      <c r="H261" s="108" t="str">
        <f>SUMIFS($F$2:F261,$A$2:A261,A261)</f>
      </c>
    </row>
    <row r="262">
      <c r="A262" t="s">
        <v>249</v>
      </c>
      <c r="B262" s="102" t="n">
        <v>2025</v>
      </c>
      <c r="C262" s="103" t="str">
        <f>SUMIFS('Annual_Cost'!$Q$2:$Q$807,'Annual_Cost'!$A$2:$A$807,A262,'Annual_Cost'!$B$2:$B$807,B262)</f>
      </c>
      <c r="D262" s="104" t="str">
        <f>SUMIFS('Annual_Cost'!$R$2:$R$807,'Annual_Cost'!$A$2:$A$807,A262,'Annual_Cost'!$B$2:$B$807,B262)</f>
      </c>
      <c r="E262" s="105" t="str">
        <f>SUMIFS('Annual_Cost'!$S$2:$S$807,'Annual_Cost'!$A$2:$A$807,A262,'Annual_Cost'!$B$2:$B$807,B262)</f>
      </c>
      <c r="F262" s="106" t="str">
        <f>SUMIFS('Annual_Cost'!$W$2:$W$807,'Annual_Cost'!$A$2:$A$807,A262,'Annual_Cost'!$B$2:$B$807,B262)</f>
      </c>
      <c r="G262" s="107" t="str">
        <f>SUMIFS($E$2:E262,$A$2:A262,A262)</f>
      </c>
      <c r="H262" s="108" t="str">
        <f>SUMIFS($F$2:F262,$A$2:A262,A262)</f>
      </c>
    </row>
    <row r="263">
      <c r="A263" t="s">
        <v>249</v>
      </c>
      <c r="B263" s="102" t="n">
        <v>2026</v>
      </c>
      <c r="C263" s="103" t="str">
        <f>SUMIFS('Annual_Cost'!$Q$2:$Q$807,'Annual_Cost'!$A$2:$A$807,A263,'Annual_Cost'!$B$2:$B$807,B263)</f>
      </c>
      <c r="D263" s="104" t="str">
        <f>SUMIFS('Annual_Cost'!$R$2:$R$807,'Annual_Cost'!$A$2:$A$807,A263,'Annual_Cost'!$B$2:$B$807,B263)</f>
      </c>
      <c r="E263" s="105" t="str">
        <f>SUMIFS('Annual_Cost'!$S$2:$S$807,'Annual_Cost'!$A$2:$A$807,A263,'Annual_Cost'!$B$2:$B$807,B263)</f>
      </c>
      <c r="F263" s="106" t="str">
        <f>SUMIFS('Annual_Cost'!$W$2:$W$807,'Annual_Cost'!$A$2:$A$807,A263,'Annual_Cost'!$B$2:$B$807,B263)</f>
      </c>
      <c r="G263" s="107" t="str">
        <f>SUMIFS($E$2:E263,$A$2:A263,A263)</f>
      </c>
      <c r="H263" s="108" t="str">
        <f>SUMIFS($F$2:F263,$A$2:A263,A263)</f>
      </c>
    </row>
    <row r="264">
      <c r="A264" t="s">
        <v>249</v>
      </c>
      <c r="B264" s="102" t="n">
        <v>2027</v>
      </c>
      <c r="C264" s="103" t="str">
        <f>SUMIFS('Annual_Cost'!$Q$2:$Q$807,'Annual_Cost'!$A$2:$A$807,A264,'Annual_Cost'!$B$2:$B$807,B264)</f>
      </c>
      <c r="D264" s="104" t="str">
        <f>SUMIFS('Annual_Cost'!$R$2:$R$807,'Annual_Cost'!$A$2:$A$807,A264,'Annual_Cost'!$B$2:$B$807,B264)</f>
      </c>
      <c r="E264" s="105" t="str">
        <f>SUMIFS('Annual_Cost'!$S$2:$S$807,'Annual_Cost'!$A$2:$A$807,A264,'Annual_Cost'!$B$2:$B$807,B264)</f>
      </c>
      <c r="F264" s="106" t="str">
        <f>SUMIFS('Annual_Cost'!$W$2:$W$807,'Annual_Cost'!$A$2:$A$807,A264,'Annual_Cost'!$B$2:$B$807,B264)</f>
      </c>
      <c r="G264" s="107" t="str">
        <f>SUMIFS($E$2:E264,$A$2:A264,A264)</f>
      </c>
      <c r="H264" s="108" t="str">
        <f>SUMIFS($F$2:F264,$A$2:A264,A264)</f>
      </c>
    </row>
    <row r="265">
      <c r="A265" t="s">
        <v>249</v>
      </c>
      <c r="B265" s="102" t="n">
        <v>2028</v>
      </c>
      <c r="C265" s="103" t="str">
        <f>SUMIFS('Annual_Cost'!$Q$2:$Q$807,'Annual_Cost'!$A$2:$A$807,A265,'Annual_Cost'!$B$2:$B$807,B265)</f>
      </c>
      <c r="D265" s="104" t="str">
        <f>SUMIFS('Annual_Cost'!$R$2:$R$807,'Annual_Cost'!$A$2:$A$807,A265,'Annual_Cost'!$B$2:$B$807,B265)</f>
      </c>
      <c r="E265" s="105" t="str">
        <f>SUMIFS('Annual_Cost'!$S$2:$S$807,'Annual_Cost'!$A$2:$A$807,A265,'Annual_Cost'!$B$2:$B$807,B265)</f>
      </c>
      <c r="F265" s="106" t="str">
        <f>SUMIFS('Annual_Cost'!$W$2:$W$807,'Annual_Cost'!$A$2:$A$807,A265,'Annual_Cost'!$B$2:$B$807,B265)</f>
      </c>
      <c r="G265" s="107" t="str">
        <f>SUMIFS($E$2:E265,$A$2:A265,A265)</f>
      </c>
      <c r="H265" s="108" t="str">
        <f>SUMIFS($F$2:F265,$A$2:A265,A265)</f>
      </c>
    </row>
    <row r="266">
      <c r="A266" t="s">
        <v>249</v>
      </c>
      <c r="B266" s="102" t="n">
        <v>2029</v>
      </c>
      <c r="C266" s="103" t="str">
        <f>SUMIFS('Annual_Cost'!$Q$2:$Q$807,'Annual_Cost'!$A$2:$A$807,A266,'Annual_Cost'!$B$2:$B$807,B266)</f>
      </c>
      <c r="D266" s="104" t="str">
        <f>SUMIFS('Annual_Cost'!$R$2:$R$807,'Annual_Cost'!$A$2:$A$807,A266,'Annual_Cost'!$B$2:$B$807,B266)</f>
      </c>
      <c r="E266" s="105" t="str">
        <f>SUMIFS('Annual_Cost'!$S$2:$S$807,'Annual_Cost'!$A$2:$A$807,A266,'Annual_Cost'!$B$2:$B$807,B266)</f>
      </c>
      <c r="F266" s="106" t="str">
        <f>SUMIFS('Annual_Cost'!$W$2:$W$807,'Annual_Cost'!$A$2:$A$807,A266,'Annual_Cost'!$B$2:$B$807,B266)</f>
      </c>
      <c r="G266" s="107" t="str">
        <f>SUMIFS($E$2:E266,$A$2:A266,A266)</f>
      </c>
      <c r="H266" s="108" t="str">
        <f>SUMIFS($F$2:F266,$A$2:A266,A266)</f>
      </c>
    </row>
    <row r="267">
      <c r="A267" t="s">
        <v>249</v>
      </c>
      <c r="B267" s="102" t="n">
        <v>2030</v>
      </c>
      <c r="C267" s="103" t="str">
        <f>SUMIFS('Annual_Cost'!$Q$2:$Q$807,'Annual_Cost'!$A$2:$A$807,A267,'Annual_Cost'!$B$2:$B$807,B267)</f>
      </c>
      <c r="D267" s="104" t="str">
        <f>SUMIFS('Annual_Cost'!$R$2:$R$807,'Annual_Cost'!$A$2:$A$807,A267,'Annual_Cost'!$B$2:$B$807,B267)</f>
      </c>
      <c r="E267" s="105" t="str">
        <f>SUMIFS('Annual_Cost'!$S$2:$S$807,'Annual_Cost'!$A$2:$A$807,A267,'Annual_Cost'!$B$2:$B$807,B267)</f>
      </c>
      <c r="F267" s="106" t="str">
        <f>SUMIFS('Annual_Cost'!$W$2:$W$807,'Annual_Cost'!$A$2:$A$807,A267,'Annual_Cost'!$B$2:$B$807,B267)</f>
      </c>
      <c r="G267" s="107" t="str">
        <f>SUMIFS($E$2:E267,$A$2:A267,A267)</f>
      </c>
      <c r="H267" s="108" t="str">
        <f>SUMIFS($F$2:F267,$A$2:A267,A267)</f>
      </c>
    </row>
    <row r="268">
      <c r="A268" t="s">
        <v>249</v>
      </c>
      <c r="B268" s="102" t="n">
        <v>2031</v>
      </c>
      <c r="C268" s="103" t="str">
        <f>SUMIFS('Annual_Cost'!$Q$2:$Q$807,'Annual_Cost'!$A$2:$A$807,A268,'Annual_Cost'!$B$2:$B$807,B268)</f>
      </c>
      <c r="D268" s="104" t="str">
        <f>SUMIFS('Annual_Cost'!$R$2:$R$807,'Annual_Cost'!$A$2:$A$807,A268,'Annual_Cost'!$B$2:$B$807,B268)</f>
      </c>
      <c r="E268" s="105" t="str">
        <f>SUMIFS('Annual_Cost'!$S$2:$S$807,'Annual_Cost'!$A$2:$A$807,A268,'Annual_Cost'!$B$2:$B$807,B268)</f>
      </c>
      <c r="F268" s="106" t="str">
        <f>SUMIFS('Annual_Cost'!$W$2:$W$807,'Annual_Cost'!$A$2:$A$807,A268,'Annual_Cost'!$B$2:$B$807,B268)</f>
      </c>
      <c r="G268" s="107" t="str">
        <f>SUMIFS($E$2:E268,$A$2:A268,A268)</f>
      </c>
      <c r="H268" s="108" t="str">
        <f>SUMIFS($F$2:F268,$A$2:A268,A268)</f>
      </c>
    </row>
    <row r="269">
      <c r="A269" t="s">
        <v>249</v>
      </c>
      <c r="B269" s="102" t="n">
        <v>2032</v>
      </c>
      <c r="C269" s="103" t="str">
        <f>SUMIFS('Annual_Cost'!$Q$2:$Q$807,'Annual_Cost'!$A$2:$A$807,A269,'Annual_Cost'!$B$2:$B$807,B269)</f>
      </c>
      <c r="D269" s="104" t="str">
        <f>SUMIFS('Annual_Cost'!$R$2:$R$807,'Annual_Cost'!$A$2:$A$807,A269,'Annual_Cost'!$B$2:$B$807,B269)</f>
      </c>
      <c r="E269" s="105" t="str">
        <f>SUMIFS('Annual_Cost'!$S$2:$S$807,'Annual_Cost'!$A$2:$A$807,A269,'Annual_Cost'!$B$2:$B$807,B269)</f>
      </c>
      <c r="F269" s="106" t="str">
        <f>SUMIFS('Annual_Cost'!$W$2:$W$807,'Annual_Cost'!$A$2:$A$807,A269,'Annual_Cost'!$B$2:$B$807,B269)</f>
      </c>
      <c r="G269" s="107" t="str">
        <f>SUMIFS($E$2:E269,$A$2:A269,A269)</f>
      </c>
      <c r="H269" s="108" t="str">
        <f>SUMIFS($F$2:F269,$A$2:A269,A269)</f>
      </c>
    </row>
    <row r="270">
      <c r="A270" t="s">
        <v>249</v>
      </c>
      <c r="B270" s="102" t="n">
        <v>2033</v>
      </c>
      <c r="C270" s="103" t="str">
        <f>SUMIFS('Annual_Cost'!$Q$2:$Q$807,'Annual_Cost'!$A$2:$A$807,A270,'Annual_Cost'!$B$2:$B$807,B270)</f>
      </c>
      <c r="D270" s="104" t="str">
        <f>SUMIFS('Annual_Cost'!$R$2:$R$807,'Annual_Cost'!$A$2:$A$807,A270,'Annual_Cost'!$B$2:$B$807,B270)</f>
      </c>
      <c r="E270" s="105" t="str">
        <f>SUMIFS('Annual_Cost'!$S$2:$S$807,'Annual_Cost'!$A$2:$A$807,A270,'Annual_Cost'!$B$2:$B$807,B270)</f>
      </c>
      <c r="F270" s="106" t="str">
        <f>SUMIFS('Annual_Cost'!$W$2:$W$807,'Annual_Cost'!$A$2:$A$807,A270,'Annual_Cost'!$B$2:$B$807,B270)</f>
      </c>
      <c r="G270" s="107" t="str">
        <f>SUMIFS($E$2:E270,$A$2:A270,A270)</f>
      </c>
      <c r="H270" s="108" t="str">
        <f>SUMIFS($F$2:F270,$A$2:A270,A270)</f>
      </c>
    </row>
    <row r="271">
      <c r="A271" t="s">
        <v>249</v>
      </c>
      <c r="B271" s="102" t="n">
        <v>2034</v>
      </c>
      <c r="C271" s="103" t="str">
        <f>SUMIFS('Annual_Cost'!$Q$2:$Q$807,'Annual_Cost'!$A$2:$A$807,A271,'Annual_Cost'!$B$2:$B$807,B271)</f>
      </c>
      <c r="D271" s="104" t="str">
        <f>SUMIFS('Annual_Cost'!$R$2:$R$807,'Annual_Cost'!$A$2:$A$807,A271,'Annual_Cost'!$B$2:$B$807,B271)</f>
      </c>
      <c r="E271" s="105" t="str">
        <f>SUMIFS('Annual_Cost'!$S$2:$S$807,'Annual_Cost'!$A$2:$A$807,A271,'Annual_Cost'!$B$2:$B$807,B271)</f>
      </c>
      <c r="F271" s="106" t="str">
        <f>SUMIFS('Annual_Cost'!$W$2:$W$807,'Annual_Cost'!$A$2:$A$807,A271,'Annual_Cost'!$B$2:$B$807,B271)</f>
      </c>
      <c r="G271" s="107" t="str">
        <f>SUMIFS($E$2:E271,$A$2:A271,A271)</f>
      </c>
      <c r="H271" s="108" t="str">
        <f>SUMIFS($F$2:F271,$A$2:A271,A271)</f>
      </c>
    </row>
    <row r="272">
      <c r="A272" t="s">
        <v>249</v>
      </c>
      <c r="B272" s="102" t="n">
        <v>2035</v>
      </c>
      <c r="C272" s="103" t="str">
        <f>SUMIFS('Annual_Cost'!$Q$2:$Q$807,'Annual_Cost'!$A$2:$A$807,A272,'Annual_Cost'!$B$2:$B$807,B272)</f>
      </c>
      <c r="D272" s="104" t="str">
        <f>SUMIFS('Annual_Cost'!$R$2:$R$807,'Annual_Cost'!$A$2:$A$807,A272,'Annual_Cost'!$B$2:$B$807,B272)</f>
      </c>
      <c r="E272" s="105" t="str">
        <f>SUMIFS('Annual_Cost'!$S$2:$S$807,'Annual_Cost'!$A$2:$A$807,A272,'Annual_Cost'!$B$2:$B$807,B272)</f>
      </c>
      <c r="F272" s="106" t="str">
        <f>SUMIFS('Annual_Cost'!$W$2:$W$807,'Annual_Cost'!$A$2:$A$807,A272,'Annual_Cost'!$B$2:$B$807,B272)</f>
      </c>
      <c r="G272" s="107" t="str">
        <f>SUMIFS($E$2:E272,$A$2:A272,A272)</f>
      </c>
      <c r="H272" s="108" t="str">
        <f>SUMIFS($F$2:F272,$A$2:A272,A272)</f>
      </c>
    </row>
    <row r="273">
      <c r="A273" t="s">
        <v>249</v>
      </c>
      <c r="B273" s="102" t="n">
        <v>2036</v>
      </c>
      <c r="C273" s="103" t="str">
        <f>SUMIFS('Annual_Cost'!$Q$2:$Q$807,'Annual_Cost'!$A$2:$A$807,A273,'Annual_Cost'!$B$2:$B$807,B273)</f>
      </c>
      <c r="D273" s="104" t="str">
        <f>SUMIFS('Annual_Cost'!$R$2:$R$807,'Annual_Cost'!$A$2:$A$807,A273,'Annual_Cost'!$B$2:$B$807,B273)</f>
      </c>
      <c r="E273" s="105" t="str">
        <f>SUMIFS('Annual_Cost'!$S$2:$S$807,'Annual_Cost'!$A$2:$A$807,A273,'Annual_Cost'!$B$2:$B$807,B273)</f>
      </c>
      <c r="F273" s="106" t="str">
        <f>SUMIFS('Annual_Cost'!$W$2:$W$807,'Annual_Cost'!$A$2:$A$807,A273,'Annual_Cost'!$B$2:$B$807,B273)</f>
      </c>
      <c r="G273" s="107" t="str">
        <f>SUMIFS($E$2:E273,$A$2:A273,A273)</f>
      </c>
      <c r="H273" s="108" t="str">
        <f>SUMIFS($F$2:F273,$A$2:A273,A273)</f>
      </c>
    </row>
    <row r="274">
      <c r="A274" t="s">
        <v>249</v>
      </c>
      <c r="B274" s="102" t="n">
        <v>2037</v>
      </c>
      <c r="C274" s="103" t="str">
        <f>SUMIFS('Annual_Cost'!$Q$2:$Q$807,'Annual_Cost'!$A$2:$A$807,A274,'Annual_Cost'!$B$2:$B$807,B274)</f>
      </c>
      <c r="D274" s="104" t="str">
        <f>SUMIFS('Annual_Cost'!$R$2:$R$807,'Annual_Cost'!$A$2:$A$807,A274,'Annual_Cost'!$B$2:$B$807,B274)</f>
      </c>
      <c r="E274" s="105" t="str">
        <f>SUMIFS('Annual_Cost'!$S$2:$S$807,'Annual_Cost'!$A$2:$A$807,A274,'Annual_Cost'!$B$2:$B$807,B274)</f>
      </c>
      <c r="F274" s="106" t="str">
        <f>SUMIFS('Annual_Cost'!$W$2:$W$807,'Annual_Cost'!$A$2:$A$807,A274,'Annual_Cost'!$B$2:$B$807,B274)</f>
      </c>
      <c r="G274" s="107" t="str">
        <f>SUMIFS($E$2:E274,$A$2:A274,A274)</f>
      </c>
      <c r="H274" s="108" t="str">
        <f>SUMIFS($F$2:F274,$A$2:A274,A274)</f>
      </c>
    </row>
    <row r="275">
      <c r="A275" t="s">
        <v>249</v>
      </c>
      <c r="B275" s="102" t="n">
        <v>2038</v>
      </c>
      <c r="C275" s="103" t="str">
        <f>SUMIFS('Annual_Cost'!$Q$2:$Q$807,'Annual_Cost'!$A$2:$A$807,A275,'Annual_Cost'!$B$2:$B$807,B275)</f>
      </c>
      <c r="D275" s="104" t="str">
        <f>SUMIFS('Annual_Cost'!$R$2:$R$807,'Annual_Cost'!$A$2:$A$807,A275,'Annual_Cost'!$B$2:$B$807,B275)</f>
      </c>
      <c r="E275" s="105" t="str">
        <f>SUMIFS('Annual_Cost'!$S$2:$S$807,'Annual_Cost'!$A$2:$A$807,A275,'Annual_Cost'!$B$2:$B$807,B275)</f>
      </c>
      <c r="F275" s="106" t="str">
        <f>SUMIFS('Annual_Cost'!$W$2:$W$807,'Annual_Cost'!$A$2:$A$807,A275,'Annual_Cost'!$B$2:$B$807,B275)</f>
      </c>
      <c r="G275" s="107" t="str">
        <f>SUMIFS($E$2:E275,$A$2:A275,A275)</f>
      </c>
      <c r="H275" s="108" t="str">
        <f>SUMIFS($F$2:F275,$A$2:A275,A275)</f>
      </c>
    </row>
    <row r="276">
      <c r="A276" t="s">
        <v>249</v>
      </c>
      <c r="B276" s="102" t="n">
        <v>2039</v>
      </c>
      <c r="C276" s="103" t="str">
        <f>SUMIFS('Annual_Cost'!$Q$2:$Q$807,'Annual_Cost'!$A$2:$A$807,A276,'Annual_Cost'!$B$2:$B$807,B276)</f>
      </c>
      <c r="D276" s="104" t="str">
        <f>SUMIFS('Annual_Cost'!$R$2:$R$807,'Annual_Cost'!$A$2:$A$807,A276,'Annual_Cost'!$B$2:$B$807,B276)</f>
      </c>
      <c r="E276" s="105" t="str">
        <f>SUMIFS('Annual_Cost'!$S$2:$S$807,'Annual_Cost'!$A$2:$A$807,A276,'Annual_Cost'!$B$2:$B$807,B276)</f>
      </c>
      <c r="F276" s="106" t="str">
        <f>SUMIFS('Annual_Cost'!$W$2:$W$807,'Annual_Cost'!$A$2:$A$807,A276,'Annual_Cost'!$B$2:$B$807,B276)</f>
      </c>
      <c r="G276" s="107" t="str">
        <f>SUMIFS($E$2:E276,$A$2:A276,A276)</f>
      </c>
      <c r="H276" s="108" t="str">
        <f>SUMIFS($F$2:F276,$A$2:A276,A276)</f>
      </c>
    </row>
    <row r="277">
      <c r="A277" t="s">
        <v>249</v>
      </c>
      <c r="B277" s="102" t="n">
        <v>2040</v>
      </c>
      <c r="C277" s="103" t="str">
        <f>SUMIFS('Annual_Cost'!$Q$2:$Q$807,'Annual_Cost'!$A$2:$A$807,A277,'Annual_Cost'!$B$2:$B$807,B277)</f>
      </c>
      <c r="D277" s="104" t="str">
        <f>SUMIFS('Annual_Cost'!$R$2:$R$807,'Annual_Cost'!$A$2:$A$807,A277,'Annual_Cost'!$B$2:$B$807,B277)</f>
      </c>
      <c r="E277" s="105" t="str">
        <f>SUMIFS('Annual_Cost'!$S$2:$S$807,'Annual_Cost'!$A$2:$A$807,A277,'Annual_Cost'!$B$2:$B$807,B277)</f>
      </c>
      <c r="F277" s="106" t="str">
        <f>SUMIFS('Annual_Cost'!$W$2:$W$807,'Annual_Cost'!$A$2:$A$807,A277,'Annual_Cost'!$B$2:$B$807,B277)</f>
      </c>
      <c r="G277" s="107" t="str">
        <f>SUMIFS($E$2:E277,$A$2:A277,A277)</f>
      </c>
      <c r="H277" s="108" t="str">
        <f>SUMIFS($F$2:F277,$A$2:A277,A277)</f>
      </c>
    </row>
    <row r="278">
      <c r="A278" t="s">
        <v>249</v>
      </c>
      <c r="B278" s="102" t="n">
        <v>2041</v>
      </c>
      <c r="C278" s="103" t="str">
        <f>SUMIFS('Annual_Cost'!$Q$2:$Q$807,'Annual_Cost'!$A$2:$A$807,A278,'Annual_Cost'!$B$2:$B$807,B278)</f>
      </c>
      <c r="D278" s="104" t="str">
        <f>SUMIFS('Annual_Cost'!$R$2:$R$807,'Annual_Cost'!$A$2:$A$807,A278,'Annual_Cost'!$B$2:$B$807,B278)</f>
      </c>
      <c r="E278" s="105" t="str">
        <f>SUMIFS('Annual_Cost'!$S$2:$S$807,'Annual_Cost'!$A$2:$A$807,A278,'Annual_Cost'!$B$2:$B$807,B278)</f>
      </c>
      <c r="F278" s="106" t="str">
        <f>SUMIFS('Annual_Cost'!$W$2:$W$807,'Annual_Cost'!$A$2:$A$807,A278,'Annual_Cost'!$B$2:$B$807,B278)</f>
      </c>
      <c r="G278" s="107" t="str">
        <f>SUMIFS($E$2:E278,$A$2:A278,A278)</f>
      </c>
      <c r="H278" s="108" t="str">
        <f>SUMIFS($F$2:F278,$A$2:A278,A278)</f>
      </c>
    </row>
    <row r="279">
      <c r="A279" t="s">
        <v>249</v>
      </c>
      <c r="B279" s="102" t="n">
        <v>2042</v>
      </c>
      <c r="C279" s="103" t="str">
        <f>SUMIFS('Annual_Cost'!$Q$2:$Q$807,'Annual_Cost'!$A$2:$A$807,A279,'Annual_Cost'!$B$2:$B$807,B279)</f>
      </c>
      <c r="D279" s="104" t="str">
        <f>SUMIFS('Annual_Cost'!$R$2:$R$807,'Annual_Cost'!$A$2:$A$807,A279,'Annual_Cost'!$B$2:$B$807,B279)</f>
      </c>
      <c r="E279" s="105" t="str">
        <f>SUMIFS('Annual_Cost'!$S$2:$S$807,'Annual_Cost'!$A$2:$A$807,A279,'Annual_Cost'!$B$2:$B$807,B279)</f>
      </c>
      <c r="F279" s="106" t="str">
        <f>SUMIFS('Annual_Cost'!$W$2:$W$807,'Annual_Cost'!$A$2:$A$807,A279,'Annual_Cost'!$B$2:$B$807,B279)</f>
      </c>
      <c r="G279" s="107" t="str">
        <f>SUMIFS($E$2:E279,$A$2:A279,A279)</f>
      </c>
      <c r="H279" s="108" t="str">
        <f>SUMIFS($F$2:F279,$A$2:A279,A279)</f>
      </c>
    </row>
    <row r="280">
      <c r="A280" t="s">
        <v>249</v>
      </c>
      <c r="B280" s="102" t="n">
        <v>2043</v>
      </c>
      <c r="C280" s="103" t="str">
        <f>SUMIFS('Annual_Cost'!$Q$2:$Q$807,'Annual_Cost'!$A$2:$A$807,A280,'Annual_Cost'!$B$2:$B$807,B280)</f>
      </c>
      <c r="D280" s="104" t="str">
        <f>SUMIFS('Annual_Cost'!$R$2:$R$807,'Annual_Cost'!$A$2:$A$807,A280,'Annual_Cost'!$B$2:$B$807,B280)</f>
      </c>
      <c r="E280" s="105" t="str">
        <f>SUMIFS('Annual_Cost'!$S$2:$S$807,'Annual_Cost'!$A$2:$A$807,A280,'Annual_Cost'!$B$2:$B$807,B280)</f>
      </c>
      <c r="F280" s="106" t="str">
        <f>SUMIFS('Annual_Cost'!$W$2:$W$807,'Annual_Cost'!$A$2:$A$807,A280,'Annual_Cost'!$B$2:$B$807,B280)</f>
      </c>
      <c r="G280" s="107" t="str">
        <f>SUMIFS($E$2:E280,$A$2:A280,A280)</f>
      </c>
      <c r="H280" s="108" t="str">
        <f>SUMIFS($F$2:F280,$A$2:A280,A280)</f>
      </c>
    </row>
    <row r="281">
      <c r="A281" t="s">
        <v>249</v>
      </c>
      <c r="B281" s="102" t="n">
        <v>2044</v>
      </c>
      <c r="C281" s="103" t="str">
        <f>SUMIFS('Annual_Cost'!$Q$2:$Q$807,'Annual_Cost'!$A$2:$A$807,A281,'Annual_Cost'!$B$2:$B$807,B281)</f>
      </c>
      <c r="D281" s="104" t="str">
        <f>SUMIFS('Annual_Cost'!$R$2:$R$807,'Annual_Cost'!$A$2:$A$807,A281,'Annual_Cost'!$B$2:$B$807,B281)</f>
      </c>
      <c r="E281" s="105" t="str">
        <f>SUMIFS('Annual_Cost'!$S$2:$S$807,'Annual_Cost'!$A$2:$A$807,A281,'Annual_Cost'!$B$2:$B$807,B281)</f>
      </c>
      <c r="F281" s="106" t="str">
        <f>SUMIFS('Annual_Cost'!$W$2:$W$807,'Annual_Cost'!$A$2:$A$807,A281,'Annual_Cost'!$B$2:$B$807,B281)</f>
      </c>
      <c r="G281" s="107" t="str">
        <f>SUMIFS($E$2:E281,$A$2:A281,A281)</f>
      </c>
      <c r="H281" s="108" t="str">
        <f>SUMIFS($F$2:F281,$A$2:A281,A281)</f>
      </c>
    </row>
    <row r="282">
      <c r="A282" t="s">
        <v>249</v>
      </c>
      <c r="B282" s="102" t="n">
        <v>2045</v>
      </c>
      <c r="C282" s="103" t="str">
        <f>SUMIFS('Annual_Cost'!$Q$2:$Q$807,'Annual_Cost'!$A$2:$A$807,A282,'Annual_Cost'!$B$2:$B$807,B282)</f>
      </c>
      <c r="D282" s="104" t="str">
        <f>SUMIFS('Annual_Cost'!$R$2:$R$807,'Annual_Cost'!$A$2:$A$807,A282,'Annual_Cost'!$B$2:$B$807,B282)</f>
      </c>
      <c r="E282" s="105" t="str">
        <f>SUMIFS('Annual_Cost'!$S$2:$S$807,'Annual_Cost'!$A$2:$A$807,A282,'Annual_Cost'!$B$2:$B$807,B282)</f>
      </c>
      <c r="F282" s="106" t="str">
        <f>SUMIFS('Annual_Cost'!$W$2:$W$807,'Annual_Cost'!$A$2:$A$807,A282,'Annual_Cost'!$B$2:$B$807,B282)</f>
      </c>
      <c r="G282" s="107" t="str">
        <f>SUMIFS($E$2:E282,$A$2:A282,A282)</f>
      </c>
      <c r="H282" s="108" t="str">
        <f>SUMIFS($F$2:F282,$A$2:A282,A282)</f>
      </c>
    </row>
    <row r="283">
      <c r="A283" t="s">
        <v>249</v>
      </c>
      <c r="B283" s="102" t="n">
        <v>2046</v>
      </c>
      <c r="C283" s="103" t="str">
        <f>SUMIFS('Annual_Cost'!$Q$2:$Q$807,'Annual_Cost'!$A$2:$A$807,A283,'Annual_Cost'!$B$2:$B$807,B283)</f>
      </c>
      <c r="D283" s="104" t="str">
        <f>SUMIFS('Annual_Cost'!$R$2:$R$807,'Annual_Cost'!$A$2:$A$807,A283,'Annual_Cost'!$B$2:$B$807,B283)</f>
      </c>
      <c r="E283" s="105" t="str">
        <f>SUMIFS('Annual_Cost'!$S$2:$S$807,'Annual_Cost'!$A$2:$A$807,A283,'Annual_Cost'!$B$2:$B$807,B283)</f>
      </c>
      <c r="F283" s="106" t="str">
        <f>SUMIFS('Annual_Cost'!$W$2:$W$807,'Annual_Cost'!$A$2:$A$807,A283,'Annual_Cost'!$B$2:$B$807,B283)</f>
      </c>
      <c r="G283" s="107" t="str">
        <f>SUMIFS($E$2:E283,$A$2:A283,A283)</f>
      </c>
      <c r="H283" s="108" t="str">
        <f>SUMIFS($F$2:F283,$A$2:A283,A283)</f>
      </c>
    </row>
    <row r="284">
      <c r="A284" t="s">
        <v>249</v>
      </c>
      <c r="B284" s="102" t="n">
        <v>2047</v>
      </c>
      <c r="C284" s="103" t="str">
        <f>SUMIFS('Annual_Cost'!$Q$2:$Q$807,'Annual_Cost'!$A$2:$A$807,A284,'Annual_Cost'!$B$2:$B$807,B284)</f>
      </c>
      <c r="D284" s="104" t="str">
        <f>SUMIFS('Annual_Cost'!$R$2:$R$807,'Annual_Cost'!$A$2:$A$807,A284,'Annual_Cost'!$B$2:$B$807,B284)</f>
      </c>
      <c r="E284" s="105" t="str">
        <f>SUMIFS('Annual_Cost'!$S$2:$S$807,'Annual_Cost'!$A$2:$A$807,A284,'Annual_Cost'!$B$2:$B$807,B284)</f>
      </c>
      <c r="F284" s="106" t="str">
        <f>SUMIFS('Annual_Cost'!$W$2:$W$807,'Annual_Cost'!$A$2:$A$807,A284,'Annual_Cost'!$B$2:$B$807,B284)</f>
      </c>
      <c r="G284" s="107" t="str">
        <f>SUMIFS($E$2:E284,$A$2:A284,A284)</f>
      </c>
      <c r="H284" s="108" t="str">
        <f>SUMIFS($F$2:F284,$A$2:A284,A284)</f>
      </c>
    </row>
    <row r="285">
      <c r="A285" t="s">
        <v>249</v>
      </c>
      <c r="B285" s="102" t="n">
        <v>2048</v>
      </c>
      <c r="C285" s="103" t="str">
        <f>SUMIFS('Annual_Cost'!$Q$2:$Q$807,'Annual_Cost'!$A$2:$A$807,A285,'Annual_Cost'!$B$2:$B$807,B285)</f>
      </c>
      <c r="D285" s="104" t="str">
        <f>SUMIFS('Annual_Cost'!$R$2:$R$807,'Annual_Cost'!$A$2:$A$807,A285,'Annual_Cost'!$B$2:$B$807,B285)</f>
      </c>
      <c r="E285" s="105" t="str">
        <f>SUMIFS('Annual_Cost'!$S$2:$S$807,'Annual_Cost'!$A$2:$A$807,A285,'Annual_Cost'!$B$2:$B$807,B285)</f>
      </c>
      <c r="F285" s="106" t="str">
        <f>SUMIFS('Annual_Cost'!$W$2:$W$807,'Annual_Cost'!$A$2:$A$807,A285,'Annual_Cost'!$B$2:$B$807,B285)</f>
      </c>
      <c r="G285" s="107" t="str">
        <f>SUMIFS($E$2:E285,$A$2:A285,A285)</f>
      </c>
      <c r="H285" s="108" t="str">
        <f>SUMIFS($F$2:F285,$A$2:A285,A285)</f>
      </c>
    </row>
    <row r="286">
      <c r="A286" t="s">
        <v>249</v>
      </c>
      <c r="B286" s="102" t="n">
        <v>2049</v>
      </c>
      <c r="C286" s="103" t="str">
        <f>SUMIFS('Annual_Cost'!$Q$2:$Q$807,'Annual_Cost'!$A$2:$A$807,A286,'Annual_Cost'!$B$2:$B$807,B286)</f>
      </c>
      <c r="D286" s="104" t="str">
        <f>SUMIFS('Annual_Cost'!$R$2:$R$807,'Annual_Cost'!$A$2:$A$807,A286,'Annual_Cost'!$B$2:$B$807,B286)</f>
      </c>
      <c r="E286" s="105" t="str">
        <f>SUMIFS('Annual_Cost'!$S$2:$S$807,'Annual_Cost'!$A$2:$A$807,A286,'Annual_Cost'!$B$2:$B$807,B286)</f>
      </c>
      <c r="F286" s="106" t="str">
        <f>SUMIFS('Annual_Cost'!$W$2:$W$807,'Annual_Cost'!$A$2:$A$807,A286,'Annual_Cost'!$B$2:$B$807,B286)</f>
      </c>
      <c r="G286" s="107" t="str">
        <f>SUMIFS($E$2:E286,$A$2:A286,A286)</f>
      </c>
      <c r="H286" s="108" t="str">
        <f>SUMIFS($F$2:F286,$A$2:A286,A286)</f>
      </c>
    </row>
    <row r="287">
      <c r="A287" t="s">
        <v>249</v>
      </c>
      <c r="B287" s="102" t="n">
        <v>2050</v>
      </c>
      <c r="C287" s="103" t="str">
        <f>SUMIFS('Annual_Cost'!$Q$2:$Q$807,'Annual_Cost'!$A$2:$A$807,A287,'Annual_Cost'!$B$2:$B$807,B287)</f>
      </c>
      <c r="D287" s="104" t="str">
        <f>SUMIFS('Annual_Cost'!$R$2:$R$807,'Annual_Cost'!$A$2:$A$807,A287,'Annual_Cost'!$B$2:$B$807,B287)</f>
      </c>
      <c r="E287" s="105" t="str">
        <f>SUMIFS('Annual_Cost'!$S$2:$S$807,'Annual_Cost'!$A$2:$A$807,A287,'Annual_Cost'!$B$2:$B$807,B287)</f>
      </c>
      <c r="F287" s="106" t="str">
        <f>SUMIFS('Annual_Cost'!$W$2:$W$807,'Annual_Cost'!$A$2:$A$807,A287,'Annual_Cost'!$B$2:$B$807,B287)</f>
      </c>
      <c r="G287" s="107" t="str">
        <f>SUMIFS($E$2:E287,$A$2:A287,A287)</f>
      </c>
      <c r="H287" s="108" t="str">
        <f>SUMIFS($F$2:F287,$A$2:A287,A287)</f>
      </c>
    </row>
    <row r="288">
      <c r="A288" t="s">
        <v>259</v>
      </c>
      <c r="B288" s="102" t="n">
        <v>2025</v>
      </c>
      <c r="C288" s="103" t="str">
        <f>SUMIFS('Annual_Cost'!$Q$2:$Q$807,'Annual_Cost'!$A$2:$A$807,A288,'Annual_Cost'!$B$2:$B$807,B288)</f>
      </c>
      <c r="D288" s="104" t="str">
        <f>SUMIFS('Annual_Cost'!$R$2:$R$807,'Annual_Cost'!$A$2:$A$807,A288,'Annual_Cost'!$B$2:$B$807,B288)</f>
      </c>
      <c r="E288" s="105" t="str">
        <f>SUMIFS('Annual_Cost'!$S$2:$S$807,'Annual_Cost'!$A$2:$A$807,A288,'Annual_Cost'!$B$2:$B$807,B288)</f>
      </c>
      <c r="F288" s="106" t="str">
        <f>SUMIFS('Annual_Cost'!$W$2:$W$807,'Annual_Cost'!$A$2:$A$807,A288,'Annual_Cost'!$B$2:$B$807,B288)</f>
      </c>
      <c r="G288" s="107" t="str">
        <f>SUMIFS($E$2:E288,$A$2:A288,A288)</f>
      </c>
      <c r="H288" s="108" t="str">
        <f>SUMIFS($F$2:F288,$A$2:A288,A288)</f>
      </c>
    </row>
    <row r="289">
      <c r="A289" t="s">
        <v>259</v>
      </c>
      <c r="B289" s="102" t="n">
        <v>2026</v>
      </c>
      <c r="C289" s="103" t="str">
        <f>SUMIFS('Annual_Cost'!$Q$2:$Q$807,'Annual_Cost'!$A$2:$A$807,A289,'Annual_Cost'!$B$2:$B$807,B289)</f>
      </c>
      <c r="D289" s="104" t="str">
        <f>SUMIFS('Annual_Cost'!$R$2:$R$807,'Annual_Cost'!$A$2:$A$807,A289,'Annual_Cost'!$B$2:$B$807,B289)</f>
      </c>
      <c r="E289" s="105" t="str">
        <f>SUMIFS('Annual_Cost'!$S$2:$S$807,'Annual_Cost'!$A$2:$A$807,A289,'Annual_Cost'!$B$2:$B$807,B289)</f>
      </c>
      <c r="F289" s="106" t="str">
        <f>SUMIFS('Annual_Cost'!$W$2:$W$807,'Annual_Cost'!$A$2:$A$807,A289,'Annual_Cost'!$B$2:$B$807,B289)</f>
      </c>
      <c r="G289" s="107" t="str">
        <f>SUMIFS($E$2:E289,$A$2:A289,A289)</f>
      </c>
      <c r="H289" s="108" t="str">
        <f>SUMIFS($F$2:F289,$A$2:A289,A289)</f>
      </c>
    </row>
    <row r="290">
      <c r="A290" t="s">
        <v>259</v>
      </c>
      <c r="B290" s="102" t="n">
        <v>2027</v>
      </c>
      <c r="C290" s="103" t="str">
        <f>SUMIFS('Annual_Cost'!$Q$2:$Q$807,'Annual_Cost'!$A$2:$A$807,A290,'Annual_Cost'!$B$2:$B$807,B290)</f>
      </c>
      <c r="D290" s="104" t="str">
        <f>SUMIFS('Annual_Cost'!$R$2:$R$807,'Annual_Cost'!$A$2:$A$807,A290,'Annual_Cost'!$B$2:$B$807,B290)</f>
      </c>
      <c r="E290" s="105" t="str">
        <f>SUMIFS('Annual_Cost'!$S$2:$S$807,'Annual_Cost'!$A$2:$A$807,A290,'Annual_Cost'!$B$2:$B$807,B290)</f>
      </c>
      <c r="F290" s="106" t="str">
        <f>SUMIFS('Annual_Cost'!$W$2:$W$807,'Annual_Cost'!$A$2:$A$807,A290,'Annual_Cost'!$B$2:$B$807,B290)</f>
      </c>
      <c r="G290" s="107" t="str">
        <f>SUMIFS($E$2:E290,$A$2:A290,A290)</f>
      </c>
      <c r="H290" s="108" t="str">
        <f>SUMIFS($F$2:F290,$A$2:A290,A290)</f>
      </c>
    </row>
    <row r="291">
      <c r="A291" t="s">
        <v>259</v>
      </c>
      <c r="B291" s="102" t="n">
        <v>2028</v>
      </c>
      <c r="C291" s="103" t="str">
        <f>SUMIFS('Annual_Cost'!$Q$2:$Q$807,'Annual_Cost'!$A$2:$A$807,A291,'Annual_Cost'!$B$2:$B$807,B291)</f>
      </c>
      <c r="D291" s="104" t="str">
        <f>SUMIFS('Annual_Cost'!$R$2:$R$807,'Annual_Cost'!$A$2:$A$807,A291,'Annual_Cost'!$B$2:$B$807,B291)</f>
      </c>
      <c r="E291" s="105" t="str">
        <f>SUMIFS('Annual_Cost'!$S$2:$S$807,'Annual_Cost'!$A$2:$A$807,A291,'Annual_Cost'!$B$2:$B$807,B291)</f>
      </c>
      <c r="F291" s="106" t="str">
        <f>SUMIFS('Annual_Cost'!$W$2:$W$807,'Annual_Cost'!$A$2:$A$807,A291,'Annual_Cost'!$B$2:$B$807,B291)</f>
      </c>
      <c r="G291" s="107" t="str">
        <f>SUMIFS($E$2:E291,$A$2:A291,A291)</f>
      </c>
      <c r="H291" s="108" t="str">
        <f>SUMIFS($F$2:F291,$A$2:A291,A291)</f>
      </c>
    </row>
    <row r="292">
      <c r="A292" t="s">
        <v>259</v>
      </c>
      <c r="B292" s="102" t="n">
        <v>2029</v>
      </c>
      <c r="C292" s="103" t="str">
        <f>SUMIFS('Annual_Cost'!$Q$2:$Q$807,'Annual_Cost'!$A$2:$A$807,A292,'Annual_Cost'!$B$2:$B$807,B292)</f>
      </c>
      <c r="D292" s="104" t="str">
        <f>SUMIFS('Annual_Cost'!$R$2:$R$807,'Annual_Cost'!$A$2:$A$807,A292,'Annual_Cost'!$B$2:$B$807,B292)</f>
      </c>
      <c r="E292" s="105" t="str">
        <f>SUMIFS('Annual_Cost'!$S$2:$S$807,'Annual_Cost'!$A$2:$A$807,A292,'Annual_Cost'!$B$2:$B$807,B292)</f>
      </c>
      <c r="F292" s="106" t="str">
        <f>SUMIFS('Annual_Cost'!$W$2:$W$807,'Annual_Cost'!$A$2:$A$807,A292,'Annual_Cost'!$B$2:$B$807,B292)</f>
      </c>
      <c r="G292" s="107" t="str">
        <f>SUMIFS($E$2:E292,$A$2:A292,A292)</f>
      </c>
      <c r="H292" s="108" t="str">
        <f>SUMIFS($F$2:F292,$A$2:A292,A292)</f>
      </c>
    </row>
    <row r="293">
      <c r="A293" t="s">
        <v>259</v>
      </c>
      <c r="B293" s="102" t="n">
        <v>2030</v>
      </c>
      <c r="C293" s="103" t="str">
        <f>SUMIFS('Annual_Cost'!$Q$2:$Q$807,'Annual_Cost'!$A$2:$A$807,A293,'Annual_Cost'!$B$2:$B$807,B293)</f>
      </c>
      <c r="D293" s="104" t="str">
        <f>SUMIFS('Annual_Cost'!$R$2:$R$807,'Annual_Cost'!$A$2:$A$807,A293,'Annual_Cost'!$B$2:$B$807,B293)</f>
      </c>
      <c r="E293" s="105" t="str">
        <f>SUMIFS('Annual_Cost'!$S$2:$S$807,'Annual_Cost'!$A$2:$A$807,A293,'Annual_Cost'!$B$2:$B$807,B293)</f>
      </c>
      <c r="F293" s="106" t="str">
        <f>SUMIFS('Annual_Cost'!$W$2:$W$807,'Annual_Cost'!$A$2:$A$807,A293,'Annual_Cost'!$B$2:$B$807,B293)</f>
      </c>
      <c r="G293" s="107" t="str">
        <f>SUMIFS($E$2:E293,$A$2:A293,A293)</f>
      </c>
      <c r="H293" s="108" t="str">
        <f>SUMIFS($F$2:F293,$A$2:A293,A293)</f>
      </c>
    </row>
    <row r="294">
      <c r="A294" t="s">
        <v>259</v>
      </c>
      <c r="B294" s="102" t="n">
        <v>2031</v>
      </c>
      <c r="C294" s="103" t="str">
        <f>SUMIFS('Annual_Cost'!$Q$2:$Q$807,'Annual_Cost'!$A$2:$A$807,A294,'Annual_Cost'!$B$2:$B$807,B294)</f>
      </c>
      <c r="D294" s="104" t="str">
        <f>SUMIFS('Annual_Cost'!$R$2:$R$807,'Annual_Cost'!$A$2:$A$807,A294,'Annual_Cost'!$B$2:$B$807,B294)</f>
      </c>
      <c r="E294" s="105" t="str">
        <f>SUMIFS('Annual_Cost'!$S$2:$S$807,'Annual_Cost'!$A$2:$A$807,A294,'Annual_Cost'!$B$2:$B$807,B294)</f>
      </c>
      <c r="F294" s="106" t="str">
        <f>SUMIFS('Annual_Cost'!$W$2:$W$807,'Annual_Cost'!$A$2:$A$807,A294,'Annual_Cost'!$B$2:$B$807,B294)</f>
      </c>
      <c r="G294" s="107" t="str">
        <f>SUMIFS($E$2:E294,$A$2:A294,A294)</f>
      </c>
      <c r="H294" s="108" t="str">
        <f>SUMIFS($F$2:F294,$A$2:A294,A294)</f>
      </c>
    </row>
    <row r="295">
      <c r="A295" t="s">
        <v>259</v>
      </c>
      <c r="B295" s="102" t="n">
        <v>2032</v>
      </c>
      <c r="C295" s="103" t="str">
        <f>SUMIFS('Annual_Cost'!$Q$2:$Q$807,'Annual_Cost'!$A$2:$A$807,A295,'Annual_Cost'!$B$2:$B$807,B295)</f>
      </c>
      <c r="D295" s="104" t="str">
        <f>SUMIFS('Annual_Cost'!$R$2:$R$807,'Annual_Cost'!$A$2:$A$807,A295,'Annual_Cost'!$B$2:$B$807,B295)</f>
      </c>
      <c r="E295" s="105" t="str">
        <f>SUMIFS('Annual_Cost'!$S$2:$S$807,'Annual_Cost'!$A$2:$A$807,A295,'Annual_Cost'!$B$2:$B$807,B295)</f>
      </c>
      <c r="F295" s="106" t="str">
        <f>SUMIFS('Annual_Cost'!$W$2:$W$807,'Annual_Cost'!$A$2:$A$807,A295,'Annual_Cost'!$B$2:$B$807,B295)</f>
      </c>
      <c r="G295" s="107" t="str">
        <f>SUMIFS($E$2:E295,$A$2:A295,A295)</f>
      </c>
      <c r="H295" s="108" t="str">
        <f>SUMIFS($F$2:F295,$A$2:A295,A295)</f>
      </c>
    </row>
    <row r="296">
      <c r="A296" t="s">
        <v>259</v>
      </c>
      <c r="B296" s="102" t="n">
        <v>2033</v>
      </c>
      <c r="C296" s="103" t="str">
        <f>SUMIFS('Annual_Cost'!$Q$2:$Q$807,'Annual_Cost'!$A$2:$A$807,A296,'Annual_Cost'!$B$2:$B$807,B296)</f>
      </c>
      <c r="D296" s="104" t="str">
        <f>SUMIFS('Annual_Cost'!$R$2:$R$807,'Annual_Cost'!$A$2:$A$807,A296,'Annual_Cost'!$B$2:$B$807,B296)</f>
      </c>
      <c r="E296" s="105" t="str">
        <f>SUMIFS('Annual_Cost'!$S$2:$S$807,'Annual_Cost'!$A$2:$A$807,A296,'Annual_Cost'!$B$2:$B$807,B296)</f>
      </c>
      <c r="F296" s="106" t="str">
        <f>SUMIFS('Annual_Cost'!$W$2:$W$807,'Annual_Cost'!$A$2:$A$807,A296,'Annual_Cost'!$B$2:$B$807,B296)</f>
      </c>
      <c r="G296" s="107" t="str">
        <f>SUMIFS($E$2:E296,$A$2:A296,A296)</f>
      </c>
      <c r="H296" s="108" t="str">
        <f>SUMIFS($F$2:F296,$A$2:A296,A296)</f>
      </c>
    </row>
    <row r="297">
      <c r="A297" t="s">
        <v>259</v>
      </c>
      <c r="B297" s="102" t="n">
        <v>2034</v>
      </c>
      <c r="C297" s="103" t="str">
        <f>SUMIFS('Annual_Cost'!$Q$2:$Q$807,'Annual_Cost'!$A$2:$A$807,A297,'Annual_Cost'!$B$2:$B$807,B297)</f>
      </c>
      <c r="D297" s="104" t="str">
        <f>SUMIFS('Annual_Cost'!$R$2:$R$807,'Annual_Cost'!$A$2:$A$807,A297,'Annual_Cost'!$B$2:$B$807,B297)</f>
      </c>
      <c r="E297" s="105" t="str">
        <f>SUMIFS('Annual_Cost'!$S$2:$S$807,'Annual_Cost'!$A$2:$A$807,A297,'Annual_Cost'!$B$2:$B$807,B297)</f>
      </c>
      <c r="F297" s="106" t="str">
        <f>SUMIFS('Annual_Cost'!$W$2:$W$807,'Annual_Cost'!$A$2:$A$807,A297,'Annual_Cost'!$B$2:$B$807,B297)</f>
      </c>
      <c r="G297" s="107" t="str">
        <f>SUMIFS($E$2:E297,$A$2:A297,A297)</f>
      </c>
      <c r="H297" s="108" t="str">
        <f>SUMIFS($F$2:F297,$A$2:A297,A297)</f>
      </c>
    </row>
    <row r="298">
      <c r="A298" t="s">
        <v>259</v>
      </c>
      <c r="B298" s="102" t="n">
        <v>2035</v>
      </c>
      <c r="C298" s="103" t="str">
        <f>SUMIFS('Annual_Cost'!$Q$2:$Q$807,'Annual_Cost'!$A$2:$A$807,A298,'Annual_Cost'!$B$2:$B$807,B298)</f>
      </c>
      <c r="D298" s="104" t="str">
        <f>SUMIFS('Annual_Cost'!$R$2:$R$807,'Annual_Cost'!$A$2:$A$807,A298,'Annual_Cost'!$B$2:$B$807,B298)</f>
      </c>
      <c r="E298" s="105" t="str">
        <f>SUMIFS('Annual_Cost'!$S$2:$S$807,'Annual_Cost'!$A$2:$A$807,A298,'Annual_Cost'!$B$2:$B$807,B298)</f>
      </c>
      <c r="F298" s="106" t="str">
        <f>SUMIFS('Annual_Cost'!$W$2:$W$807,'Annual_Cost'!$A$2:$A$807,A298,'Annual_Cost'!$B$2:$B$807,B298)</f>
      </c>
      <c r="G298" s="107" t="str">
        <f>SUMIFS($E$2:E298,$A$2:A298,A298)</f>
      </c>
      <c r="H298" s="108" t="str">
        <f>SUMIFS($F$2:F298,$A$2:A298,A298)</f>
      </c>
    </row>
    <row r="299">
      <c r="A299" t="s">
        <v>259</v>
      </c>
      <c r="B299" s="102" t="n">
        <v>2036</v>
      </c>
      <c r="C299" s="103" t="str">
        <f>SUMIFS('Annual_Cost'!$Q$2:$Q$807,'Annual_Cost'!$A$2:$A$807,A299,'Annual_Cost'!$B$2:$B$807,B299)</f>
      </c>
      <c r="D299" s="104" t="str">
        <f>SUMIFS('Annual_Cost'!$R$2:$R$807,'Annual_Cost'!$A$2:$A$807,A299,'Annual_Cost'!$B$2:$B$807,B299)</f>
      </c>
      <c r="E299" s="105" t="str">
        <f>SUMIFS('Annual_Cost'!$S$2:$S$807,'Annual_Cost'!$A$2:$A$807,A299,'Annual_Cost'!$B$2:$B$807,B299)</f>
      </c>
      <c r="F299" s="106" t="str">
        <f>SUMIFS('Annual_Cost'!$W$2:$W$807,'Annual_Cost'!$A$2:$A$807,A299,'Annual_Cost'!$B$2:$B$807,B299)</f>
      </c>
      <c r="G299" s="107" t="str">
        <f>SUMIFS($E$2:E299,$A$2:A299,A299)</f>
      </c>
      <c r="H299" s="108" t="str">
        <f>SUMIFS($F$2:F299,$A$2:A299,A299)</f>
      </c>
    </row>
    <row r="300">
      <c r="A300" t="s">
        <v>259</v>
      </c>
      <c r="B300" s="102" t="n">
        <v>2037</v>
      </c>
      <c r="C300" s="103" t="str">
        <f>SUMIFS('Annual_Cost'!$Q$2:$Q$807,'Annual_Cost'!$A$2:$A$807,A300,'Annual_Cost'!$B$2:$B$807,B300)</f>
      </c>
      <c r="D300" s="104" t="str">
        <f>SUMIFS('Annual_Cost'!$R$2:$R$807,'Annual_Cost'!$A$2:$A$807,A300,'Annual_Cost'!$B$2:$B$807,B300)</f>
      </c>
      <c r="E300" s="105" t="str">
        <f>SUMIFS('Annual_Cost'!$S$2:$S$807,'Annual_Cost'!$A$2:$A$807,A300,'Annual_Cost'!$B$2:$B$807,B300)</f>
      </c>
      <c r="F300" s="106" t="str">
        <f>SUMIFS('Annual_Cost'!$W$2:$W$807,'Annual_Cost'!$A$2:$A$807,A300,'Annual_Cost'!$B$2:$B$807,B300)</f>
      </c>
      <c r="G300" s="107" t="str">
        <f>SUMIFS($E$2:E300,$A$2:A300,A300)</f>
      </c>
      <c r="H300" s="108" t="str">
        <f>SUMIFS($F$2:F300,$A$2:A300,A300)</f>
      </c>
    </row>
    <row r="301">
      <c r="A301" t="s">
        <v>259</v>
      </c>
      <c r="B301" s="102" t="n">
        <v>2038</v>
      </c>
      <c r="C301" s="103" t="str">
        <f>SUMIFS('Annual_Cost'!$Q$2:$Q$807,'Annual_Cost'!$A$2:$A$807,A301,'Annual_Cost'!$B$2:$B$807,B301)</f>
      </c>
      <c r="D301" s="104" t="str">
        <f>SUMIFS('Annual_Cost'!$R$2:$R$807,'Annual_Cost'!$A$2:$A$807,A301,'Annual_Cost'!$B$2:$B$807,B301)</f>
      </c>
      <c r="E301" s="105" t="str">
        <f>SUMIFS('Annual_Cost'!$S$2:$S$807,'Annual_Cost'!$A$2:$A$807,A301,'Annual_Cost'!$B$2:$B$807,B301)</f>
      </c>
      <c r="F301" s="106" t="str">
        <f>SUMIFS('Annual_Cost'!$W$2:$W$807,'Annual_Cost'!$A$2:$A$807,A301,'Annual_Cost'!$B$2:$B$807,B301)</f>
      </c>
      <c r="G301" s="107" t="str">
        <f>SUMIFS($E$2:E301,$A$2:A301,A301)</f>
      </c>
      <c r="H301" s="108" t="str">
        <f>SUMIFS($F$2:F301,$A$2:A301,A301)</f>
      </c>
    </row>
    <row r="302">
      <c r="A302" t="s">
        <v>259</v>
      </c>
      <c r="B302" s="102" t="n">
        <v>2039</v>
      </c>
      <c r="C302" s="103" t="str">
        <f>SUMIFS('Annual_Cost'!$Q$2:$Q$807,'Annual_Cost'!$A$2:$A$807,A302,'Annual_Cost'!$B$2:$B$807,B302)</f>
      </c>
      <c r="D302" s="104" t="str">
        <f>SUMIFS('Annual_Cost'!$R$2:$R$807,'Annual_Cost'!$A$2:$A$807,A302,'Annual_Cost'!$B$2:$B$807,B302)</f>
      </c>
      <c r="E302" s="105" t="str">
        <f>SUMIFS('Annual_Cost'!$S$2:$S$807,'Annual_Cost'!$A$2:$A$807,A302,'Annual_Cost'!$B$2:$B$807,B302)</f>
      </c>
      <c r="F302" s="106" t="str">
        <f>SUMIFS('Annual_Cost'!$W$2:$W$807,'Annual_Cost'!$A$2:$A$807,A302,'Annual_Cost'!$B$2:$B$807,B302)</f>
      </c>
      <c r="G302" s="107" t="str">
        <f>SUMIFS($E$2:E302,$A$2:A302,A302)</f>
      </c>
      <c r="H302" s="108" t="str">
        <f>SUMIFS($F$2:F302,$A$2:A302,A302)</f>
      </c>
    </row>
    <row r="303">
      <c r="A303" t="s">
        <v>259</v>
      </c>
      <c r="B303" s="102" t="n">
        <v>2040</v>
      </c>
      <c r="C303" s="103" t="str">
        <f>SUMIFS('Annual_Cost'!$Q$2:$Q$807,'Annual_Cost'!$A$2:$A$807,A303,'Annual_Cost'!$B$2:$B$807,B303)</f>
      </c>
      <c r="D303" s="104" t="str">
        <f>SUMIFS('Annual_Cost'!$R$2:$R$807,'Annual_Cost'!$A$2:$A$807,A303,'Annual_Cost'!$B$2:$B$807,B303)</f>
      </c>
      <c r="E303" s="105" t="str">
        <f>SUMIFS('Annual_Cost'!$S$2:$S$807,'Annual_Cost'!$A$2:$A$807,A303,'Annual_Cost'!$B$2:$B$807,B303)</f>
      </c>
      <c r="F303" s="106" t="str">
        <f>SUMIFS('Annual_Cost'!$W$2:$W$807,'Annual_Cost'!$A$2:$A$807,A303,'Annual_Cost'!$B$2:$B$807,B303)</f>
      </c>
      <c r="G303" s="107" t="str">
        <f>SUMIFS($E$2:E303,$A$2:A303,A303)</f>
      </c>
      <c r="H303" s="108" t="str">
        <f>SUMIFS($F$2:F303,$A$2:A303,A303)</f>
      </c>
    </row>
    <row r="304">
      <c r="A304" t="s">
        <v>259</v>
      </c>
      <c r="B304" s="102" t="n">
        <v>2041</v>
      </c>
      <c r="C304" s="103" t="str">
        <f>SUMIFS('Annual_Cost'!$Q$2:$Q$807,'Annual_Cost'!$A$2:$A$807,A304,'Annual_Cost'!$B$2:$B$807,B304)</f>
      </c>
      <c r="D304" s="104" t="str">
        <f>SUMIFS('Annual_Cost'!$R$2:$R$807,'Annual_Cost'!$A$2:$A$807,A304,'Annual_Cost'!$B$2:$B$807,B304)</f>
      </c>
      <c r="E304" s="105" t="str">
        <f>SUMIFS('Annual_Cost'!$S$2:$S$807,'Annual_Cost'!$A$2:$A$807,A304,'Annual_Cost'!$B$2:$B$807,B304)</f>
      </c>
      <c r="F304" s="106" t="str">
        <f>SUMIFS('Annual_Cost'!$W$2:$W$807,'Annual_Cost'!$A$2:$A$807,A304,'Annual_Cost'!$B$2:$B$807,B304)</f>
      </c>
      <c r="G304" s="107" t="str">
        <f>SUMIFS($E$2:E304,$A$2:A304,A304)</f>
      </c>
      <c r="H304" s="108" t="str">
        <f>SUMIFS($F$2:F304,$A$2:A304,A304)</f>
      </c>
    </row>
    <row r="305">
      <c r="A305" t="s">
        <v>259</v>
      </c>
      <c r="B305" s="102" t="n">
        <v>2042</v>
      </c>
      <c r="C305" s="103" t="str">
        <f>SUMIFS('Annual_Cost'!$Q$2:$Q$807,'Annual_Cost'!$A$2:$A$807,A305,'Annual_Cost'!$B$2:$B$807,B305)</f>
      </c>
      <c r="D305" s="104" t="str">
        <f>SUMIFS('Annual_Cost'!$R$2:$R$807,'Annual_Cost'!$A$2:$A$807,A305,'Annual_Cost'!$B$2:$B$807,B305)</f>
      </c>
      <c r="E305" s="105" t="str">
        <f>SUMIFS('Annual_Cost'!$S$2:$S$807,'Annual_Cost'!$A$2:$A$807,A305,'Annual_Cost'!$B$2:$B$807,B305)</f>
      </c>
      <c r="F305" s="106" t="str">
        <f>SUMIFS('Annual_Cost'!$W$2:$W$807,'Annual_Cost'!$A$2:$A$807,A305,'Annual_Cost'!$B$2:$B$807,B305)</f>
      </c>
      <c r="G305" s="107" t="str">
        <f>SUMIFS($E$2:E305,$A$2:A305,A305)</f>
      </c>
      <c r="H305" s="108" t="str">
        <f>SUMIFS($F$2:F305,$A$2:A305,A305)</f>
      </c>
    </row>
    <row r="306">
      <c r="A306" t="s">
        <v>259</v>
      </c>
      <c r="B306" s="102" t="n">
        <v>2043</v>
      </c>
      <c r="C306" s="103" t="str">
        <f>SUMIFS('Annual_Cost'!$Q$2:$Q$807,'Annual_Cost'!$A$2:$A$807,A306,'Annual_Cost'!$B$2:$B$807,B306)</f>
      </c>
      <c r="D306" s="104" t="str">
        <f>SUMIFS('Annual_Cost'!$R$2:$R$807,'Annual_Cost'!$A$2:$A$807,A306,'Annual_Cost'!$B$2:$B$807,B306)</f>
      </c>
      <c r="E306" s="105" t="str">
        <f>SUMIFS('Annual_Cost'!$S$2:$S$807,'Annual_Cost'!$A$2:$A$807,A306,'Annual_Cost'!$B$2:$B$807,B306)</f>
      </c>
      <c r="F306" s="106" t="str">
        <f>SUMIFS('Annual_Cost'!$W$2:$W$807,'Annual_Cost'!$A$2:$A$807,A306,'Annual_Cost'!$B$2:$B$807,B306)</f>
      </c>
      <c r="G306" s="107" t="str">
        <f>SUMIFS($E$2:E306,$A$2:A306,A306)</f>
      </c>
      <c r="H306" s="108" t="str">
        <f>SUMIFS($F$2:F306,$A$2:A306,A306)</f>
      </c>
    </row>
    <row r="307">
      <c r="A307" t="s">
        <v>259</v>
      </c>
      <c r="B307" s="102" t="n">
        <v>2044</v>
      </c>
      <c r="C307" s="103" t="str">
        <f>SUMIFS('Annual_Cost'!$Q$2:$Q$807,'Annual_Cost'!$A$2:$A$807,A307,'Annual_Cost'!$B$2:$B$807,B307)</f>
      </c>
      <c r="D307" s="104" t="str">
        <f>SUMIFS('Annual_Cost'!$R$2:$R$807,'Annual_Cost'!$A$2:$A$807,A307,'Annual_Cost'!$B$2:$B$807,B307)</f>
      </c>
      <c r="E307" s="105" t="str">
        <f>SUMIFS('Annual_Cost'!$S$2:$S$807,'Annual_Cost'!$A$2:$A$807,A307,'Annual_Cost'!$B$2:$B$807,B307)</f>
      </c>
      <c r="F307" s="106" t="str">
        <f>SUMIFS('Annual_Cost'!$W$2:$W$807,'Annual_Cost'!$A$2:$A$807,A307,'Annual_Cost'!$B$2:$B$807,B307)</f>
      </c>
      <c r="G307" s="107" t="str">
        <f>SUMIFS($E$2:E307,$A$2:A307,A307)</f>
      </c>
      <c r="H307" s="108" t="str">
        <f>SUMIFS($F$2:F307,$A$2:A307,A307)</f>
      </c>
    </row>
    <row r="308">
      <c r="A308" t="s">
        <v>259</v>
      </c>
      <c r="B308" s="102" t="n">
        <v>2045</v>
      </c>
      <c r="C308" s="103" t="str">
        <f>SUMIFS('Annual_Cost'!$Q$2:$Q$807,'Annual_Cost'!$A$2:$A$807,A308,'Annual_Cost'!$B$2:$B$807,B308)</f>
      </c>
      <c r="D308" s="104" t="str">
        <f>SUMIFS('Annual_Cost'!$R$2:$R$807,'Annual_Cost'!$A$2:$A$807,A308,'Annual_Cost'!$B$2:$B$807,B308)</f>
      </c>
      <c r="E308" s="105" t="str">
        <f>SUMIFS('Annual_Cost'!$S$2:$S$807,'Annual_Cost'!$A$2:$A$807,A308,'Annual_Cost'!$B$2:$B$807,B308)</f>
      </c>
      <c r="F308" s="106" t="str">
        <f>SUMIFS('Annual_Cost'!$W$2:$W$807,'Annual_Cost'!$A$2:$A$807,A308,'Annual_Cost'!$B$2:$B$807,B308)</f>
      </c>
      <c r="G308" s="107" t="str">
        <f>SUMIFS($E$2:E308,$A$2:A308,A308)</f>
      </c>
      <c r="H308" s="108" t="str">
        <f>SUMIFS($F$2:F308,$A$2:A308,A308)</f>
      </c>
    </row>
    <row r="309">
      <c r="A309" t="s">
        <v>259</v>
      </c>
      <c r="B309" s="102" t="n">
        <v>2046</v>
      </c>
      <c r="C309" s="103" t="str">
        <f>SUMIFS('Annual_Cost'!$Q$2:$Q$807,'Annual_Cost'!$A$2:$A$807,A309,'Annual_Cost'!$B$2:$B$807,B309)</f>
      </c>
      <c r="D309" s="104" t="str">
        <f>SUMIFS('Annual_Cost'!$R$2:$R$807,'Annual_Cost'!$A$2:$A$807,A309,'Annual_Cost'!$B$2:$B$807,B309)</f>
      </c>
      <c r="E309" s="105" t="str">
        <f>SUMIFS('Annual_Cost'!$S$2:$S$807,'Annual_Cost'!$A$2:$A$807,A309,'Annual_Cost'!$B$2:$B$807,B309)</f>
      </c>
      <c r="F309" s="106" t="str">
        <f>SUMIFS('Annual_Cost'!$W$2:$W$807,'Annual_Cost'!$A$2:$A$807,A309,'Annual_Cost'!$B$2:$B$807,B309)</f>
      </c>
      <c r="G309" s="107" t="str">
        <f>SUMIFS($E$2:E309,$A$2:A309,A309)</f>
      </c>
      <c r="H309" s="108" t="str">
        <f>SUMIFS($F$2:F309,$A$2:A309,A309)</f>
      </c>
    </row>
    <row r="310">
      <c r="A310" t="s">
        <v>259</v>
      </c>
      <c r="B310" s="102" t="n">
        <v>2047</v>
      </c>
      <c r="C310" s="103" t="str">
        <f>SUMIFS('Annual_Cost'!$Q$2:$Q$807,'Annual_Cost'!$A$2:$A$807,A310,'Annual_Cost'!$B$2:$B$807,B310)</f>
      </c>
      <c r="D310" s="104" t="str">
        <f>SUMIFS('Annual_Cost'!$R$2:$R$807,'Annual_Cost'!$A$2:$A$807,A310,'Annual_Cost'!$B$2:$B$807,B310)</f>
      </c>
      <c r="E310" s="105" t="str">
        <f>SUMIFS('Annual_Cost'!$S$2:$S$807,'Annual_Cost'!$A$2:$A$807,A310,'Annual_Cost'!$B$2:$B$807,B310)</f>
      </c>
      <c r="F310" s="106" t="str">
        <f>SUMIFS('Annual_Cost'!$W$2:$W$807,'Annual_Cost'!$A$2:$A$807,A310,'Annual_Cost'!$B$2:$B$807,B310)</f>
      </c>
      <c r="G310" s="107" t="str">
        <f>SUMIFS($E$2:E310,$A$2:A310,A310)</f>
      </c>
      <c r="H310" s="108" t="str">
        <f>SUMIFS($F$2:F310,$A$2:A310,A310)</f>
      </c>
    </row>
    <row r="311">
      <c r="A311" t="s">
        <v>259</v>
      </c>
      <c r="B311" s="102" t="n">
        <v>2048</v>
      </c>
      <c r="C311" s="103" t="str">
        <f>SUMIFS('Annual_Cost'!$Q$2:$Q$807,'Annual_Cost'!$A$2:$A$807,A311,'Annual_Cost'!$B$2:$B$807,B311)</f>
      </c>
      <c r="D311" s="104" t="str">
        <f>SUMIFS('Annual_Cost'!$R$2:$R$807,'Annual_Cost'!$A$2:$A$807,A311,'Annual_Cost'!$B$2:$B$807,B311)</f>
      </c>
      <c r="E311" s="105" t="str">
        <f>SUMIFS('Annual_Cost'!$S$2:$S$807,'Annual_Cost'!$A$2:$A$807,A311,'Annual_Cost'!$B$2:$B$807,B311)</f>
      </c>
      <c r="F311" s="106" t="str">
        <f>SUMIFS('Annual_Cost'!$W$2:$W$807,'Annual_Cost'!$A$2:$A$807,A311,'Annual_Cost'!$B$2:$B$807,B311)</f>
      </c>
      <c r="G311" s="107" t="str">
        <f>SUMIFS($E$2:E311,$A$2:A311,A311)</f>
      </c>
      <c r="H311" s="108" t="str">
        <f>SUMIFS($F$2:F311,$A$2:A311,A311)</f>
      </c>
    </row>
    <row r="312">
      <c r="A312" t="s">
        <v>259</v>
      </c>
      <c r="B312" s="102" t="n">
        <v>2049</v>
      </c>
      <c r="C312" s="103" t="str">
        <f>SUMIFS('Annual_Cost'!$Q$2:$Q$807,'Annual_Cost'!$A$2:$A$807,A312,'Annual_Cost'!$B$2:$B$807,B312)</f>
      </c>
      <c r="D312" s="104" t="str">
        <f>SUMIFS('Annual_Cost'!$R$2:$R$807,'Annual_Cost'!$A$2:$A$807,A312,'Annual_Cost'!$B$2:$B$807,B312)</f>
      </c>
      <c r="E312" s="105" t="str">
        <f>SUMIFS('Annual_Cost'!$S$2:$S$807,'Annual_Cost'!$A$2:$A$807,A312,'Annual_Cost'!$B$2:$B$807,B312)</f>
      </c>
      <c r="F312" s="106" t="str">
        <f>SUMIFS('Annual_Cost'!$W$2:$W$807,'Annual_Cost'!$A$2:$A$807,A312,'Annual_Cost'!$B$2:$B$807,B312)</f>
      </c>
      <c r="G312" s="107" t="str">
        <f>SUMIFS($E$2:E312,$A$2:A312,A312)</f>
      </c>
      <c r="H312" s="108" t="str">
        <f>SUMIFS($F$2:F312,$A$2:A312,A312)</f>
      </c>
    </row>
    <row r="313">
      <c r="A313" t="s">
        <v>259</v>
      </c>
      <c r="B313" s="102" t="n">
        <v>2050</v>
      </c>
      <c r="C313" s="103" t="str">
        <f>SUMIFS('Annual_Cost'!$Q$2:$Q$807,'Annual_Cost'!$A$2:$A$807,A313,'Annual_Cost'!$B$2:$B$807,B313)</f>
      </c>
      <c r="D313" s="104" t="str">
        <f>SUMIFS('Annual_Cost'!$R$2:$R$807,'Annual_Cost'!$A$2:$A$807,A313,'Annual_Cost'!$B$2:$B$807,B313)</f>
      </c>
      <c r="E313" s="105" t="str">
        <f>SUMIFS('Annual_Cost'!$S$2:$S$807,'Annual_Cost'!$A$2:$A$807,A313,'Annual_Cost'!$B$2:$B$807,B313)</f>
      </c>
      <c r="F313" s="106" t="str">
        <f>SUMIFS('Annual_Cost'!$W$2:$W$807,'Annual_Cost'!$A$2:$A$807,A313,'Annual_Cost'!$B$2:$B$807,B313)</f>
      </c>
      <c r="G313" s="107" t="str">
        <f>SUMIFS($E$2:E313,$A$2:A313,A313)</f>
      </c>
      <c r="H313" s="108" t="str">
        <f>SUMIFS($F$2:F313,$A$2:A313,A313)</f>
      </c>
    </row>
    <row r="314">
      <c r="A314" t="s">
        <v>267</v>
      </c>
      <c r="B314" s="102" t="n">
        <v>2025</v>
      </c>
      <c r="C314" s="103" t="str">
        <f>SUMIFS('Annual_Cost'!$Q$2:$Q$807,'Annual_Cost'!$A$2:$A$807,A314,'Annual_Cost'!$B$2:$B$807,B314)</f>
      </c>
      <c r="D314" s="104" t="str">
        <f>SUMIFS('Annual_Cost'!$R$2:$R$807,'Annual_Cost'!$A$2:$A$807,A314,'Annual_Cost'!$B$2:$B$807,B314)</f>
      </c>
      <c r="E314" s="105" t="str">
        <f>SUMIFS('Annual_Cost'!$S$2:$S$807,'Annual_Cost'!$A$2:$A$807,A314,'Annual_Cost'!$B$2:$B$807,B314)</f>
      </c>
      <c r="F314" s="106" t="str">
        <f>SUMIFS('Annual_Cost'!$W$2:$W$807,'Annual_Cost'!$A$2:$A$807,A314,'Annual_Cost'!$B$2:$B$807,B314)</f>
      </c>
      <c r="G314" s="107" t="str">
        <f>SUMIFS($E$2:E314,$A$2:A314,A314)</f>
      </c>
      <c r="H314" s="108" t="str">
        <f>SUMIFS($F$2:F314,$A$2:A314,A314)</f>
      </c>
    </row>
    <row r="315">
      <c r="A315" t="s">
        <v>267</v>
      </c>
      <c r="B315" s="102" t="n">
        <v>2026</v>
      </c>
      <c r="C315" s="103" t="str">
        <f>SUMIFS('Annual_Cost'!$Q$2:$Q$807,'Annual_Cost'!$A$2:$A$807,A315,'Annual_Cost'!$B$2:$B$807,B315)</f>
      </c>
      <c r="D315" s="104" t="str">
        <f>SUMIFS('Annual_Cost'!$R$2:$R$807,'Annual_Cost'!$A$2:$A$807,A315,'Annual_Cost'!$B$2:$B$807,B315)</f>
      </c>
      <c r="E315" s="105" t="str">
        <f>SUMIFS('Annual_Cost'!$S$2:$S$807,'Annual_Cost'!$A$2:$A$807,A315,'Annual_Cost'!$B$2:$B$807,B315)</f>
      </c>
      <c r="F315" s="106" t="str">
        <f>SUMIFS('Annual_Cost'!$W$2:$W$807,'Annual_Cost'!$A$2:$A$807,A315,'Annual_Cost'!$B$2:$B$807,B315)</f>
      </c>
      <c r="G315" s="107" t="str">
        <f>SUMIFS($E$2:E315,$A$2:A315,A315)</f>
      </c>
      <c r="H315" s="108" t="str">
        <f>SUMIFS($F$2:F315,$A$2:A315,A315)</f>
      </c>
    </row>
    <row r="316">
      <c r="A316" t="s">
        <v>267</v>
      </c>
      <c r="B316" s="102" t="n">
        <v>2027</v>
      </c>
      <c r="C316" s="103" t="str">
        <f>SUMIFS('Annual_Cost'!$Q$2:$Q$807,'Annual_Cost'!$A$2:$A$807,A316,'Annual_Cost'!$B$2:$B$807,B316)</f>
      </c>
      <c r="D316" s="104" t="str">
        <f>SUMIFS('Annual_Cost'!$R$2:$R$807,'Annual_Cost'!$A$2:$A$807,A316,'Annual_Cost'!$B$2:$B$807,B316)</f>
      </c>
      <c r="E316" s="105" t="str">
        <f>SUMIFS('Annual_Cost'!$S$2:$S$807,'Annual_Cost'!$A$2:$A$807,A316,'Annual_Cost'!$B$2:$B$807,B316)</f>
      </c>
      <c r="F316" s="106" t="str">
        <f>SUMIFS('Annual_Cost'!$W$2:$W$807,'Annual_Cost'!$A$2:$A$807,A316,'Annual_Cost'!$B$2:$B$807,B316)</f>
      </c>
      <c r="G316" s="107" t="str">
        <f>SUMIFS($E$2:E316,$A$2:A316,A316)</f>
      </c>
      <c r="H316" s="108" t="str">
        <f>SUMIFS($F$2:F316,$A$2:A316,A316)</f>
      </c>
    </row>
    <row r="317">
      <c r="A317" t="s">
        <v>267</v>
      </c>
      <c r="B317" s="102" t="n">
        <v>2028</v>
      </c>
      <c r="C317" s="103" t="str">
        <f>SUMIFS('Annual_Cost'!$Q$2:$Q$807,'Annual_Cost'!$A$2:$A$807,A317,'Annual_Cost'!$B$2:$B$807,B317)</f>
      </c>
      <c r="D317" s="104" t="str">
        <f>SUMIFS('Annual_Cost'!$R$2:$R$807,'Annual_Cost'!$A$2:$A$807,A317,'Annual_Cost'!$B$2:$B$807,B317)</f>
      </c>
      <c r="E317" s="105" t="str">
        <f>SUMIFS('Annual_Cost'!$S$2:$S$807,'Annual_Cost'!$A$2:$A$807,A317,'Annual_Cost'!$B$2:$B$807,B317)</f>
      </c>
      <c r="F317" s="106" t="str">
        <f>SUMIFS('Annual_Cost'!$W$2:$W$807,'Annual_Cost'!$A$2:$A$807,A317,'Annual_Cost'!$B$2:$B$807,B317)</f>
      </c>
      <c r="G317" s="107" t="str">
        <f>SUMIFS($E$2:E317,$A$2:A317,A317)</f>
      </c>
      <c r="H317" s="108" t="str">
        <f>SUMIFS($F$2:F317,$A$2:A317,A317)</f>
      </c>
    </row>
    <row r="318">
      <c r="A318" t="s">
        <v>267</v>
      </c>
      <c r="B318" s="102" t="n">
        <v>2029</v>
      </c>
      <c r="C318" s="103" t="str">
        <f>SUMIFS('Annual_Cost'!$Q$2:$Q$807,'Annual_Cost'!$A$2:$A$807,A318,'Annual_Cost'!$B$2:$B$807,B318)</f>
      </c>
      <c r="D318" s="104" t="str">
        <f>SUMIFS('Annual_Cost'!$R$2:$R$807,'Annual_Cost'!$A$2:$A$807,A318,'Annual_Cost'!$B$2:$B$807,B318)</f>
      </c>
      <c r="E318" s="105" t="str">
        <f>SUMIFS('Annual_Cost'!$S$2:$S$807,'Annual_Cost'!$A$2:$A$807,A318,'Annual_Cost'!$B$2:$B$807,B318)</f>
      </c>
      <c r="F318" s="106" t="str">
        <f>SUMIFS('Annual_Cost'!$W$2:$W$807,'Annual_Cost'!$A$2:$A$807,A318,'Annual_Cost'!$B$2:$B$807,B318)</f>
      </c>
      <c r="G318" s="107" t="str">
        <f>SUMIFS($E$2:E318,$A$2:A318,A318)</f>
      </c>
      <c r="H318" s="108" t="str">
        <f>SUMIFS($F$2:F318,$A$2:A318,A318)</f>
      </c>
    </row>
    <row r="319">
      <c r="A319" t="s">
        <v>267</v>
      </c>
      <c r="B319" s="102" t="n">
        <v>2030</v>
      </c>
      <c r="C319" s="103" t="str">
        <f>SUMIFS('Annual_Cost'!$Q$2:$Q$807,'Annual_Cost'!$A$2:$A$807,A319,'Annual_Cost'!$B$2:$B$807,B319)</f>
      </c>
      <c r="D319" s="104" t="str">
        <f>SUMIFS('Annual_Cost'!$R$2:$R$807,'Annual_Cost'!$A$2:$A$807,A319,'Annual_Cost'!$B$2:$B$807,B319)</f>
      </c>
      <c r="E319" s="105" t="str">
        <f>SUMIFS('Annual_Cost'!$S$2:$S$807,'Annual_Cost'!$A$2:$A$807,A319,'Annual_Cost'!$B$2:$B$807,B319)</f>
      </c>
      <c r="F319" s="106" t="str">
        <f>SUMIFS('Annual_Cost'!$W$2:$W$807,'Annual_Cost'!$A$2:$A$807,A319,'Annual_Cost'!$B$2:$B$807,B319)</f>
      </c>
      <c r="G319" s="107" t="str">
        <f>SUMIFS($E$2:E319,$A$2:A319,A319)</f>
      </c>
      <c r="H319" s="108" t="str">
        <f>SUMIFS($F$2:F319,$A$2:A319,A319)</f>
      </c>
    </row>
    <row r="320">
      <c r="A320" t="s">
        <v>267</v>
      </c>
      <c r="B320" s="102" t="n">
        <v>2031</v>
      </c>
      <c r="C320" s="103" t="str">
        <f>SUMIFS('Annual_Cost'!$Q$2:$Q$807,'Annual_Cost'!$A$2:$A$807,A320,'Annual_Cost'!$B$2:$B$807,B320)</f>
      </c>
      <c r="D320" s="104" t="str">
        <f>SUMIFS('Annual_Cost'!$R$2:$R$807,'Annual_Cost'!$A$2:$A$807,A320,'Annual_Cost'!$B$2:$B$807,B320)</f>
      </c>
      <c r="E320" s="105" t="str">
        <f>SUMIFS('Annual_Cost'!$S$2:$S$807,'Annual_Cost'!$A$2:$A$807,A320,'Annual_Cost'!$B$2:$B$807,B320)</f>
      </c>
      <c r="F320" s="106" t="str">
        <f>SUMIFS('Annual_Cost'!$W$2:$W$807,'Annual_Cost'!$A$2:$A$807,A320,'Annual_Cost'!$B$2:$B$807,B320)</f>
      </c>
      <c r="G320" s="107" t="str">
        <f>SUMIFS($E$2:E320,$A$2:A320,A320)</f>
      </c>
      <c r="H320" s="108" t="str">
        <f>SUMIFS($F$2:F320,$A$2:A320,A320)</f>
      </c>
    </row>
    <row r="321">
      <c r="A321" t="s">
        <v>267</v>
      </c>
      <c r="B321" s="102" t="n">
        <v>2032</v>
      </c>
      <c r="C321" s="103" t="str">
        <f>SUMIFS('Annual_Cost'!$Q$2:$Q$807,'Annual_Cost'!$A$2:$A$807,A321,'Annual_Cost'!$B$2:$B$807,B321)</f>
      </c>
      <c r="D321" s="104" t="str">
        <f>SUMIFS('Annual_Cost'!$R$2:$R$807,'Annual_Cost'!$A$2:$A$807,A321,'Annual_Cost'!$B$2:$B$807,B321)</f>
      </c>
      <c r="E321" s="105" t="str">
        <f>SUMIFS('Annual_Cost'!$S$2:$S$807,'Annual_Cost'!$A$2:$A$807,A321,'Annual_Cost'!$B$2:$B$807,B321)</f>
      </c>
      <c r="F321" s="106" t="str">
        <f>SUMIFS('Annual_Cost'!$W$2:$W$807,'Annual_Cost'!$A$2:$A$807,A321,'Annual_Cost'!$B$2:$B$807,B321)</f>
      </c>
      <c r="G321" s="107" t="str">
        <f>SUMIFS($E$2:E321,$A$2:A321,A321)</f>
      </c>
      <c r="H321" s="108" t="str">
        <f>SUMIFS($F$2:F321,$A$2:A321,A321)</f>
      </c>
    </row>
    <row r="322">
      <c r="A322" t="s">
        <v>267</v>
      </c>
      <c r="B322" s="102" t="n">
        <v>2033</v>
      </c>
      <c r="C322" s="103" t="str">
        <f>SUMIFS('Annual_Cost'!$Q$2:$Q$807,'Annual_Cost'!$A$2:$A$807,A322,'Annual_Cost'!$B$2:$B$807,B322)</f>
      </c>
      <c r="D322" s="104" t="str">
        <f>SUMIFS('Annual_Cost'!$R$2:$R$807,'Annual_Cost'!$A$2:$A$807,A322,'Annual_Cost'!$B$2:$B$807,B322)</f>
      </c>
      <c r="E322" s="105" t="str">
        <f>SUMIFS('Annual_Cost'!$S$2:$S$807,'Annual_Cost'!$A$2:$A$807,A322,'Annual_Cost'!$B$2:$B$807,B322)</f>
      </c>
      <c r="F322" s="106" t="str">
        <f>SUMIFS('Annual_Cost'!$W$2:$W$807,'Annual_Cost'!$A$2:$A$807,A322,'Annual_Cost'!$B$2:$B$807,B322)</f>
      </c>
      <c r="G322" s="107" t="str">
        <f>SUMIFS($E$2:E322,$A$2:A322,A322)</f>
      </c>
      <c r="H322" s="108" t="str">
        <f>SUMIFS($F$2:F322,$A$2:A322,A322)</f>
      </c>
    </row>
    <row r="323">
      <c r="A323" t="s">
        <v>267</v>
      </c>
      <c r="B323" s="102" t="n">
        <v>2034</v>
      </c>
      <c r="C323" s="103" t="str">
        <f>SUMIFS('Annual_Cost'!$Q$2:$Q$807,'Annual_Cost'!$A$2:$A$807,A323,'Annual_Cost'!$B$2:$B$807,B323)</f>
      </c>
      <c r="D323" s="104" t="str">
        <f>SUMIFS('Annual_Cost'!$R$2:$R$807,'Annual_Cost'!$A$2:$A$807,A323,'Annual_Cost'!$B$2:$B$807,B323)</f>
      </c>
      <c r="E323" s="105" t="str">
        <f>SUMIFS('Annual_Cost'!$S$2:$S$807,'Annual_Cost'!$A$2:$A$807,A323,'Annual_Cost'!$B$2:$B$807,B323)</f>
      </c>
      <c r="F323" s="106" t="str">
        <f>SUMIFS('Annual_Cost'!$W$2:$W$807,'Annual_Cost'!$A$2:$A$807,A323,'Annual_Cost'!$B$2:$B$807,B323)</f>
      </c>
      <c r="G323" s="107" t="str">
        <f>SUMIFS($E$2:E323,$A$2:A323,A323)</f>
      </c>
      <c r="H323" s="108" t="str">
        <f>SUMIFS($F$2:F323,$A$2:A323,A323)</f>
      </c>
    </row>
    <row r="324">
      <c r="A324" t="s">
        <v>267</v>
      </c>
      <c r="B324" s="102" t="n">
        <v>2035</v>
      </c>
      <c r="C324" s="103" t="str">
        <f>SUMIFS('Annual_Cost'!$Q$2:$Q$807,'Annual_Cost'!$A$2:$A$807,A324,'Annual_Cost'!$B$2:$B$807,B324)</f>
      </c>
      <c r="D324" s="104" t="str">
        <f>SUMIFS('Annual_Cost'!$R$2:$R$807,'Annual_Cost'!$A$2:$A$807,A324,'Annual_Cost'!$B$2:$B$807,B324)</f>
      </c>
      <c r="E324" s="105" t="str">
        <f>SUMIFS('Annual_Cost'!$S$2:$S$807,'Annual_Cost'!$A$2:$A$807,A324,'Annual_Cost'!$B$2:$B$807,B324)</f>
      </c>
      <c r="F324" s="106" t="str">
        <f>SUMIFS('Annual_Cost'!$W$2:$W$807,'Annual_Cost'!$A$2:$A$807,A324,'Annual_Cost'!$B$2:$B$807,B324)</f>
      </c>
      <c r="G324" s="107" t="str">
        <f>SUMIFS($E$2:E324,$A$2:A324,A324)</f>
      </c>
      <c r="H324" s="108" t="str">
        <f>SUMIFS($F$2:F324,$A$2:A324,A324)</f>
      </c>
    </row>
    <row r="325">
      <c r="A325" t="s">
        <v>267</v>
      </c>
      <c r="B325" s="102" t="n">
        <v>2036</v>
      </c>
      <c r="C325" s="103" t="str">
        <f>SUMIFS('Annual_Cost'!$Q$2:$Q$807,'Annual_Cost'!$A$2:$A$807,A325,'Annual_Cost'!$B$2:$B$807,B325)</f>
      </c>
      <c r="D325" s="104" t="str">
        <f>SUMIFS('Annual_Cost'!$R$2:$R$807,'Annual_Cost'!$A$2:$A$807,A325,'Annual_Cost'!$B$2:$B$807,B325)</f>
      </c>
      <c r="E325" s="105" t="str">
        <f>SUMIFS('Annual_Cost'!$S$2:$S$807,'Annual_Cost'!$A$2:$A$807,A325,'Annual_Cost'!$B$2:$B$807,B325)</f>
      </c>
      <c r="F325" s="106" t="str">
        <f>SUMIFS('Annual_Cost'!$W$2:$W$807,'Annual_Cost'!$A$2:$A$807,A325,'Annual_Cost'!$B$2:$B$807,B325)</f>
      </c>
      <c r="G325" s="107" t="str">
        <f>SUMIFS($E$2:E325,$A$2:A325,A325)</f>
      </c>
      <c r="H325" s="108" t="str">
        <f>SUMIFS($F$2:F325,$A$2:A325,A325)</f>
      </c>
    </row>
    <row r="326">
      <c r="A326" t="s">
        <v>267</v>
      </c>
      <c r="B326" s="102" t="n">
        <v>2037</v>
      </c>
      <c r="C326" s="103" t="str">
        <f>SUMIFS('Annual_Cost'!$Q$2:$Q$807,'Annual_Cost'!$A$2:$A$807,A326,'Annual_Cost'!$B$2:$B$807,B326)</f>
      </c>
      <c r="D326" s="104" t="str">
        <f>SUMIFS('Annual_Cost'!$R$2:$R$807,'Annual_Cost'!$A$2:$A$807,A326,'Annual_Cost'!$B$2:$B$807,B326)</f>
      </c>
      <c r="E326" s="105" t="str">
        <f>SUMIFS('Annual_Cost'!$S$2:$S$807,'Annual_Cost'!$A$2:$A$807,A326,'Annual_Cost'!$B$2:$B$807,B326)</f>
      </c>
      <c r="F326" s="106" t="str">
        <f>SUMIFS('Annual_Cost'!$W$2:$W$807,'Annual_Cost'!$A$2:$A$807,A326,'Annual_Cost'!$B$2:$B$807,B326)</f>
      </c>
      <c r="G326" s="107" t="str">
        <f>SUMIFS($E$2:E326,$A$2:A326,A326)</f>
      </c>
      <c r="H326" s="108" t="str">
        <f>SUMIFS($F$2:F326,$A$2:A326,A326)</f>
      </c>
    </row>
    <row r="327">
      <c r="A327" t="s">
        <v>267</v>
      </c>
      <c r="B327" s="102" t="n">
        <v>2038</v>
      </c>
      <c r="C327" s="103" t="str">
        <f>SUMIFS('Annual_Cost'!$Q$2:$Q$807,'Annual_Cost'!$A$2:$A$807,A327,'Annual_Cost'!$B$2:$B$807,B327)</f>
      </c>
      <c r="D327" s="104" t="str">
        <f>SUMIFS('Annual_Cost'!$R$2:$R$807,'Annual_Cost'!$A$2:$A$807,A327,'Annual_Cost'!$B$2:$B$807,B327)</f>
      </c>
      <c r="E327" s="105" t="str">
        <f>SUMIFS('Annual_Cost'!$S$2:$S$807,'Annual_Cost'!$A$2:$A$807,A327,'Annual_Cost'!$B$2:$B$807,B327)</f>
      </c>
      <c r="F327" s="106" t="str">
        <f>SUMIFS('Annual_Cost'!$W$2:$W$807,'Annual_Cost'!$A$2:$A$807,A327,'Annual_Cost'!$B$2:$B$807,B327)</f>
      </c>
      <c r="G327" s="107" t="str">
        <f>SUMIFS($E$2:E327,$A$2:A327,A327)</f>
      </c>
      <c r="H327" s="108" t="str">
        <f>SUMIFS($F$2:F327,$A$2:A327,A327)</f>
      </c>
    </row>
    <row r="328">
      <c r="A328" t="s">
        <v>267</v>
      </c>
      <c r="B328" s="102" t="n">
        <v>2039</v>
      </c>
      <c r="C328" s="103" t="str">
        <f>SUMIFS('Annual_Cost'!$Q$2:$Q$807,'Annual_Cost'!$A$2:$A$807,A328,'Annual_Cost'!$B$2:$B$807,B328)</f>
      </c>
      <c r="D328" s="104" t="str">
        <f>SUMIFS('Annual_Cost'!$R$2:$R$807,'Annual_Cost'!$A$2:$A$807,A328,'Annual_Cost'!$B$2:$B$807,B328)</f>
      </c>
      <c r="E328" s="105" t="str">
        <f>SUMIFS('Annual_Cost'!$S$2:$S$807,'Annual_Cost'!$A$2:$A$807,A328,'Annual_Cost'!$B$2:$B$807,B328)</f>
      </c>
      <c r="F328" s="106" t="str">
        <f>SUMIFS('Annual_Cost'!$W$2:$W$807,'Annual_Cost'!$A$2:$A$807,A328,'Annual_Cost'!$B$2:$B$807,B328)</f>
      </c>
      <c r="G328" s="107" t="str">
        <f>SUMIFS($E$2:E328,$A$2:A328,A328)</f>
      </c>
      <c r="H328" s="108" t="str">
        <f>SUMIFS($F$2:F328,$A$2:A328,A328)</f>
      </c>
    </row>
    <row r="329">
      <c r="A329" t="s">
        <v>267</v>
      </c>
      <c r="B329" s="102" t="n">
        <v>2040</v>
      </c>
      <c r="C329" s="103" t="str">
        <f>SUMIFS('Annual_Cost'!$Q$2:$Q$807,'Annual_Cost'!$A$2:$A$807,A329,'Annual_Cost'!$B$2:$B$807,B329)</f>
      </c>
      <c r="D329" s="104" t="str">
        <f>SUMIFS('Annual_Cost'!$R$2:$R$807,'Annual_Cost'!$A$2:$A$807,A329,'Annual_Cost'!$B$2:$B$807,B329)</f>
      </c>
      <c r="E329" s="105" t="str">
        <f>SUMIFS('Annual_Cost'!$S$2:$S$807,'Annual_Cost'!$A$2:$A$807,A329,'Annual_Cost'!$B$2:$B$807,B329)</f>
      </c>
      <c r="F329" s="106" t="str">
        <f>SUMIFS('Annual_Cost'!$W$2:$W$807,'Annual_Cost'!$A$2:$A$807,A329,'Annual_Cost'!$B$2:$B$807,B329)</f>
      </c>
      <c r="G329" s="107" t="str">
        <f>SUMIFS($E$2:E329,$A$2:A329,A329)</f>
      </c>
      <c r="H329" s="108" t="str">
        <f>SUMIFS($F$2:F329,$A$2:A329,A329)</f>
      </c>
    </row>
    <row r="330">
      <c r="A330" t="s">
        <v>267</v>
      </c>
      <c r="B330" s="102" t="n">
        <v>2041</v>
      </c>
      <c r="C330" s="103" t="str">
        <f>SUMIFS('Annual_Cost'!$Q$2:$Q$807,'Annual_Cost'!$A$2:$A$807,A330,'Annual_Cost'!$B$2:$B$807,B330)</f>
      </c>
      <c r="D330" s="104" t="str">
        <f>SUMIFS('Annual_Cost'!$R$2:$R$807,'Annual_Cost'!$A$2:$A$807,A330,'Annual_Cost'!$B$2:$B$807,B330)</f>
      </c>
      <c r="E330" s="105" t="str">
        <f>SUMIFS('Annual_Cost'!$S$2:$S$807,'Annual_Cost'!$A$2:$A$807,A330,'Annual_Cost'!$B$2:$B$807,B330)</f>
      </c>
      <c r="F330" s="106" t="str">
        <f>SUMIFS('Annual_Cost'!$W$2:$W$807,'Annual_Cost'!$A$2:$A$807,A330,'Annual_Cost'!$B$2:$B$807,B330)</f>
      </c>
      <c r="G330" s="107" t="str">
        <f>SUMIFS($E$2:E330,$A$2:A330,A330)</f>
      </c>
      <c r="H330" s="108" t="str">
        <f>SUMIFS($F$2:F330,$A$2:A330,A330)</f>
      </c>
    </row>
    <row r="331">
      <c r="A331" t="s">
        <v>267</v>
      </c>
      <c r="B331" s="102" t="n">
        <v>2042</v>
      </c>
      <c r="C331" s="103" t="str">
        <f>SUMIFS('Annual_Cost'!$Q$2:$Q$807,'Annual_Cost'!$A$2:$A$807,A331,'Annual_Cost'!$B$2:$B$807,B331)</f>
      </c>
      <c r="D331" s="104" t="str">
        <f>SUMIFS('Annual_Cost'!$R$2:$R$807,'Annual_Cost'!$A$2:$A$807,A331,'Annual_Cost'!$B$2:$B$807,B331)</f>
      </c>
      <c r="E331" s="105" t="str">
        <f>SUMIFS('Annual_Cost'!$S$2:$S$807,'Annual_Cost'!$A$2:$A$807,A331,'Annual_Cost'!$B$2:$B$807,B331)</f>
      </c>
      <c r="F331" s="106" t="str">
        <f>SUMIFS('Annual_Cost'!$W$2:$W$807,'Annual_Cost'!$A$2:$A$807,A331,'Annual_Cost'!$B$2:$B$807,B331)</f>
      </c>
      <c r="G331" s="107" t="str">
        <f>SUMIFS($E$2:E331,$A$2:A331,A331)</f>
      </c>
      <c r="H331" s="108" t="str">
        <f>SUMIFS($F$2:F331,$A$2:A331,A331)</f>
      </c>
    </row>
    <row r="332">
      <c r="A332" t="s">
        <v>267</v>
      </c>
      <c r="B332" s="102" t="n">
        <v>2043</v>
      </c>
      <c r="C332" s="103" t="str">
        <f>SUMIFS('Annual_Cost'!$Q$2:$Q$807,'Annual_Cost'!$A$2:$A$807,A332,'Annual_Cost'!$B$2:$B$807,B332)</f>
      </c>
      <c r="D332" s="104" t="str">
        <f>SUMIFS('Annual_Cost'!$R$2:$R$807,'Annual_Cost'!$A$2:$A$807,A332,'Annual_Cost'!$B$2:$B$807,B332)</f>
      </c>
      <c r="E332" s="105" t="str">
        <f>SUMIFS('Annual_Cost'!$S$2:$S$807,'Annual_Cost'!$A$2:$A$807,A332,'Annual_Cost'!$B$2:$B$807,B332)</f>
      </c>
      <c r="F332" s="106" t="str">
        <f>SUMIFS('Annual_Cost'!$W$2:$W$807,'Annual_Cost'!$A$2:$A$807,A332,'Annual_Cost'!$B$2:$B$807,B332)</f>
      </c>
      <c r="G332" s="107" t="str">
        <f>SUMIFS($E$2:E332,$A$2:A332,A332)</f>
      </c>
      <c r="H332" s="108" t="str">
        <f>SUMIFS($F$2:F332,$A$2:A332,A332)</f>
      </c>
    </row>
    <row r="333">
      <c r="A333" t="s">
        <v>267</v>
      </c>
      <c r="B333" s="102" t="n">
        <v>2044</v>
      </c>
      <c r="C333" s="103" t="str">
        <f>SUMIFS('Annual_Cost'!$Q$2:$Q$807,'Annual_Cost'!$A$2:$A$807,A333,'Annual_Cost'!$B$2:$B$807,B333)</f>
      </c>
      <c r="D333" s="104" t="str">
        <f>SUMIFS('Annual_Cost'!$R$2:$R$807,'Annual_Cost'!$A$2:$A$807,A333,'Annual_Cost'!$B$2:$B$807,B333)</f>
      </c>
      <c r="E333" s="105" t="str">
        <f>SUMIFS('Annual_Cost'!$S$2:$S$807,'Annual_Cost'!$A$2:$A$807,A333,'Annual_Cost'!$B$2:$B$807,B333)</f>
      </c>
      <c r="F333" s="106" t="str">
        <f>SUMIFS('Annual_Cost'!$W$2:$W$807,'Annual_Cost'!$A$2:$A$807,A333,'Annual_Cost'!$B$2:$B$807,B333)</f>
      </c>
      <c r="G333" s="107" t="str">
        <f>SUMIFS($E$2:E333,$A$2:A333,A333)</f>
      </c>
      <c r="H333" s="108" t="str">
        <f>SUMIFS($F$2:F333,$A$2:A333,A333)</f>
      </c>
    </row>
    <row r="334">
      <c r="A334" t="s">
        <v>267</v>
      </c>
      <c r="B334" s="102" t="n">
        <v>2045</v>
      </c>
      <c r="C334" s="103" t="str">
        <f>SUMIFS('Annual_Cost'!$Q$2:$Q$807,'Annual_Cost'!$A$2:$A$807,A334,'Annual_Cost'!$B$2:$B$807,B334)</f>
      </c>
      <c r="D334" s="104" t="str">
        <f>SUMIFS('Annual_Cost'!$R$2:$R$807,'Annual_Cost'!$A$2:$A$807,A334,'Annual_Cost'!$B$2:$B$807,B334)</f>
      </c>
      <c r="E334" s="105" t="str">
        <f>SUMIFS('Annual_Cost'!$S$2:$S$807,'Annual_Cost'!$A$2:$A$807,A334,'Annual_Cost'!$B$2:$B$807,B334)</f>
      </c>
      <c r="F334" s="106" t="str">
        <f>SUMIFS('Annual_Cost'!$W$2:$W$807,'Annual_Cost'!$A$2:$A$807,A334,'Annual_Cost'!$B$2:$B$807,B334)</f>
      </c>
      <c r="G334" s="107" t="str">
        <f>SUMIFS($E$2:E334,$A$2:A334,A334)</f>
      </c>
      <c r="H334" s="108" t="str">
        <f>SUMIFS($F$2:F334,$A$2:A334,A334)</f>
      </c>
    </row>
    <row r="335">
      <c r="A335" t="s">
        <v>267</v>
      </c>
      <c r="B335" s="102" t="n">
        <v>2046</v>
      </c>
      <c r="C335" s="103" t="str">
        <f>SUMIFS('Annual_Cost'!$Q$2:$Q$807,'Annual_Cost'!$A$2:$A$807,A335,'Annual_Cost'!$B$2:$B$807,B335)</f>
      </c>
      <c r="D335" s="104" t="str">
        <f>SUMIFS('Annual_Cost'!$R$2:$R$807,'Annual_Cost'!$A$2:$A$807,A335,'Annual_Cost'!$B$2:$B$807,B335)</f>
      </c>
      <c r="E335" s="105" t="str">
        <f>SUMIFS('Annual_Cost'!$S$2:$S$807,'Annual_Cost'!$A$2:$A$807,A335,'Annual_Cost'!$B$2:$B$807,B335)</f>
      </c>
      <c r="F335" s="106" t="str">
        <f>SUMIFS('Annual_Cost'!$W$2:$W$807,'Annual_Cost'!$A$2:$A$807,A335,'Annual_Cost'!$B$2:$B$807,B335)</f>
      </c>
      <c r="G335" s="107" t="str">
        <f>SUMIFS($E$2:E335,$A$2:A335,A335)</f>
      </c>
      <c r="H335" s="108" t="str">
        <f>SUMIFS($F$2:F335,$A$2:A335,A335)</f>
      </c>
    </row>
    <row r="336">
      <c r="A336" t="s">
        <v>267</v>
      </c>
      <c r="B336" s="102" t="n">
        <v>2047</v>
      </c>
      <c r="C336" s="103" t="str">
        <f>SUMIFS('Annual_Cost'!$Q$2:$Q$807,'Annual_Cost'!$A$2:$A$807,A336,'Annual_Cost'!$B$2:$B$807,B336)</f>
      </c>
      <c r="D336" s="104" t="str">
        <f>SUMIFS('Annual_Cost'!$R$2:$R$807,'Annual_Cost'!$A$2:$A$807,A336,'Annual_Cost'!$B$2:$B$807,B336)</f>
      </c>
      <c r="E336" s="105" t="str">
        <f>SUMIFS('Annual_Cost'!$S$2:$S$807,'Annual_Cost'!$A$2:$A$807,A336,'Annual_Cost'!$B$2:$B$807,B336)</f>
      </c>
      <c r="F336" s="106" t="str">
        <f>SUMIFS('Annual_Cost'!$W$2:$W$807,'Annual_Cost'!$A$2:$A$807,A336,'Annual_Cost'!$B$2:$B$807,B336)</f>
      </c>
      <c r="G336" s="107" t="str">
        <f>SUMIFS($E$2:E336,$A$2:A336,A336)</f>
      </c>
      <c r="H336" s="108" t="str">
        <f>SUMIFS($F$2:F336,$A$2:A336,A336)</f>
      </c>
    </row>
    <row r="337">
      <c r="A337" t="s">
        <v>267</v>
      </c>
      <c r="B337" s="102" t="n">
        <v>2048</v>
      </c>
      <c r="C337" s="103" t="str">
        <f>SUMIFS('Annual_Cost'!$Q$2:$Q$807,'Annual_Cost'!$A$2:$A$807,A337,'Annual_Cost'!$B$2:$B$807,B337)</f>
      </c>
      <c r="D337" s="104" t="str">
        <f>SUMIFS('Annual_Cost'!$R$2:$R$807,'Annual_Cost'!$A$2:$A$807,A337,'Annual_Cost'!$B$2:$B$807,B337)</f>
      </c>
      <c r="E337" s="105" t="str">
        <f>SUMIFS('Annual_Cost'!$S$2:$S$807,'Annual_Cost'!$A$2:$A$807,A337,'Annual_Cost'!$B$2:$B$807,B337)</f>
      </c>
      <c r="F337" s="106" t="str">
        <f>SUMIFS('Annual_Cost'!$W$2:$W$807,'Annual_Cost'!$A$2:$A$807,A337,'Annual_Cost'!$B$2:$B$807,B337)</f>
      </c>
      <c r="G337" s="107" t="str">
        <f>SUMIFS($E$2:E337,$A$2:A337,A337)</f>
      </c>
      <c r="H337" s="108" t="str">
        <f>SUMIFS($F$2:F337,$A$2:A337,A337)</f>
      </c>
    </row>
    <row r="338">
      <c r="A338" t="s">
        <v>267</v>
      </c>
      <c r="B338" s="102" t="n">
        <v>2049</v>
      </c>
      <c r="C338" s="103" t="str">
        <f>SUMIFS('Annual_Cost'!$Q$2:$Q$807,'Annual_Cost'!$A$2:$A$807,A338,'Annual_Cost'!$B$2:$B$807,B338)</f>
      </c>
      <c r="D338" s="104" t="str">
        <f>SUMIFS('Annual_Cost'!$R$2:$R$807,'Annual_Cost'!$A$2:$A$807,A338,'Annual_Cost'!$B$2:$B$807,B338)</f>
      </c>
      <c r="E338" s="105" t="str">
        <f>SUMIFS('Annual_Cost'!$S$2:$S$807,'Annual_Cost'!$A$2:$A$807,A338,'Annual_Cost'!$B$2:$B$807,B338)</f>
      </c>
      <c r="F338" s="106" t="str">
        <f>SUMIFS('Annual_Cost'!$W$2:$W$807,'Annual_Cost'!$A$2:$A$807,A338,'Annual_Cost'!$B$2:$B$807,B338)</f>
      </c>
      <c r="G338" s="107" t="str">
        <f>SUMIFS($E$2:E338,$A$2:A338,A338)</f>
      </c>
      <c r="H338" s="108" t="str">
        <f>SUMIFS($F$2:F338,$A$2:A338,A338)</f>
      </c>
    </row>
    <row r="339">
      <c r="A339" t="s">
        <v>267</v>
      </c>
      <c r="B339" s="102" t="n">
        <v>2050</v>
      </c>
      <c r="C339" s="103" t="str">
        <f>SUMIFS('Annual_Cost'!$Q$2:$Q$807,'Annual_Cost'!$A$2:$A$807,A339,'Annual_Cost'!$B$2:$B$807,B339)</f>
      </c>
      <c r="D339" s="104" t="str">
        <f>SUMIFS('Annual_Cost'!$R$2:$R$807,'Annual_Cost'!$A$2:$A$807,A339,'Annual_Cost'!$B$2:$B$807,B339)</f>
      </c>
      <c r="E339" s="105" t="str">
        <f>SUMIFS('Annual_Cost'!$S$2:$S$807,'Annual_Cost'!$A$2:$A$807,A339,'Annual_Cost'!$B$2:$B$807,B339)</f>
      </c>
      <c r="F339" s="106" t="str">
        <f>SUMIFS('Annual_Cost'!$W$2:$W$807,'Annual_Cost'!$A$2:$A$807,A339,'Annual_Cost'!$B$2:$B$807,B339)</f>
      </c>
      <c r="G339" s="107" t="str">
        <f>SUMIFS($E$2:E339,$A$2:A339,A339)</f>
      </c>
      <c r="H339" s="108" t="str">
        <f>SUMIFS($F$2:F339,$A$2:A339,A339)</f>
      </c>
    </row>
    <row r="340">
      <c r="A340" t="s">
        <v>274</v>
      </c>
      <c r="B340" s="102" t="n">
        <v>2025</v>
      </c>
      <c r="C340" s="103" t="str">
        <f>SUMIFS('Annual_Cost'!$Q$2:$Q$807,'Annual_Cost'!$A$2:$A$807,A340,'Annual_Cost'!$B$2:$B$807,B340)</f>
      </c>
      <c r="D340" s="104" t="str">
        <f>SUMIFS('Annual_Cost'!$R$2:$R$807,'Annual_Cost'!$A$2:$A$807,A340,'Annual_Cost'!$B$2:$B$807,B340)</f>
      </c>
      <c r="E340" s="105" t="str">
        <f>SUMIFS('Annual_Cost'!$S$2:$S$807,'Annual_Cost'!$A$2:$A$807,A340,'Annual_Cost'!$B$2:$B$807,B340)</f>
      </c>
      <c r="F340" s="106" t="str">
        <f>SUMIFS('Annual_Cost'!$W$2:$W$807,'Annual_Cost'!$A$2:$A$807,A340,'Annual_Cost'!$B$2:$B$807,B340)</f>
      </c>
      <c r="G340" s="107" t="str">
        <f>SUMIFS($E$2:E340,$A$2:A340,A340)</f>
      </c>
      <c r="H340" s="108" t="str">
        <f>SUMIFS($F$2:F340,$A$2:A340,A340)</f>
      </c>
    </row>
    <row r="341">
      <c r="A341" t="s">
        <v>274</v>
      </c>
      <c r="B341" s="102" t="n">
        <v>2026</v>
      </c>
      <c r="C341" s="103" t="str">
        <f>SUMIFS('Annual_Cost'!$Q$2:$Q$807,'Annual_Cost'!$A$2:$A$807,A341,'Annual_Cost'!$B$2:$B$807,B341)</f>
      </c>
      <c r="D341" s="104" t="str">
        <f>SUMIFS('Annual_Cost'!$R$2:$R$807,'Annual_Cost'!$A$2:$A$807,A341,'Annual_Cost'!$B$2:$B$807,B341)</f>
      </c>
      <c r="E341" s="105" t="str">
        <f>SUMIFS('Annual_Cost'!$S$2:$S$807,'Annual_Cost'!$A$2:$A$807,A341,'Annual_Cost'!$B$2:$B$807,B341)</f>
      </c>
      <c r="F341" s="106" t="str">
        <f>SUMIFS('Annual_Cost'!$W$2:$W$807,'Annual_Cost'!$A$2:$A$807,A341,'Annual_Cost'!$B$2:$B$807,B341)</f>
      </c>
      <c r="G341" s="107" t="str">
        <f>SUMIFS($E$2:E341,$A$2:A341,A341)</f>
      </c>
      <c r="H341" s="108" t="str">
        <f>SUMIFS($F$2:F341,$A$2:A341,A341)</f>
      </c>
    </row>
    <row r="342">
      <c r="A342" t="s">
        <v>274</v>
      </c>
      <c r="B342" s="102" t="n">
        <v>2027</v>
      </c>
      <c r="C342" s="103" t="str">
        <f>SUMIFS('Annual_Cost'!$Q$2:$Q$807,'Annual_Cost'!$A$2:$A$807,A342,'Annual_Cost'!$B$2:$B$807,B342)</f>
      </c>
      <c r="D342" s="104" t="str">
        <f>SUMIFS('Annual_Cost'!$R$2:$R$807,'Annual_Cost'!$A$2:$A$807,A342,'Annual_Cost'!$B$2:$B$807,B342)</f>
      </c>
      <c r="E342" s="105" t="str">
        <f>SUMIFS('Annual_Cost'!$S$2:$S$807,'Annual_Cost'!$A$2:$A$807,A342,'Annual_Cost'!$B$2:$B$807,B342)</f>
      </c>
      <c r="F342" s="106" t="str">
        <f>SUMIFS('Annual_Cost'!$W$2:$W$807,'Annual_Cost'!$A$2:$A$807,A342,'Annual_Cost'!$B$2:$B$807,B342)</f>
      </c>
      <c r="G342" s="107" t="str">
        <f>SUMIFS($E$2:E342,$A$2:A342,A342)</f>
      </c>
      <c r="H342" s="108" t="str">
        <f>SUMIFS($F$2:F342,$A$2:A342,A342)</f>
      </c>
    </row>
    <row r="343">
      <c r="A343" t="s">
        <v>274</v>
      </c>
      <c r="B343" s="102" t="n">
        <v>2028</v>
      </c>
      <c r="C343" s="103" t="str">
        <f>SUMIFS('Annual_Cost'!$Q$2:$Q$807,'Annual_Cost'!$A$2:$A$807,A343,'Annual_Cost'!$B$2:$B$807,B343)</f>
      </c>
      <c r="D343" s="104" t="str">
        <f>SUMIFS('Annual_Cost'!$R$2:$R$807,'Annual_Cost'!$A$2:$A$807,A343,'Annual_Cost'!$B$2:$B$807,B343)</f>
      </c>
      <c r="E343" s="105" t="str">
        <f>SUMIFS('Annual_Cost'!$S$2:$S$807,'Annual_Cost'!$A$2:$A$807,A343,'Annual_Cost'!$B$2:$B$807,B343)</f>
      </c>
      <c r="F343" s="106" t="str">
        <f>SUMIFS('Annual_Cost'!$W$2:$W$807,'Annual_Cost'!$A$2:$A$807,A343,'Annual_Cost'!$B$2:$B$807,B343)</f>
      </c>
      <c r="G343" s="107" t="str">
        <f>SUMIFS($E$2:E343,$A$2:A343,A343)</f>
      </c>
      <c r="H343" s="108" t="str">
        <f>SUMIFS($F$2:F343,$A$2:A343,A343)</f>
      </c>
    </row>
    <row r="344">
      <c r="A344" t="s">
        <v>274</v>
      </c>
      <c r="B344" s="102" t="n">
        <v>2029</v>
      </c>
      <c r="C344" s="103" t="str">
        <f>SUMIFS('Annual_Cost'!$Q$2:$Q$807,'Annual_Cost'!$A$2:$A$807,A344,'Annual_Cost'!$B$2:$B$807,B344)</f>
      </c>
      <c r="D344" s="104" t="str">
        <f>SUMIFS('Annual_Cost'!$R$2:$R$807,'Annual_Cost'!$A$2:$A$807,A344,'Annual_Cost'!$B$2:$B$807,B344)</f>
      </c>
      <c r="E344" s="105" t="str">
        <f>SUMIFS('Annual_Cost'!$S$2:$S$807,'Annual_Cost'!$A$2:$A$807,A344,'Annual_Cost'!$B$2:$B$807,B344)</f>
      </c>
      <c r="F344" s="106" t="str">
        <f>SUMIFS('Annual_Cost'!$W$2:$W$807,'Annual_Cost'!$A$2:$A$807,A344,'Annual_Cost'!$B$2:$B$807,B344)</f>
      </c>
      <c r="G344" s="107" t="str">
        <f>SUMIFS($E$2:E344,$A$2:A344,A344)</f>
      </c>
      <c r="H344" s="108" t="str">
        <f>SUMIFS($F$2:F344,$A$2:A344,A344)</f>
      </c>
    </row>
    <row r="345">
      <c r="A345" t="s">
        <v>274</v>
      </c>
      <c r="B345" s="102" t="n">
        <v>2030</v>
      </c>
      <c r="C345" s="103" t="str">
        <f>SUMIFS('Annual_Cost'!$Q$2:$Q$807,'Annual_Cost'!$A$2:$A$807,A345,'Annual_Cost'!$B$2:$B$807,B345)</f>
      </c>
      <c r="D345" s="104" t="str">
        <f>SUMIFS('Annual_Cost'!$R$2:$R$807,'Annual_Cost'!$A$2:$A$807,A345,'Annual_Cost'!$B$2:$B$807,B345)</f>
      </c>
      <c r="E345" s="105" t="str">
        <f>SUMIFS('Annual_Cost'!$S$2:$S$807,'Annual_Cost'!$A$2:$A$807,A345,'Annual_Cost'!$B$2:$B$807,B345)</f>
      </c>
      <c r="F345" s="106" t="str">
        <f>SUMIFS('Annual_Cost'!$W$2:$W$807,'Annual_Cost'!$A$2:$A$807,A345,'Annual_Cost'!$B$2:$B$807,B345)</f>
      </c>
      <c r="G345" s="107" t="str">
        <f>SUMIFS($E$2:E345,$A$2:A345,A345)</f>
      </c>
      <c r="H345" s="108" t="str">
        <f>SUMIFS($F$2:F345,$A$2:A345,A345)</f>
      </c>
    </row>
    <row r="346">
      <c r="A346" t="s">
        <v>274</v>
      </c>
      <c r="B346" s="102" t="n">
        <v>2031</v>
      </c>
      <c r="C346" s="103" t="str">
        <f>SUMIFS('Annual_Cost'!$Q$2:$Q$807,'Annual_Cost'!$A$2:$A$807,A346,'Annual_Cost'!$B$2:$B$807,B346)</f>
      </c>
      <c r="D346" s="104" t="str">
        <f>SUMIFS('Annual_Cost'!$R$2:$R$807,'Annual_Cost'!$A$2:$A$807,A346,'Annual_Cost'!$B$2:$B$807,B346)</f>
      </c>
      <c r="E346" s="105" t="str">
        <f>SUMIFS('Annual_Cost'!$S$2:$S$807,'Annual_Cost'!$A$2:$A$807,A346,'Annual_Cost'!$B$2:$B$807,B346)</f>
      </c>
      <c r="F346" s="106" t="str">
        <f>SUMIFS('Annual_Cost'!$W$2:$W$807,'Annual_Cost'!$A$2:$A$807,A346,'Annual_Cost'!$B$2:$B$807,B346)</f>
      </c>
      <c r="G346" s="107" t="str">
        <f>SUMIFS($E$2:E346,$A$2:A346,A346)</f>
      </c>
      <c r="H346" s="108" t="str">
        <f>SUMIFS($F$2:F346,$A$2:A346,A346)</f>
      </c>
    </row>
    <row r="347">
      <c r="A347" t="s">
        <v>274</v>
      </c>
      <c r="B347" s="102" t="n">
        <v>2032</v>
      </c>
      <c r="C347" s="103" t="str">
        <f>SUMIFS('Annual_Cost'!$Q$2:$Q$807,'Annual_Cost'!$A$2:$A$807,A347,'Annual_Cost'!$B$2:$B$807,B347)</f>
      </c>
      <c r="D347" s="104" t="str">
        <f>SUMIFS('Annual_Cost'!$R$2:$R$807,'Annual_Cost'!$A$2:$A$807,A347,'Annual_Cost'!$B$2:$B$807,B347)</f>
      </c>
      <c r="E347" s="105" t="str">
        <f>SUMIFS('Annual_Cost'!$S$2:$S$807,'Annual_Cost'!$A$2:$A$807,A347,'Annual_Cost'!$B$2:$B$807,B347)</f>
      </c>
      <c r="F347" s="106" t="str">
        <f>SUMIFS('Annual_Cost'!$W$2:$W$807,'Annual_Cost'!$A$2:$A$807,A347,'Annual_Cost'!$B$2:$B$807,B347)</f>
      </c>
      <c r="G347" s="107" t="str">
        <f>SUMIFS($E$2:E347,$A$2:A347,A347)</f>
      </c>
      <c r="H347" s="108" t="str">
        <f>SUMIFS($F$2:F347,$A$2:A347,A347)</f>
      </c>
    </row>
    <row r="348">
      <c r="A348" t="s">
        <v>274</v>
      </c>
      <c r="B348" s="102" t="n">
        <v>2033</v>
      </c>
      <c r="C348" s="103" t="str">
        <f>SUMIFS('Annual_Cost'!$Q$2:$Q$807,'Annual_Cost'!$A$2:$A$807,A348,'Annual_Cost'!$B$2:$B$807,B348)</f>
      </c>
      <c r="D348" s="104" t="str">
        <f>SUMIFS('Annual_Cost'!$R$2:$R$807,'Annual_Cost'!$A$2:$A$807,A348,'Annual_Cost'!$B$2:$B$807,B348)</f>
      </c>
      <c r="E348" s="105" t="str">
        <f>SUMIFS('Annual_Cost'!$S$2:$S$807,'Annual_Cost'!$A$2:$A$807,A348,'Annual_Cost'!$B$2:$B$807,B348)</f>
      </c>
      <c r="F348" s="106" t="str">
        <f>SUMIFS('Annual_Cost'!$W$2:$W$807,'Annual_Cost'!$A$2:$A$807,A348,'Annual_Cost'!$B$2:$B$807,B348)</f>
      </c>
      <c r="G348" s="107" t="str">
        <f>SUMIFS($E$2:E348,$A$2:A348,A348)</f>
      </c>
      <c r="H348" s="108" t="str">
        <f>SUMIFS($F$2:F348,$A$2:A348,A348)</f>
      </c>
    </row>
    <row r="349">
      <c r="A349" t="s">
        <v>274</v>
      </c>
      <c r="B349" s="102" t="n">
        <v>2034</v>
      </c>
      <c r="C349" s="103" t="str">
        <f>SUMIFS('Annual_Cost'!$Q$2:$Q$807,'Annual_Cost'!$A$2:$A$807,A349,'Annual_Cost'!$B$2:$B$807,B349)</f>
      </c>
      <c r="D349" s="104" t="str">
        <f>SUMIFS('Annual_Cost'!$R$2:$R$807,'Annual_Cost'!$A$2:$A$807,A349,'Annual_Cost'!$B$2:$B$807,B349)</f>
      </c>
      <c r="E349" s="105" t="str">
        <f>SUMIFS('Annual_Cost'!$S$2:$S$807,'Annual_Cost'!$A$2:$A$807,A349,'Annual_Cost'!$B$2:$B$807,B349)</f>
      </c>
      <c r="F349" s="106" t="str">
        <f>SUMIFS('Annual_Cost'!$W$2:$W$807,'Annual_Cost'!$A$2:$A$807,A349,'Annual_Cost'!$B$2:$B$807,B349)</f>
      </c>
      <c r="G349" s="107" t="str">
        <f>SUMIFS($E$2:E349,$A$2:A349,A349)</f>
      </c>
      <c r="H349" s="108" t="str">
        <f>SUMIFS($F$2:F349,$A$2:A349,A349)</f>
      </c>
    </row>
    <row r="350">
      <c r="A350" t="s">
        <v>274</v>
      </c>
      <c r="B350" s="102" t="n">
        <v>2035</v>
      </c>
      <c r="C350" s="103" t="str">
        <f>SUMIFS('Annual_Cost'!$Q$2:$Q$807,'Annual_Cost'!$A$2:$A$807,A350,'Annual_Cost'!$B$2:$B$807,B350)</f>
      </c>
      <c r="D350" s="104" t="str">
        <f>SUMIFS('Annual_Cost'!$R$2:$R$807,'Annual_Cost'!$A$2:$A$807,A350,'Annual_Cost'!$B$2:$B$807,B350)</f>
      </c>
      <c r="E350" s="105" t="str">
        <f>SUMIFS('Annual_Cost'!$S$2:$S$807,'Annual_Cost'!$A$2:$A$807,A350,'Annual_Cost'!$B$2:$B$807,B350)</f>
      </c>
      <c r="F350" s="106" t="str">
        <f>SUMIFS('Annual_Cost'!$W$2:$W$807,'Annual_Cost'!$A$2:$A$807,A350,'Annual_Cost'!$B$2:$B$807,B350)</f>
      </c>
      <c r="G350" s="107" t="str">
        <f>SUMIFS($E$2:E350,$A$2:A350,A350)</f>
      </c>
      <c r="H350" s="108" t="str">
        <f>SUMIFS($F$2:F350,$A$2:A350,A350)</f>
      </c>
    </row>
    <row r="351">
      <c r="A351" t="s">
        <v>274</v>
      </c>
      <c r="B351" s="102" t="n">
        <v>2036</v>
      </c>
      <c r="C351" s="103" t="str">
        <f>SUMIFS('Annual_Cost'!$Q$2:$Q$807,'Annual_Cost'!$A$2:$A$807,A351,'Annual_Cost'!$B$2:$B$807,B351)</f>
      </c>
      <c r="D351" s="104" t="str">
        <f>SUMIFS('Annual_Cost'!$R$2:$R$807,'Annual_Cost'!$A$2:$A$807,A351,'Annual_Cost'!$B$2:$B$807,B351)</f>
      </c>
      <c r="E351" s="105" t="str">
        <f>SUMIFS('Annual_Cost'!$S$2:$S$807,'Annual_Cost'!$A$2:$A$807,A351,'Annual_Cost'!$B$2:$B$807,B351)</f>
      </c>
      <c r="F351" s="106" t="str">
        <f>SUMIFS('Annual_Cost'!$W$2:$W$807,'Annual_Cost'!$A$2:$A$807,A351,'Annual_Cost'!$B$2:$B$807,B351)</f>
      </c>
      <c r="G351" s="107" t="str">
        <f>SUMIFS($E$2:E351,$A$2:A351,A351)</f>
      </c>
      <c r="H351" s="108" t="str">
        <f>SUMIFS($F$2:F351,$A$2:A351,A351)</f>
      </c>
    </row>
    <row r="352">
      <c r="A352" t="s">
        <v>274</v>
      </c>
      <c r="B352" s="102" t="n">
        <v>2037</v>
      </c>
      <c r="C352" s="103" t="str">
        <f>SUMIFS('Annual_Cost'!$Q$2:$Q$807,'Annual_Cost'!$A$2:$A$807,A352,'Annual_Cost'!$B$2:$B$807,B352)</f>
      </c>
      <c r="D352" s="104" t="str">
        <f>SUMIFS('Annual_Cost'!$R$2:$R$807,'Annual_Cost'!$A$2:$A$807,A352,'Annual_Cost'!$B$2:$B$807,B352)</f>
      </c>
      <c r="E352" s="105" t="str">
        <f>SUMIFS('Annual_Cost'!$S$2:$S$807,'Annual_Cost'!$A$2:$A$807,A352,'Annual_Cost'!$B$2:$B$807,B352)</f>
      </c>
      <c r="F352" s="106" t="str">
        <f>SUMIFS('Annual_Cost'!$W$2:$W$807,'Annual_Cost'!$A$2:$A$807,A352,'Annual_Cost'!$B$2:$B$807,B352)</f>
      </c>
      <c r="G352" s="107" t="str">
        <f>SUMIFS($E$2:E352,$A$2:A352,A352)</f>
      </c>
      <c r="H352" s="108" t="str">
        <f>SUMIFS($F$2:F352,$A$2:A352,A352)</f>
      </c>
    </row>
    <row r="353">
      <c r="A353" t="s">
        <v>274</v>
      </c>
      <c r="B353" s="102" t="n">
        <v>2038</v>
      </c>
      <c r="C353" s="103" t="str">
        <f>SUMIFS('Annual_Cost'!$Q$2:$Q$807,'Annual_Cost'!$A$2:$A$807,A353,'Annual_Cost'!$B$2:$B$807,B353)</f>
      </c>
      <c r="D353" s="104" t="str">
        <f>SUMIFS('Annual_Cost'!$R$2:$R$807,'Annual_Cost'!$A$2:$A$807,A353,'Annual_Cost'!$B$2:$B$807,B353)</f>
      </c>
      <c r="E353" s="105" t="str">
        <f>SUMIFS('Annual_Cost'!$S$2:$S$807,'Annual_Cost'!$A$2:$A$807,A353,'Annual_Cost'!$B$2:$B$807,B353)</f>
      </c>
      <c r="F353" s="106" t="str">
        <f>SUMIFS('Annual_Cost'!$W$2:$W$807,'Annual_Cost'!$A$2:$A$807,A353,'Annual_Cost'!$B$2:$B$807,B353)</f>
      </c>
      <c r="G353" s="107" t="str">
        <f>SUMIFS($E$2:E353,$A$2:A353,A353)</f>
      </c>
      <c r="H353" s="108" t="str">
        <f>SUMIFS($F$2:F353,$A$2:A353,A353)</f>
      </c>
    </row>
    <row r="354">
      <c r="A354" t="s">
        <v>274</v>
      </c>
      <c r="B354" s="102" t="n">
        <v>2039</v>
      </c>
      <c r="C354" s="103" t="str">
        <f>SUMIFS('Annual_Cost'!$Q$2:$Q$807,'Annual_Cost'!$A$2:$A$807,A354,'Annual_Cost'!$B$2:$B$807,B354)</f>
      </c>
      <c r="D354" s="104" t="str">
        <f>SUMIFS('Annual_Cost'!$R$2:$R$807,'Annual_Cost'!$A$2:$A$807,A354,'Annual_Cost'!$B$2:$B$807,B354)</f>
      </c>
      <c r="E354" s="105" t="str">
        <f>SUMIFS('Annual_Cost'!$S$2:$S$807,'Annual_Cost'!$A$2:$A$807,A354,'Annual_Cost'!$B$2:$B$807,B354)</f>
      </c>
      <c r="F354" s="106" t="str">
        <f>SUMIFS('Annual_Cost'!$W$2:$W$807,'Annual_Cost'!$A$2:$A$807,A354,'Annual_Cost'!$B$2:$B$807,B354)</f>
      </c>
      <c r="G354" s="107" t="str">
        <f>SUMIFS($E$2:E354,$A$2:A354,A354)</f>
      </c>
      <c r="H354" s="108" t="str">
        <f>SUMIFS($F$2:F354,$A$2:A354,A354)</f>
      </c>
    </row>
    <row r="355">
      <c r="A355" t="s">
        <v>274</v>
      </c>
      <c r="B355" s="102" t="n">
        <v>2040</v>
      </c>
      <c r="C355" s="103" t="str">
        <f>SUMIFS('Annual_Cost'!$Q$2:$Q$807,'Annual_Cost'!$A$2:$A$807,A355,'Annual_Cost'!$B$2:$B$807,B355)</f>
      </c>
      <c r="D355" s="104" t="str">
        <f>SUMIFS('Annual_Cost'!$R$2:$R$807,'Annual_Cost'!$A$2:$A$807,A355,'Annual_Cost'!$B$2:$B$807,B355)</f>
      </c>
      <c r="E355" s="105" t="str">
        <f>SUMIFS('Annual_Cost'!$S$2:$S$807,'Annual_Cost'!$A$2:$A$807,A355,'Annual_Cost'!$B$2:$B$807,B355)</f>
      </c>
      <c r="F355" s="106" t="str">
        <f>SUMIFS('Annual_Cost'!$W$2:$W$807,'Annual_Cost'!$A$2:$A$807,A355,'Annual_Cost'!$B$2:$B$807,B355)</f>
      </c>
      <c r="G355" s="107" t="str">
        <f>SUMIFS($E$2:E355,$A$2:A355,A355)</f>
      </c>
      <c r="H355" s="108" t="str">
        <f>SUMIFS($F$2:F355,$A$2:A355,A355)</f>
      </c>
    </row>
    <row r="356">
      <c r="A356" t="s">
        <v>274</v>
      </c>
      <c r="B356" s="102" t="n">
        <v>2041</v>
      </c>
      <c r="C356" s="103" t="str">
        <f>SUMIFS('Annual_Cost'!$Q$2:$Q$807,'Annual_Cost'!$A$2:$A$807,A356,'Annual_Cost'!$B$2:$B$807,B356)</f>
      </c>
      <c r="D356" s="104" t="str">
        <f>SUMIFS('Annual_Cost'!$R$2:$R$807,'Annual_Cost'!$A$2:$A$807,A356,'Annual_Cost'!$B$2:$B$807,B356)</f>
      </c>
      <c r="E356" s="105" t="str">
        <f>SUMIFS('Annual_Cost'!$S$2:$S$807,'Annual_Cost'!$A$2:$A$807,A356,'Annual_Cost'!$B$2:$B$807,B356)</f>
      </c>
      <c r="F356" s="106" t="str">
        <f>SUMIFS('Annual_Cost'!$W$2:$W$807,'Annual_Cost'!$A$2:$A$807,A356,'Annual_Cost'!$B$2:$B$807,B356)</f>
      </c>
      <c r="G356" s="107" t="str">
        <f>SUMIFS($E$2:E356,$A$2:A356,A356)</f>
      </c>
      <c r="H356" s="108" t="str">
        <f>SUMIFS($F$2:F356,$A$2:A356,A356)</f>
      </c>
    </row>
    <row r="357">
      <c r="A357" t="s">
        <v>274</v>
      </c>
      <c r="B357" s="102" t="n">
        <v>2042</v>
      </c>
      <c r="C357" s="103" t="str">
        <f>SUMIFS('Annual_Cost'!$Q$2:$Q$807,'Annual_Cost'!$A$2:$A$807,A357,'Annual_Cost'!$B$2:$B$807,B357)</f>
      </c>
      <c r="D357" s="104" t="str">
        <f>SUMIFS('Annual_Cost'!$R$2:$R$807,'Annual_Cost'!$A$2:$A$807,A357,'Annual_Cost'!$B$2:$B$807,B357)</f>
      </c>
      <c r="E357" s="105" t="str">
        <f>SUMIFS('Annual_Cost'!$S$2:$S$807,'Annual_Cost'!$A$2:$A$807,A357,'Annual_Cost'!$B$2:$B$807,B357)</f>
      </c>
      <c r="F357" s="106" t="str">
        <f>SUMIFS('Annual_Cost'!$W$2:$W$807,'Annual_Cost'!$A$2:$A$807,A357,'Annual_Cost'!$B$2:$B$807,B357)</f>
      </c>
      <c r="G357" s="107" t="str">
        <f>SUMIFS($E$2:E357,$A$2:A357,A357)</f>
      </c>
      <c r="H357" s="108" t="str">
        <f>SUMIFS($F$2:F357,$A$2:A357,A357)</f>
      </c>
    </row>
    <row r="358">
      <c r="A358" t="s">
        <v>274</v>
      </c>
      <c r="B358" s="102" t="n">
        <v>2043</v>
      </c>
      <c r="C358" s="103" t="str">
        <f>SUMIFS('Annual_Cost'!$Q$2:$Q$807,'Annual_Cost'!$A$2:$A$807,A358,'Annual_Cost'!$B$2:$B$807,B358)</f>
      </c>
      <c r="D358" s="104" t="str">
        <f>SUMIFS('Annual_Cost'!$R$2:$R$807,'Annual_Cost'!$A$2:$A$807,A358,'Annual_Cost'!$B$2:$B$807,B358)</f>
      </c>
      <c r="E358" s="105" t="str">
        <f>SUMIFS('Annual_Cost'!$S$2:$S$807,'Annual_Cost'!$A$2:$A$807,A358,'Annual_Cost'!$B$2:$B$807,B358)</f>
      </c>
      <c r="F358" s="106" t="str">
        <f>SUMIFS('Annual_Cost'!$W$2:$W$807,'Annual_Cost'!$A$2:$A$807,A358,'Annual_Cost'!$B$2:$B$807,B358)</f>
      </c>
      <c r="G358" s="107" t="str">
        <f>SUMIFS($E$2:E358,$A$2:A358,A358)</f>
      </c>
      <c r="H358" s="108" t="str">
        <f>SUMIFS($F$2:F358,$A$2:A358,A358)</f>
      </c>
    </row>
    <row r="359">
      <c r="A359" t="s">
        <v>274</v>
      </c>
      <c r="B359" s="102" t="n">
        <v>2044</v>
      </c>
      <c r="C359" s="103" t="str">
        <f>SUMIFS('Annual_Cost'!$Q$2:$Q$807,'Annual_Cost'!$A$2:$A$807,A359,'Annual_Cost'!$B$2:$B$807,B359)</f>
      </c>
      <c r="D359" s="104" t="str">
        <f>SUMIFS('Annual_Cost'!$R$2:$R$807,'Annual_Cost'!$A$2:$A$807,A359,'Annual_Cost'!$B$2:$B$807,B359)</f>
      </c>
      <c r="E359" s="105" t="str">
        <f>SUMIFS('Annual_Cost'!$S$2:$S$807,'Annual_Cost'!$A$2:$A$807,A359,'Annual_Cost'!$B$2:$B$807,B359)</f>
      </c>
      <c r="F359" s="106" t="str">
        <f>SUMIFS('Annual_Cost'!$W$2:$W$807,'Annual_Cost'!$A$2:$A$807,A359,'Annual_Cost'!$B$2:$B$807,B359)</f>
      </c>
      <c r="G359" s="107" t="str">
        <f>SUMIFS($E$2:E359,$A$2:A359,A359)</f>
      </c>
      <c r="H359" s="108" t="str">
        <f>SUMIFS($F$2:F359,$A$2:A359,A359)</f>
      </c>
    </row>
    <row r="360">
      <c r="A360" t="s">
        <v>274</v>
      </c>
      <c r="B360" s="102" t="n">
        <v>2045</v>
      </c>
      <c r="C360" s="103" t="str">
        <f>SUMIFS('Annual_Cost'!$Q$2:$Q$807,'Annual_Cost'!$A$2:$A$807,A360,'Annual_Cost'!$B$2:$B$807,B360)</f>
      </c>
      <c r="D360" s="104" t="str">
        <f>SUMIFS('Annual_Cost'!$R$2:$R$807,'Annual_Cost'!$A$2:$A$807,A360,'Annual_Cost'!$B$2:$B$807,B360)</f>
      </c>
      <c r="E360" s="105" t="str">
        <f>SUMIFS('Annual_Cost'!$S$2:$S$807,'Annual_Cost'!$A$2:$A$807,A360,'Annual_Cost'!$B$2:$B$807,B360)</f>
      </c>
      <c r="F360" s="106" t="str">
        <f>SUMIFS('Annual_Cost'!$W$2:$W$807,'Annual_Cost'!$A$2:$A$807,A360,'Annual_Cost'!$B$2:$B$807,B360)</f>
      </c>
      <c r="G360" s="107" t="str">
        <f>SUMIFS($E$2:E360,$A$2:A360,A360)</f>
      </c>
      <c r="H360" s="108" t="str">
        <f>SUMIFS($F$2:F360,$A$2:A360,A360)</f>
      </c>
    </row>
    <row r="361">
      <c r="A361" t="s">
        <v>274</v>
      </c>
      <c r="B361" s="102" t="n">
        <v>2046</v>
      </c>
      <c r="C361" s="103" t="str">
        <f>SUMIFS('Annual_Cost'!$Q$2:$Q$807,'Annual_Cost'!$A$2:$A$807,A361,'Annual_Cost'!$B$2:$B$807,B361)</f>
      </c>
      <c r="D361" s="104" t="str">
        <f>SUMIFS('Annual_Cost'!$R$2:$R$807,'Annual_Cost'!$A$2:$A$807,A361,'Annual_Cost'!$B$2:$B$807,B361)</f>
      </c>
      <c r="E361" s="105" t="str">
        <f>SUMIFS('Annual_Cost'!$S$2:$S$807,'Annual_Cost'!$A$2:$A$807,A361,'Annual_Cost'!$B$2:$B$807,B361)</f>
      </c>
      <c r="F361" s="106" t="str">
        <f>SUMIFS('Annual_Cost'!$W$2:$W$807,'Annual_Cost'!$A$2:$A$807,A361,'Annual_Cost'!$B$2:$B$807,B361)</f>
      </c>
      <c r="G361" s="107" t="str">
        <f>SUMIFS($E$2:E361,$A$2:A361,A361)</f>
      </c>
      <c r="H361" s="108" t="str">
        <f>SUMIFS($F$2:F361,$A$2:A361,A361)</f>
      </c>
    </row>
    <row r="362">
      <c r="A362" t="s">
        <v>274</v>
      </c>
      <c r="B362" s="102" t="n">
        <v>2047</v>
      </c>
      <c r="C362" s="103" t="str">
        <f>SUMIFS('Annual_Cost'!$Q$2:$Q$807,'Annual_Cost'!$A$2:$A$807,A362,'Annual_Cost'!$B$2:$B$807,B362)</f>
      </c>
      <c r="D362" s="104" t="str">
        <f>SUMIFS('Annual_Cost'!$R$2:$R$807,'Annual_Cost'!$A$2:$A$807,A362,'Annual_Cost'!$B$2:$B$807,B362)</f>
      </c>
      <c r="E362" s="105" t="str">
        <f>SUMIFS('Annual_Cost'!$S$2:$S$807,'Annual_Cost'!$A$2:$A$807,A362,'Annual_Cost'!$B$2:$B$807,B362)</f>
      </c>
      <c r="F362" s="106" t="str">
        <f>SUMIFS('Annual_Cost'!$W$2:$W$807,'Annual_Cost'!$A$2:$A$807,A362,'Annual_Cost'!$B$2:$B$807,B362)</f>
      </c>
      <c r="G362" s="107" t="str">
        <f>SUMIFS($E$2:E362,$A$2:A362,A362)</f>
      </c>
      <c r="H362" s="108" t="str">
        <f>SUMIFS($F$2:F362,$A$2:A362,A362)</f>
      </c>
    </row>
    <row r="363">
      <c r="A363" t="s">
        <v>274</v>
      </c>
      <c r="B363" s="102" t="n">
        <v>2048</v>
      </c>
      <c r="C363" s="103" t="str">
        <f>SUMIFS('Annual_Cost'!$Q$2:$Q$807,'Annual_Cost'!$A$2:$A$807,A363,'Annual_Cost'!$B$2:$B$807,B363)</f>
      </c>
      <c r="D363" s="104" t="str">
        <f>SUMIFS('Annual_Cost'!$R$2:$R$807,'Annual_Cost'!$A$2:$A$807,A363,'Annual_Cost'!$B$2:$B$807,B363)</f>
      </c>
      <c r="E363" s="105" t="str">
        <f>SUMIFS('Annual_Cost'!$S$2:$S$807,'Annual_Cost'!$A$2:$A$807,A363,'Annual_Cost'!$B$2:$B$807,B363)</f>
      </c>
      <c r="F363" s="106" t="str">
        <f>SUMIFS('Annual_Cost'!$W$2:$W$807,'Annual_Cost'!$A$2:$A$807,A363,'Annual_Cost'!$B$2:$B$807,B363)</f>
      </c>
      <c r="G363" s="107" t="str">
        <f>SUMIFS($E$2:E363,$A$2:A363,A363)</f>
      </c>
      <c r="H363" s="108" t="str">
        <f>SUMIFS($F$2:F363,$A$2:A363,A363)</f>
      </c>
    </row>
    <row r="364">
      <c r="A364" t="s">
        <v>274</v>
      </c>
      <c r="B364" s="102" t="n">
        <v>2049</v>
      </c>
      <c r="C364" s="103" t="str">
        <f>SUMIFS('Annual_Cost'!$Q$2:$Q$807,'Annual_Cost'!$A$2:$A$807,A364,'Annual_Cost'!$B$2:$B$807,B364)</f>
      </c>
      <c r="D364" s="104" t="str">
        <f>SUMIFS('Annual_Cost'!$R$2:$R$807,'Annual_Cost'!$A$2:$A$807,A364,'Annual_Cost'!$B$2:$B$807,B364)</f>
      </c>
      <c r="E364" s="105" t="str">
        <f>SUMIFS('Annual_Cost'!$S$2:$S$807,'Annual_Cost'!$A$2:$A$807,A364,'Annual_Cost'!$B$2:$B$807,B364)</f>
      </c>
      <c r="F364" s="106" t="str">
        <f>SUMIFS('Annual_Cost'!$W$2:$W$807,'Annual_Cost'!$A$2:$A$807,A364,'Annual_Cost'!$B$2:$B$807,B364)</f>
      </c>
      <c r="G364" s="107" t="str">
        <f>SUMIFS($E$2:E364,$A$2:A364,A364)</f>
      </c>
      <c r="H364" s="108" t="str">
        <f>SUMIFS($F$2:F364,$A$2:A364,A364)</f>
      </c>
    </row>
    <row r="365">
      <c r="A365" t="s">
        <v>274</v>
      </c>
      <c r="B365" s="102" t="n">
        <v>2050</v>
      </c>
      <c r="C365" s="103" t="str">
        <f>SUMIFS('Annual_Cost'!$Q$2:$Q$807,'Annual_Cost'!$A$2:$A$807,A365,'Annual_Cost'!$B$2:$B$807,B365)</f>
      </c>
      <c r="D365" s="104" t="str">
        <f>SUMIFS('Annual_Cost'!$R$2:$R$807,'Annual_Cost'!$A$2:$A$807,A365,'Annual_Cost'!$B$2:$B$807,B365)</f>
      </c>
      <c r="E365" s="105" t="str">
        <f>SUMIFS('Annual_Cost'!$S$2:$S$807,'Annual_Cost'!$A$2:$A$807,A365,'Annual_Cost'!$B$2:$B$807,B365)</f>
      </c>
      <c r="F365" s="106" t="str">
        <f>SUMIFS('Annual_Cost'!$W$2:$W$807,'Annual_Cost'!$A$2:$A$807,A365,'Annual_Cost'!$B$2:$B$807,B365)</f>
      </c>
      <c r="G365" s="107" t="str">
        <f>SUMIFS($E$2:E365,$A$2:A365,A365)</f>
      </c>
      <c r="H365" s="108" t="str">
        <f>SUMIFS($F$2:F365,$A$2:A365,A365)</f>
      </c>
    </row>
    <row r="366">
      <c r="A366" t="s">
        <v>76</v>
      </c>
      <c r="B366" s="102" t="n">
        <v>2025</v>
      </c>
      <c r="C366" s="103" t="str">
        <f>SUMIFS('Annual_Cost'!$Q$2:$Q$807,'Annual_Cost'!$A$2:$A$807,A366,'Annual_Cost'!$B$2:$B$807,B366)</f>
      </c>
      <c r="D366" s="104" t="str">
        <f>SUMIFS('Annual_Cost'!$R$2:$R$807,'Annual_Cost'!$A$2:$A$807,A366,'Annual_Cost'!$B$2:$B$807,B366)</f>
      </c>
      <c r="E366" s="105" t="str">
        <f>SUMIFS('Annual_Cost'!$S$2:$S$807,'Annual_Cost'!$A$2:$A$807,A366,'Annual_Cost'!$B$2:$B$807,B366)</f>
      </c>
      <c r="F366" s="106" t="str">
        <f>SUMIFS('Annual_Cost'!$W$2:$W$807,'Annual_Cost'!$A$2:$A$807,A366,'Annual_Cost'!$B$2:$B$807,B366)</f>
      </c>
      <c r="G366" s="107" t="str">
        <f>SUMIFS($E$2:E366,$A$2:A366,A366)</f>
      </c>
      <c r="H366" s="108" t="str">
        <f>SUMIFS($F$2:F366,$A$2:A366,A366)</f>
      </c>
    </row>
    <row r="367">
      <c r="A367" t="s">
        <v>76</v>
      </c>
      <c r="B367" s="102" t="n">
        <v>2026</v>
      </c>
      <c r="C367" s="103" t="str">
        <f>SUMIFS('Annual_Cost'!$Q$2:$Q$807,'Annual_Cost'!$A$2:$A$807,A367,'Annual_Cost'!$B$2:$B$807,B367)</f>
      </c>
      <c r="D367" s="104" t="str">
        <f>SUMIFS('Annual_Cost'!$R$2:$R$807,'Annual_Cost'!$A$2:$A$807,A367,'Annual_Cost'!$B$2:$B$807,B367)</f>
      </c>
      <c r="E367" s="105" t="str">
        <f>SUMIFS('Annual_Cost'!$S$2:$S$807,'Annual_Cost'!$A$2:$A$807,A367,'Annual_Cost'!$B$2:$B$807,B367)</f>
      </c>
      <c r="F367" s="106" t="str">
        <f>SUMIFS('Annual_Cost'!$W$2:$W$807,'Annual_Cost'!$A$2:$A$807,A367,'Annual_Cost'!$B$2:$B$807,B367)</f>
      </c>
      <c r="G367" s="107" t="str">
        <f>SUMIFS($E$2:E367,$A$2:A367,A367)</f>
      </c>
      <c r="H367" s="108" t="str">
        <f>SUMIFS($F$2:F367,$A$2:A367,A367)</f>
      </c>
    </row>
    <row r="368">
      <c r="A368" t="s">
        <v>76</v>
      </c>
      <c r="B368" s="102" t="n">
        <v>2027</v>
      </c>
      <c r="C368" s="103" t="str">
        <f>SUMIFS('Annual_Cost'!$Q$2:$Q$807,'Annual_Cost'!$A$2:$A$807,A368,'Annual_Cost'!$B$2:$B$807,B368)</f>
      </c>
      <c r="D368" s="104" t="str">
        <f>SUMIFS('Annual_Cost'!$R$2:$R$807,'Annual_Cost'!$A$2:$A$807,A368,'Annual_Cost'!$B$2:$B$807,B368)</f>
      </c>
      <c r="E368" s="105" t="str">
        <f>SUMIFS('Annual_Cost'!$S$2:$S$807,'Annual_Cost'!$A$2:$A$807,A368,'Annual_Cost'!$B$2:$B$807,B368)</f>
      </c>
      <c r="F368" s="106" t="str">
        <f>SUMIFS('Annual_Cost'!$W$2:$W$807,'Annual_Cost'!$A$2:$A$807,A368,'Annual_Cost'!$B$2:$B$807,B368)</f>
      </c>
      <c r="G368" s="107" t="str">
        <f>SUMIFS($E$2:E368,$A$2:A368,A368)</f>
      </c>
      <c r="H368" s="108" t="str">
        <f>SUMIFS($F$2:F368,$A$2:A368,A368)</f>
      </c>
    </row>
    <row r="369">
      <c r="A369" t="s">
        <v>76</v>
      </c>
      <c r="B369" s="102" t="n">
        <v>2028</v>
      </c>
      <c r="C369" s="103" t="str">
        <f>SUMIFS('Annual_Cost'!$Q$2:$Q$807,'Annual_Cost'!$A$2:$A$807,A369,'Annual_Cost'!$B$2:$B$807,B369)</f>
      </c>
      <c r="D369" s="104" t="str">
        <f>SUMIFS('Annual_Cost'!$R$2:$R$807,'Annual_Cost'!$A$2:$A$807,A369,'Annual_Cost'!$B$2:$B$807,B369)</f>
      </c>
      <c r="E369" s="105" t="str">
        <f>SUMIFS('Annual_Cost'!$S$2:$S$807,'Annual_Cost'!$A$2:$A$807,A369,'Annual_Cost'!$B$2:$B$807,B369)</f>
      </c>
      <c r="F369" s="106" t="str">
        <f>SUMIFS('Annual_Cost'!$W$2:$W$807,'Annual_Cost'!$A$2:$A$807,A369,'Annual_Cost'!$B$2:$B$807,B369)</f>
      </c>
      <c r="G369" s="107" t="str">
        <f>SUMIFS($E$2:E369,$A$2:A369,A369)</f>
      </c>
      <c r="H369" s="108" t="str">
        <f>SUMIFS($F$2:F369,$A$2:A369,A369)</f>
      </c>
    </row>
    <row r="370">
      <c r="A370" t="s">
        <v>76</v>
      </c>
      <c r="B370" s="102" t="n">
        <v>2029</v>
      </c>
      <c r="C370" s="103" t="str">
        <f>SUMIFS('Annual_Cost'!$Q$2:$Q$807,'Annual_Cost'!$A$2:$A$807,A370,'Annual_Cost'!$B$2:$B$807,B370)</f>
      </c>
      <c r="D370" s="104" t="str">
        <f>SUMIFS('Annual_Cost'!$R$2:$R$807,'Annual_Cost'!$A$2:$A$807,A370,'Annual_Cost'!$B$2:$B$807,B370)</f>
      </c>
      <c r="E370" s="105" t="str">
        <f>SUMIFS('Annual_Cost'!$S$2:$S$807,'Annual_Cost'!$A$2:$A$807,A370,'Annual_Cost'!$B$2:$B$807,B370)</f>
      </c>
      <c r="F370" s="106" t="str">
        <f>SUMIFS('Annual_Cost'!$W$2:$W$807,'Annual_Cost'!$A$2:$A$807,A370,'Annual_Cost'!$B$2:$B$807,B370)</f>
      </c>
      <c r="G370" s="107" t="str">
        <f>SUMIFS($E$2:E370,$A$2:A370,A370)</f>
      </c>
      <c r="H370" s="108" t="str">
        <f>SUMIFS($F$2:F370,$A$2:A370,A370)</f>
      </c>
    </row>
    <row r="371">
      <c r="A371" t="s">
        <v>76</v>
      </c>
      <c r="B371" s="102" t="n">
        <v>2030</v>
      </c>
      <c r="C371" s="103" t="str">
        <f>SUMIFS('Annual_Cost'!$Q$2:$Q$807,'Annual_Cost'!$A$2:$A$807,A371,'Annual_Cost'!$B$2:$B$807,B371)</f>
      </c>
      <c r="D371" s="104" t="str">
        <f>SUMIFS('Annual_Cost'!$R$2:$R$807,'Annual_Cost'!$A$2:$A$807,A371,'Annual_Cost'!$B$2:$B$807,B371)</f>
      </c>
      <c r="E371" s="105" t="str">
        <f>SUMIFS('Annual_Cost'!$S$2:$S$807,'Annual_Cost'!$A$2:$A$807,A371,'Annual_Cost'!$B$2:$B$807,B371)</f>
      </c>
      <c r="F371" s="106" t="str">
        <f>SUMIFS('Annual_Cost'!$W$2:$W$807,'Annual_Cost'!$A$2:$A$807,A371,'Annual_Cost'!$B$2:$B$807,B371)</f>
      </c>
      <c r="G371" s="107" t="str">
        <f>SUMIFS($E$2:E371,$A$2:A371,A371)</f>
      </c>
      <c r="H371" s="108" t="str">
        <f>SUMIFS($F$2:F371,$A$2:A371,A371)</f>
      </c>
    </row>
    <row r="372">
      <c r="A372" t="s">
        <v>76</v>
      </c>
      <c r="B372" s="102" t="n">
        <v>2031</v>
      </c>
      <c r="C372" s="103" t="str">
        <f>SUMIFS('Annual_Cost'!$Q$2:$Q$807,'Annual_Cost'!$A$2:$A$807,A372,'Annual_Cost'!$B$2:$B$807,B372)</f>
      </c>
      <c r="D372" s="104" t="str">
        <f>SUMIFS('Annual_Cost'!$R$2:$R$807,'Annual_Cost'!$A$2:$A$807,A372,'Annual_Cost'!$B$2:$B$807,B372)</f>
      </c>
      <c r="E372" s="105" t="str">
        <f>SUMIFS('Annual_Cost'!$S$2:$S$807,'Annual_Cost'!$A$2:$A$807,A372,'Annual_Cost'!$B$2:$B$807,B372)</f>
      </c>
      <c r="F372" s="106" t="str">
        <f>SUMIFS('Annual_Cost'!$W$2:$W$807,'Annual_Cost'!$A$2:$A$807,A372,'Annual_Cost'!$B$2:$B$807,B372)</f>
      </c>
      <c r="G372" s="107" t="str">
        <f>SUMIFS($E$2:E372,$A$2:A372,A372)</f>
      </c>
      <c r="H372" s="108" t="str">
        <f>SUMIFS($F$2:F372,$A$2:A372,A372)</f>
      </c>
    </row>
    <row r="373">
      <c r="A373" t="s">
        <v>76</v>
      </c>
      <c r="B373" s="102" t="n">
        <v>2032</v>
      </c>
      <c r="C373" s="103" t="str">
        <f>SUMIFS('Annual_Cost'!$Q$2:$Q$807,'Annual_Cost'!$A$2:$A$807,A373,'Annual_Cost'!$B$2:$B$807,B373)</f>
      </c>
      <c r="D373" s="104" t="str">
        <f>SUMIFS('Annual_Cost'!$R$2:$R$807,'Annual_Cost'!$A$2:$A$807,A373,'Annual_Cost'!$B$2:$B$807,B373)</f>
      </c>
      <c r="E373" s="105" t="str">
        <f>SUMIFS('Annual_Cost'!$S$2:$S$807,'Annual_Cost'!$A$2:$A$807,A373,'Annual_Cost'!$B$2:$B$807,B373)</f>
      </c>
      <c r="F373" s="106" t="str">
        <f>SUMIFS('Annual_Cost'!$W$2:$W$807,'Annual_Cost'!$A$2:$A$807,A373,'Annual_Cost'!$B$2:$B$807,B373)</f>
      </c>
      <c r="G373" s="107" t="str">
        <f>SUMIFS($E$2:E373,$A$2:A373,A373)</f>
      </c>
      <c r="H373" s="108" t="str">
        <f>SUMIFS($F$2:F373,$A$2:A373,A373)</f>
      </c>
    </row>
    <row r="374">
      <c r="A374" t="s">
        <v>76</v>
      </c>
      <c r="B374" s="102" t="n">
        <v>2033</v>
      </c>
      <c r="C374" s="103" t="str">
        <f>SUMIFS('Annual_Cost'!$Q$2:$Q$807,'Annual_Cost'!$A$2:$A$807,A374,'Annual_Cost'!$B$2:$B$807,B374)</f>
      </c>
      <c r="D374" s="104" t="str">
        <f>SUMIFS('Annual_Cost'!$R$2:$R$807,'Annual_Cost'!$A$2:$A$807,A374,'Annual_Cost'!$B$2:$B$807,B374)</f>
      </c>
      <c r="E374" s="105" t="str">
        <f>SUMIFS('Annual_Cost'!$S$2:$S$807,'Annual_Cost'!$A$2:$A$807,A374,'Annual_Cost'!$B$2:$B$807,B374)</f>
      </c>
      <c r="F374" s="106" t="str">
        <f>SUMIFS('Annual_Cost'!$W$2:$W$807,'Annual_Cost'!$A$2:$A$807,A374,'Annual_Cost'!$B$2:$B$807,B374)</f>
      </c>
      <c r="G374" s="107" t="str">
        <f>SUMIFS($E$2:E374,$A$2:A374,A374)</f>
      </c>
      <c r="H374" s="108" t="str">
        <f>SUMIFS($F$2:F374,$A$2:A374,A374)</f>
      </c>
    </row>
    <row r="375">
      <c r="A375" t="s">
        <v>76</v>
      </c>
      <c r="B375" s="102" t="n">
        <v>2034</v>
      </c>
      <c r="C375" s="103" t="str">
        <f>SUMIFS('Annual_Cost'!$Q$2:$Q$807,'Annual_Cost'!$A$2:$A$807,A375,'Annual_Cost'!$B$2:$B$807,B375)</f>
      </c>
      <c r="D375" s="104" t="str">
        <f>SUMIFS('Annual_Cost'!$R$2:$R$807,'Annual_Cost'!$A$2:$A$807,A375,'Annual_Cost'!$B$2:$B$807,B375)</f>
      </c>
      <c r="E375" s="105" t="str">
        <f>SUMIFS('Annual_Cost'!$S$2:$S$807,'Annual_Cost'!$A$2:$A$807,A375,'Annual_Cost'!$B$2:$B$807,B375)</f>
      </c>
      <c r="F375" s="106" t="str">
        <f>SUMIFS('Annual_Cost'!$W$2:$W$807,'Annual_Cost'!$A$2:$A$807,A375,'Annual_Cost'!$B$2:$B$807,B375)</f>
      </c>
      <c r="G375" s="107" t="str">
        <f>SUMIFS($E$2:E375,$A$2:A375,A375)</f>
      </c>
      <c r="H375" s="108" t="str">
        <f>SUMIFS($F$2:F375,$A$2:A375,A375)</f>
      </c>
    </row>
    <row r="376">
      <c r="A376" t="s">
        <v>76</v>
      </c>
      <c r="B376" s="102" t="n">
        <v>2035</v>
      </c>
      <c r="C376" s="103" t="str">
        <f>SUMIFS('Annual_Cost'!$Q$2:$Q$807,'Annual_Cost'!$A$2:$A$807,A376,'Annual_Cost'!$B$2:$B$807,B376)</f>
      </c>
      <c r="D376" s="104" t="str">
        <f>SUMIFS('Annual_Cost'!$R$2:$R$807,'Annual_Cost'!$A$2:$A$807,A376,'Annual_Cost'!$B$2:$B$807,B376)</f>
      </c>
      <c r="E376" s="105" t="str">
        <f>SUMIFS('Annual_Cost'!$S$2:$S$807,'Annual_Cost'!$A$2:$A$807,A376,'Annual_Cost'!$B$2:$B$807,B376)</f>
      </c>
      <c r="F376" s="106" t="str">
        <f>SUMIFS('Annual_Cost'!$W$2:$W$807,'Annual_Cost'!$A$2:$A$807,A376,'Annual_Cost'!$B$2:$B$807,B376)</f>
      </c>
      <c r="G376" s="107" t="str">
        <f>SUMIFS($E$2:E376,$A$2:A376,A376)</f>
      </c>
      <c r="H376" s="108" t="str">
        <f>SUMIFS($F$2:F376,$A$2:A376,A376)</f>
      </c>
    </row>
    <row r="377">
      <c r="A377" t="s">
        <v>76</v>
      </c>
      <c r="B377" s="102" t="n">
        <v>2036</v>
      </c>
      <c r="C377" s="103" t="str">
        <f>SUMIFS('Annual_Cost'!$Q$2:$Q$807,'Annual_Cost'!$A$2:$A$807,A377,'Annual_Cost'!$B$2:$B$807,B377)</f>
      </c>
      <c r="D377" s="104" t="str">
        <f>SUMIFS('Annual_Cost'!$R$2:$R$807,'Annual_Cost'!$A$2:$A$807,A377,'Annual_Cost'!$B$2:$B$807,B377)</f>
      </c>
      <c r="E377" s="105" t="str">
        <f>SUMIFS('Annual_Cost'!$S$2:$S$807,'Annual_Cost'!$A$2:$A$807,A377,'Annual_Cost'!$B$2:$B$807,B377)</f>
      </c>
      <c r="F377" s="106" t="str">
        <f>SUMIFS('Annual_Cost'!$W$2:$W$807,'Annual_Cost'!$A$2:$A$807,A377,'Annual_Cost'!$B$2:$B$807,B377)</f>
      </c>
      <c r="G377" s="107" t="str">
        <f>SUMIFS($E$2:E377,$A$2:A377,A377)</f>
      </c>
      <c r="H377" s="108" t="str">
        <f>SUMIFS($F$2:F377,$A$2:A377,A377)</f>
      </c>
    </row>
    <row r="378">
      <c r="A378" t="s">
        <v>76</v>
      </c>
      <c r="B378" s="102" t="n">
        <v>2037</v>
      </c>
      <c r="C378" s="103" t="str">
        <f>SUMIFS('Annual_Cost'!$Q$2:$Q$807,'Annual_Cost'!$A$2:$A$807,A378,'Annual_Cost'!$B$2:$B$807,B378)</f>
      </c>
      <c r="D378" s="104" t="str">
        <f>SUMIFS('Annual_Cost'!$R$2:$R$807,'Annual_Cost'!$A$2:$A$807,A378,'Annual_Cost'!$B$2:$B$807,B378)</f>
      </c>
      <c r="E378" s="105" t="str">
        <f>SUMIFS('Annual_Cost'!$S$2:$S$807,'Annual_Cost'!$A$2:$A$807,A378,'Annual_Cost'!$B$2:$B$807,B378)</f>
      </c>
      <c r="F378" s="106" t="str">
        <f>SUMIFS('Annual_Cost'!$W$2:$W$807,'Annual_Cost'!$A$2:$A$807,A378,'Annual_Cost'!$B$2:$B$807,B378)</f>
      </c>
      <c r="G378" s="107" t="str">
        <f>SUMIFS($E$2:E378,$A$2:A378,A378)</f>
      </c>
      <c r="H378" s="108" t="str">
        <f>SUMIFS($F$2:F378,$A$2:A378,A378)</f>
      </c>
    </row>
    <row r="379">
      <c r="A379" t="s">
        <v>76</v>
      </c>
      <c r="B379" s="102" t="n">
        <v>2038</v>
      </c>
      <c r="C379" s="103" t="str">
        <f>SUMIFS('Annual_Cost'!$Q$2:$Q$807,'Annual_Cost'!$A$2:$A$807,A379,'Annual_Cost'!$B$2:$B$807,B379)</f>
      </c>
      <c r="D379" s="104" t="str">
        <f>SUMIFS('Annual_Cost'!$R$2:$R$807,'Annual_Cost'!$A$2:$A$807,A379,'Annual_Cost'!$B$2:$B$807,B379)</f>
      </c>
      <c r="E379" s="105" t="str">
        <f>SUMIFS('Annual_Cost'!$S$2:$S$807,'Annual_Cost'!$A$2:$A$807,A379,'Annual_Cost'!$B$2:$B$807,B379)</f>
      </c>
      <c r="F379" s="106" t="str">
        <f>SUMIFS('Annual_Cost'!$W$2:$W$807,'Annual_Cost'!$A$2:$A$807,A379,'Annual_Cost'!$B$2:$B$807,B379)</f>
      </c>
      <c r="G379" s="107" t="str">
        <f>SUMIFS($E$2:E379,$A$2:A379,A379)</f>
      </c>
      <c r="H379" s="108" t="str">
        <f>SUMIFS($F$2:F379,$A$2:A379,A379)</f>
      </c>
    </row>
    <row r="380">
      <c r="A380" t="s">
        <v>76</v>
      </c>
      <c r="B380" s="102" t="n">
        <v>2039</v>
      </c>
      <c r="C380" s="103" t="str">
        <f>SUMIFS('Annual_Cost'!$Q$2:$Q$807,'Annual_Cost'!$A$2:$A$807,A380,'Annual_Cost'!$B$2:$B$807,B380)</f>
      </c>
      <c r="D380" s="104" t="str">
        <f>SUMIFS('Annual_Cost'!$R$2:$R$807,'Annual_Cost'!$A$2:$A$807,A380,'Annual_Cost'!$B$2:$B$807,B380)</f>
      </c>
      <c r="E380" s="105" t="str">
        <f>SUMIFS('Annual_Cost'!$S$2:$S$807,'Annual_Cost'!$A$2:$A$807,A380,'Annual_Cost'!$B$2:$B$807,B380)</f>
      </c>
      <c r="F380" s="106" t="str">
        <f>SUMIFS('Annual_Cost'!$W$2:$W$807,'Annual_Cost'!$A$2:$A$807,A380,'Annual_Cost'!$B$2:$B$807,B380)</f>
      </c>
      <c r="G380" s="107" t="str">
        <f>SUMIFS($E$2:E380,$A$2:A380,A380)</f>
      </c>
      <c r="H380" s="108" t="str">
        <f>SUMIFS($F$2:F380,$A$2:A380,A380)</f>
      </c>
    </row>
    <row r="381">
      <c r="A381" t="s">
        <v>76</v>
      </c>
      <c r="B381" s="102" t="n">
        <v>2040</v>
      </c>
      <c r="C381" s="103" t="str">
        <f>SUMIFS('Annual_Cost'!$Q$2:$Q$807,'Annual_Cost'!$A$2:$A$807,A381,'Annual_Cost'!$B$2:$B$807,B381)</f>
      </c>
      <c r="D381" s="104" t="str">
        <f>SUMIFS('Annual_Cost'!$R$2:$R$807,'Annual_Cost'!$A$2:$A$807,A381,'Annual_Cost'!$B$2:$B$807,B381)</f>
      </c>
      <c r="E381" s="105" t="str">
        <f>SUMIFS('Annual_Cost'!$S$2:$S$807,'Annual_Cost'!$A$2:$A$807,A381,'Annual_Cost'!$B$2:$B$807,B381)</f>
      </c>
      <c r="F381" s="106" t="str">
        <f>SUMIFS('Annual_Cost'!$W$2:$W$807,'Annual_Cost'!$A$2:$A$807,A381,'Annual_Cost'!$B$2:$B$807,B381)</f>
      </c>
      <c r="G381" s="107" t="str">
        <f>SUMIFS($E$2:E381,$A$2:A381,A381)</f>
      </c>
      <c r="H381" s="108" t="str">
        <f>SUMIFS($F$2:F381,$A$2:A381,A381)</f>
      </c>
    </row>
    <row r="382">
      <c r="A382" t="s">
        <v>76</v>
      </c>
      <c r="B382" s="102" t="n">
        <v>2041</v>
      </c>
      <c r="C382" s="103" t="str">
        <f>SUMIFS('Annual_Cost'!$Q$2:$Q$807,'Annual_Cost'!$A$2:$A$807,A382,'Annual_Cost'!$B$2:$B$807,B382)</f>
      </c>
      <c r="D382" s="104" t="str">
        <f>SUMIFS('Annual_Cost'!$R$2:$R$807,'Annual_Cost'!$A$2:$A$807,A382,'Annual_Cost'!$B$2:$B$807,B382)</f>
      </c>
      <c r="E382" s="105" t="str">
        <f>SUMIFS('Annual_Cost'!$S$2:$S$807,'Annual_Cost'!$A$2:$A$807,A382,'Annual_Cost'!$B$2:$B$807,B382)</f>
      </c>
      <c r="F382" s="106" t="str">
        <f>SUMIFS('Annual_Cost'!$W$2:$W$807,'Annual_Cost'!$A$2:$A$807,A382,'Annual_Cost'!$B$2:$B$807,B382)</f>
      </c>
      <c r="G382" s="107" t="str">
        <f>SUMIFS($E$2:E382,$A$2:A382,A382)</f>
      </c>
      <c r="H382" s="108" t="str">
        <f>SUMIFS($F$2:F382,$A$2:A382,A382)</f>
      </c>
    </row>
    <row r="383">
      <c r="A383" t="s">
        <v>76</v>
      </c>
      <c r="B383" s="102" t="n">
        <v>2042</v>
      </c>
      <c r="C383" s="103" t="str">
        <f>SUMIFS('Annual_Cost'!$Q$2:$Q$807,'Annual_Cost'!$A$2:$A$807,A383,'Annual_Cost'!$B$2:$B$807,B383)</f>
      </c>
      <c r="D383" s="104" t="str">
        <f>SUMIFS('Annual_Cost'!$R$2:$R$807,'Annual_Cost'!$A$2:$A$807,A383,'Annual_Cost'!$B$2:$B$807,B383)</f>
      </c>
      <c r="E383" s="105" t="str">
        <f>SUMIFS('Annual_Cost'!$S$2:$S$807,'Annual_Cost'!$A$2:$A$807,A383,'Annual_Cost'!$B$2:$B$807,B383)</f>
      </c>
      <c r="F383" s="106" t="str">
        <f>SUMIFS('Annual_Cost'!$W$2:$W$807,'Annual_Cost'!$A$2:$A$807,A383,'Annual_Cost'!$B$2:$B$807,B383)</f>
      </c>
      <c r="G383" s="107" t="str">
        <f>SUMIFS($E$2:E383,$A$2:A383,A383)</f>
      </c>
      <c r="H383" s="108" t="str">
        <f>SUMIFS($F$2:F383,$A$2:A383,A383)</f>
      </c>
    </row>
    <row r="384">
      <c r="A384" t="s">
        <v>76</v>
      </c>
      <c r="B384" s="102" t="n">
        <v>2043</v>
      </c>
      <c r="C384" s="103" t="str">
        <f>SUMIFS('Annual_Cost'!$Q$2:$Q$807,'Annual_Cost'!$A$2:$A$807,A384,'Annual_Cost'!$B$2:$B$807,B384)</f>
      </c>
      <c r="D384" s="104" t="str">
        <f>SUMIFS('Annual_Cost'!$R$2:$R$807,'Annual_Cost'!$A$2:$A$807,A384,'Annual_Cost'!$B$2:$B$807,B384)</f>
      </c>
      <c r="E384" s="105" t="str">
        <f>SUMIFS('Annual_Cost'!$S$2:$S$807,'Annual_Cost'!$A$2:$A$807,A384,'Annual_Cost'!$B$2:$B$807,B384)</f>
      </c>
      <c r="F384" s="106" t="str">
        <f>SUMIFS('Annual_Cost'!$W$2:$W$807,'Annual_Cost'!$A$2:$A$807,A384,'Annual_Cost'!$B$2:$B$807,B384)</f>
      </c>
      <c r="G384" s="107" t="str">
        <f>SUMIFS($E$2:E384,$A$2:A384,A384)</f>
      </c>
      <c r="H384" s="108" t="str">
        <f>SUMIFS($F$2:F384,$A$2:A384,A384)</f>
      </c>
    </row>
    <row r="385">
      <c r="A385" t="s">
        <v>76</v>
      </c>
      <c r="B385" s="102" t="n">
        <v>2044</v>
      </c>
      <c r="C385" s="103" t="str">
        <f>SUMIFS('Annual_Cost'!$Q$2:$Q$807,'Annual_Cost'!$A$2:$A$807,A385,'Annual_Cost'!$B$2:$B$807,B385)</f>
      </c>
      <c r="D385" s="104" t="str">
        <f>SUMIFS('Annual_Cost'!$R$2:$R$807,'Annual_Cost'!$A$2:$A$807,A385,'Annual_Cost'!$B$2:$B$807,B385)</f>
      </c>
      <c r="E385" s="105" t="str">
        <f>SUMIFS('Annual_Cost'!$S$2:$S$807,'Annual_Cost'!$A$2:$A$807,A385,'Annual_Cost'!$B$2:$B$807,B385)</f>
      </c>
      <c r="F385" s="106" t="str">
        <f>SUMIFS('Annual_Cost'!$W$2:$W$807,'Annual_Cost'!$A$2:$A$807,A385,'Annual_Cost'!$B$2:$B$807,B385)</f>
      </c>
      <c r="G385" s="107" t="str">
        <f>SUMIFS($E$2:E385,$A$2:A385,A385)</f>
      </c>
      <c r="H385" s="108" t="str">
        <f>SUMIFS($F$2:F385,$A$2:A385,A385)</f>
      </c>
    </row>
    <row r="386">
      <c r="A386" t="s">
        <v>76</v>
      </c>
      <c r="B386" s="102" t="n">
        <v>2045</v>
      </c>
      <c r="C386" s="103" t="str">
        <f>SUMIFS('Annual_Cost'!$Q$2:$Q$807,'Annual_Cost'!$A$2:$A$807,A386,'Annual_Cost'!$B$2:$B$807,B386)</f>
      </c>
      <c r="D386" s="104" t="str">
        <f>SUMIFS('Annual_Cost'!$R$2:$R$807,'Annual_Cost'!$A$2:$A$807,A386,'Annual_Cost'!$B$2:$B$807,B386)</f>
      </c>
      <c r="E386" s="105" t="str">
        <f>SUMIFS('Annual_Cost'!$S$2:$S$807,'Annual_Cost'!$A$2:$A$807,A386,'Annual_Cost'!$B$2:$B$807,B386)</f>
      </c>
      <c r="F386" s="106" t="str">
        <f>SUMIFS('Annual_Cost'!$W$2:$W$807,'Annual_Cost'!$A$2:$A$807,A386,'Annual_Cost'!$B$2:$B$807,B386)</f>
      </c>
      <c r="G386" s="107" t="str">
        <f>SUMIFS($E$2:E386,$A$2:A386,A386)</f>
      </c>
      <c r="H386" s="108" t="str">
        <f>SUMIFS($F$2:F386,$A$2:A386,A386)</f>
      </c>
    </row>
    <row r="387">
      <c r="A387" t="s">
        <v>76</v>
      </c>
      <c r="B387" s="102" t="n">
        <v>2046</v>
      </c>
      <c r="C387" s="103" t="str">
        <f>SUMIFS('Annual_Cost'!$Q$2:$Q$807,'Annual_Cost'!$A$2:$A$807,A387,'Annual_Cost'!$B$2:$B$807,B387)</f>
      </c>
      <c r="D387" s="104" t="str">
        <f>SUMIFS('Annual_Cost'!$R$2:$R$807,'Annual_Cost'!$A$2:$A$807,A387,'Annual_Cost'!$B$2:$B$807,B387)</f>
      </c>
      <c r="E387" s="105" t="str">
        <f>SUMIFS('Annual_Cost'!$S$2:$S$807,'Annual_Cost'!$A$2:$A$807,A387,'Annual_Cost'!$B$2:$B$807,B387)</f>
      </c>
      <c r="F387" s="106" t="str">
        <f>SUMIFS('Annual_Cost'!$W$2:$W$807,'Annual_Cost'!$A$2:$A$807,A387,'Annual_Cost'!$B$2:$B$807,B387)</f>
      </c>
      <c r="G387" s="107" t="str">
        <f>SUMIFS($E$2:E387,$A$2:A387,A387)</f>
      </c>
      <c r="H387" s="108" t="str">
        <f>SUMIFS($F$2:F387,$A$2:A387,A387)</f>
      </c>
    </row>
    <row r="388">
      <c r="A388" t="s">
        <v>76</v>
      </c>
      <c r="B388" s="102" t="n">
        <v>2047</v>
      </c>
      <c r="C388" s="103" t="str">
        <f>SUMIFS('Annual_Cost'!$Q$2:$Q$807,'Annual_Cost'!$A$2:$A$807,A388,'Annual_Cost'!$B$2:$B$807,B388)</f>
      </c>
      <c r="D388" s="104" t="str">
        <f>SUMIFS('Annual_Cost'!$R$2:$R$807,'Annual_Cost'!$A$2:$A$807,A388,'Annual_Cost'!$B$2:$B$807,B388)</f>
      </c>
      <c r="E388" s="105" t="str">
        <f>SUMIFS('Annual_Cost'!$S$2:$S$807,'Annual_Cost'!$A$2:$A$807,A388,'Annual_Cost'!$B$2:$B$807,B388)</f>
      </c>
      <c r="F388" s="106" t="str">
        <f>SUMIFS('Annual_Cost'!$W$2:$W$807,'Annual_Cost'!$A$2:$A$807,A388,'Annual_Cost'!$B$2:$B$807,B388)</f>
      </c>
      <c r="G388" s="107" t="str">
        <f>SUMIFS($E$2:E388,$A$2:A388,A388)</f>
      </c>
      <c r="H388" s="108" t="str">
        <f>SUMIFS($F$2:F388,$A$2:A388,A388)</f>
      </c>
    </row>
    <row r="389">
      <c r="A389" t="s">
        <v>76</v>
      </c>
      <c r="B389" s="102" t="n">
        <v>2048</v>
      </c>
      <c r="C389" s="103" t="str">
        <f>SUMIFS('Annual_Cost'!$Q$2:$Q$807,'Annual_Cost'!$A$2:$A$807,A389,'Annual_Cost'!$B$2:$B$807,B389)</f>
      </c>
      <c r="D389" s="104" t="str">
        <f>SUMIFS('Annual_Cost'!$R$2:$R$807,'Annual_Cost'!$A$2:$A$807,A389,'Annual_Cost'!$B$2:$B$807,B389)</f>
      </c>
      <c r="E389" s="105" t="str">
        <f>SUMIFS('Annual_Cost'!$S$2:$S$807,'Annual_Cost'!$A$2:$A$807,A389,'Annual_Cost'!$B$2:$B$807,B389)</f>
      </c>
      <c r="F389" s="106" t="str">
        <f>SUMIFS('Annual_Cost'!$W$2:$W$807,'Annual_Cost'!$A$2:$A$807,A389,'Annual_Cost'!$B$2:$B$807,B389)</f>
      </c>
      <c r="G389" s="107" t="str">
        <f>SUMIFS($E$2:E389,$A$2:A389,A389)</f>
      </c>
      <c r="H389" s="108" t="str">
        <f>SUMIFS($F$2:F389,$A$2:A389,A389)</f>
      </c>
    </row>
    <row r="390">
      <c r="A390" t="s">
        <v>76</v>
      </c>
      <c r="B390" s="102" t="n">
        <v>2049</v>
      </c>
      <c r="C390" s="103" t="str">
        <f>SUMIFS('Annual_Cost'!$Q$2:$Q$807,'Annual_Cost'!$A$2:$A$807,A390,'Annual_Cost'!$B$2:$B$807,B390)</f>
      </c>
      <c r="D390" s="104" t="str">
        <f>SUMIFS('Annual_Cost'!$R$2:$R$807,'Annual_Cost'!$A$2:$A$807,A390,'Annual_Cost'!$B$2:$B$807,B390)</f>
      </c>
      <c r="E390" s="105" t="str">
        <f>SUMIFS('Annual_Cost'!$S$2:$S$807,'Annual_Cost'!$A$2:$A$807,A390,'Annual_Cost'!$B$2:$B$807,B390)</f>
      </c>
      <c r="F390" s="106" t="str">
        <f>SUMIFS('Annual_Cost'!$W$2:$W$807,'Annual_Cost'!$A$2:$A$807,A390,'Annual_Cost'!$B$2:$B$807,B390)</f>
      </c>
      <c r="G390" s="107" t="str">
        <f>SUMIFS($E$2:E390,$A$2:A390,A390)</f>
      </c>
      <c r="H390" s="108" t="str">
        <f>SUMIFS($F$2:F390,$A$2:A390,A390)</f>
      </c>
    </row>
    <row r="391">
      <c r="A391" t="s">
        <v>76</v>
      </c>
      <c r="B391" s="102" t="n">
        <v>2050</v>
      </c>
      <c r="C391" s="103" t="str">
        <f>SUMIFS('Annual_Cost'!$Q$2:$Q$807,'Annual_Cost'!$A$2:$A$807,A391,'Annual_Cost'!$B$2:$B$807,B391)</f>
      </c>
      <c r="D391" s="104" t="str">
        <f>SUMIFS('Annual_Cost'!$R$2:$R$807,'Annual_Cost'!$A$2:$A$807,A391,'Annual_Cost'!$B$2:$B$807,B391)</f>
      </c>
      <c r="E391" s="105" t="str">
        <f>SUMIFS('Annual_Cost'!$S$2:$S$807,'Annual_Cost'!$A$2:$A$807,A391,'Annual_Cost'!$B$2:$B$807,B391)</f>
      </c>
      <c r="F391" s="106" t="str">
        <f>SUMIFS('Annual_Cost'!$W$2:$W$807,'Annual_Cost'!$A$2:$A$807,A391,'Annual_Cost'!$B$2:$B$807,B391)</f>
      </c>
      <c r="G391" s="107" t="str">
        <f>SUMIFS($E$2:E391,$A$2:A391,A391)</f>
      </c>
      <c r="H391" s="108" t="str">
        <f>SUMIFS($F$2:F391,$A$2:A391,A391)</f>
      </c>
    </row>
  </sheetData>
  <autoFilter ref="A1:H1"/>
  <pageMargins left="0.7" right="0.7" top="0.75" bottom="0.75" header="0.3" footer="0.3"/>
  <pageSetup paperSize="9"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16.71" hidden="0" customWidth="1"/>
    <col min="4" max="4" width="15.71" hidden="0" customWidth="1"/>
    <col min="5" max="5" width="18.71" hidden="0" customWidth="1"/>
    <col min="6" max="6" width="23.71" hidden="0" customWidth="1"/>
    <col min="7" max="7" width="24.71" hidden="0" customWidth="1"/>
    <col min="8" max="8" width="11.71" hidden="0" customWidth="1"/>
    <col min="9" max="9" width="23.71" hidden="0" customWidth="1"/>
  </cols>
  <sheetData>
    <row r="1" ht="28" customHeight="1">
      <c r="A1" s="1" t="s">
        <v>415</v>
      </c>
      <c r="B1" s="1" t="s">
        <v>416</v>
      </c>
      <c r="C1" s="1" t="s">
        <v>422</v>
      </c>
      <c r="D1" s="1" t="s">
        <v>423</v>
      </c>
      <c r="E1" s="1" t="s">
        <v>443</v>
      </c>
      <c r="F1" s="1" t="s">
        <v>444</v>
      </c>
      <c r="G1" s="1" t="s">
        <v>447</v>
      </c>
      <c r="H1" s="1" t="s">
        <v>448</v>
      </c>
      <c r="I1" s="1" t="s">
        <v>449</v>
      </c>
    </row>
    <row r="2">
      <c r="A2" t="s">
        <v>76</v>
      </c>
      <c r="B2" s="21" t="s">
        <v>427</v>
      </c>
      <c r="C2" s="109" t="str">
        <f>SUMIFS('Annual_Mortality'!$I$2:$I$2731,'Annual_Mortality'!$A$2:$A$2731,A2)</f>
      </c>
      <c r="D2" s="110" t="str">
        <f>SUMIFS('Annual_Mortality'!$J$2:$J$2731,'Annual_Mortality'!$A$2:$A$2731,A2)</f>
      </c>
      <c r="E2" s="111" t="str">
        <f>SUMIFS('Budget_Impact'!$E$2:$E$391,'Budget_Impact'!$A$2:$A$391,A2)</f>
      </c>
      <c r="F2" s="112" t="str">
        <f>SUMIFS('Budget_Impact'!$F$2:$F$391,'Budget_Impact'!$A$2:$A$391,A2)</f>
      </c>
      <c r="G2" s="113" t="str">
        <f>IF(C2&gt;0,F2/C2,"")</f>
      </c>
      <c r="H2" s="114" t="str">
        <f>IF(AND(C2&gt;0,F2&lt;0),"Dominant (more health, lower cost)",IF(AND(C2&lt;=0,F2&gt;0),"Dominated (less/no health, higher cost)",IF(AND(C2&lt;=0,F2&lt;=0),"No deaths averted; ratio not defined","USD per death averted")))</f>
      </c>
      <c r="I2" s="23" t="str">
        <f>IF(AND(ABS(F2-SUMIFS('Budget_Impact'!$F$2:$F$391,'Budget_Impact'!$A$2:$A$391,A2))&lt;='Calculation_Assumptions'!$B$15,ABS(C2-SUMIFS('Annual_Mortality'!$I$2:$I$2731,'Annual_Mortality'!$A$2:$A$2731,A2))&lt;='Calculation_Assumptions'!$B$15),"consistent","mismatch")</f>
      </c>
    </row>
    <row r="3">
      <c r="A3" t="s">
        <v>207</v>
      </c>
      <c r="B3" s="21" t="s">
        <v>425</v>
      </c>
      <c r="C3" s="109" t="str">
        <f>SUMIFS('Annual_Mortality'!$I$2:$I$2731,'Annual_Mortality'!$A$2:$A$2731,A3)</f>
      </c>
      <c r="D3" s="110" t="str">
        <f>SUMIFS('Annual_Mortality'!$J$2:$J$2731,'Annual_Mortality'!$A$2:$A$2731,A3)</f>
      </c>
      <c r="E3" s="111" t="str">
        <f>SUMIFS('Budget_Impact'!$E$2:$E$391,'Budget_Impact'!$A$2:$A$391,A3)</f>
      </c>
      <c r="F3" s="112" t="str">
        <f>SUMIFS('Budget_Impact'!$F$2:$F$391,'Budget_Impact'!$A$2:$A$391,A3)</f>
      </c>
      <c r="G3" s="113" t="str">
        <f>IF(C3&gt;0,F3/C3,"")</f>
      </c>
      <c r="H3" s="114" t="str">
        <f>IF(AND(C3&gt;0,F3&lt;0),"Dominant (more health, lower cost)",IF(AND(C3&lt;=0,F3&gt;0),"Dominated (less/no health, higher cost)",IF(AND(C3&lt;=0,F3&lt;=0),"No deaths averted; ratio not defined","USD per death averted")))</f>
      </c>
      <c r="I3" s="23" t="str">
        <f>IF(AND(ABS(F3-SUMIFS('Budget_Impact'!$F$2:$F$391,'Budget_Impact'!$A$2:$A$391,A3))&lt;='Calculation_Assumptions'!$B$15,ABS(C3-SUMIFS('Annual_Mortality'!$I$2:$I$2731,'Annual_Mortality'!$A$2:$A$2731,A3))&lt;='Calculation_Assumptions'!$B$15),"consistent","mismatch")</f>
      </c>
    </row>
    <row r="4">
      <c r="A4" t="s">
        <v>226</v>
      </c>
      <c r="B4" s="21" t="s">
        <v>228</v>
      </c>
      <c r="C4" s="109" t="str">
        <f>SUMIFS('Annual_Mortality'!$I$2:$I$2731,'Annual_Mortality'!$A$2:$A$2731,A4)</f>
      </c>
      <c r="D4" s="110" t="str">
        <f>SUMIFS('Annual_Mortality'!$J$2:$J$2731,'Annual_Mortality'!$A$2:$A$2731,A4)</f>
      </c>
      <c r="E4" s="111" t="str">
        <f>SUMIFS('Budget_Impact'!$E$2:$E$391,'Budget_Impact'!$A$2:$A$391,A4)</f>
      </c>
      <c r="F4" s="112" t="str">
        <f>SUMIFS('Budget_Impact'!$F$2:$F$391,'Budget_Impact'!$A$2:$A$391,A4)</f>
      </c>
      <c r="G4" s="113" t="str">
        <f>IF(C4&gt;0,F4/C4,"")</f>
      </c>
      <c r="H4" s="114" t="str">
        <f>IF(AND(C4&gt;0,F4&lt;0),"Dominant (more health, lower cost)",IF(AND(C4&lt;=0,F4&gt;0),"Dominated (less/no health, higher cost)",IF(AND(C4&lt;=0,F4&lt;=0),"No deaths averted; ratio not defined","USD per death averted")))</f>
      </c>
      <c r="I4" s="23" t="str">
        <f>IF(AND(ABS(F4-SUMIFS('Budget_Impact'!$F$2:$F$391,'Budget_Impact'!$A$2:$A$391,A4))&lt;='Calculation_Assumptions'!$B$15,ABS(C4-SUMIFS('Annual_Mortality'!$I$2:$I$2731,'Annual_Mortality'!$A$2:$A$2731,A4))&lt;='Calculation_Assumptions'!$B$15),"consistent","mismatch")</f>
      </c>
    </row>
    <row r="5">
      <c r="A5" t="s">
        <v>249</v>
      </c>
      <c r="B5" s="21" t="s">
        <v>251</v>
      </c>
      <c r="C5" s="109" t="str">
        <f>SUMIFS('Annual_Mortality'!$I$2:$I$2731,'Annual_Mortality'!$A$2:$A$2731,A5)</f>
      </c>
      <c r="D5" s="110" t="str">
        <f>SUMIFS('Annual_Mortality'!$J$2:$J$2731,'Annual_Mortality'!$A$2:$A$2731,A5)</f>
      </c>
      <c r="E5" s="111" t="str">
        <f>SUMIFS('Budget_Impact'!$E$2:$E$391,'Budget_Impact'!$A$2:$A$391,A5)</f>
      </c>
      <c r="F5" s="112" t="str">
        <f>SUMIFS('Budget_Impact'!$F$2:$F$391,'Budget_Impact'!$A$2:$A$391,A5)</f>
      </c>
      <c r="G5" s="113" t="str">
        <f>IF(C5&gt;0,F5/C5,"")</f>
      </c>
      <c r="H5" s="114" t="str">
        <f>IF(AND(C5&gt;0,F5&lt;0),"Dominant (more health, lower cost)",IF(AND(C5&lt;=0,F5&gt;0),"Dominated (less/no health, higher cost)",IF(AND(C5&lt;=0,F5&lt;=0),"No deaths averted; ratio not defined","USD per death averted")))</f>
      </c>
      <c r="I5" s="23" t="str">
        <f>IF(AND(ABS(F5-SUMIFS('Budget_Impact'!$F$2:$F$391,'Budget_Impact'!$A$2:$A$391,A5))&lt;='Calculation_Assumptions'!$B$15,ABS(C5-SUMIFS('Annual_Mortality'!$I$2:$I$2731,'Annual_Mortality'!$A$2:$A$2731,A5))&lt;='Calculation_Assumptions'!$B$15),"consistent","mismatch")</f>
      </c>
    </row>
    <row r="6">
      <c r="A6" t="s">
        <v>212</v>
      </c>
      <c r="B6" s="21" t="s">
        <v>214</v>
      </c>
      <c r="C6" s="109" t="str">
        <f>SUMIFS('Annual_Mortality'!$I$2:$I$2731,'Annual_Mortality'!$A$2:$A$2731,A6)</f>
      </c>
      <c r="D6" s="110" t="str">
        <f>SUMIFS('Annual_Mortality'!$J$2:$J$2731,'Annual_Mortality'!$A$2:$A$2731,A6)</f>
      </c>
      <c r="E6" s="111" t="str">
        <f>SUMIFS('Budget_Impact'!$E$2:$E$391,'Budget_Impact'!$A$2:$A$391,A6)</f>
      </c>
      <c r="F6" s="112" t="str">
        <f>SUMIFS('Budget_Impact'!$F$2:$F$391,'Budget_Impact'!$A$2:$A$391,A6)</f>
      </c>
      <c r="G6" s="113" t="str">
        <f>IF(C6&gt;0,F6/C6,"")</f>
      </c>
      <c r="H6" s="114" t="str">
        <f>IF(AND(C6&gt;0,F6&lt;0),"Dominant (more health, lower cost)",IF(AND(C6&lt;=0,F6&gt;0),"Dominated (less/no health, higher cost)",IF(AND(C6&lt;=0,F6&lt;=0),"No deaths averted; ratio not defined","USD per death averted")))</f>
      </c>
      <c r="I6" s="23" t="str">
        <f>IF(AND(ABS(F6-SUMIFS('Budget_Impact'!$F$2:$F$391,'Budget_Impact'!$A$2:$A$391,A6))&lt;='Calculation_Assumptions'!$B$15,ABS(C6-SUMIFS('Annual_Mortality'!$I$2:$I$2731,'Annual_Mortality'!$A$2:$A$2731,A6))&lt;='Calculation_Assumptions'!$B$15),"consistent","mismatch")</f>
      </c>
    </row>
    <row r="7">
      <c r="A7" t="s">
        <v>202</v>
      </c>
      <c r="B7" s="21" t="s">
        <v>204</v>
      </c>
      <c r="C7" s="109" t="str">
        <f>SUMIFS('Annual_Mortality'!$I$2:$I$2731,'Annual_Mortality'!$A$2:$A$2731,A7)</f>
      </c>
      <c r="D7" s="110" t="str">
        <f>SUMIFS('Annual_Mortality'!$J$2:$J$2731,'Annual_Mortality'!$A$2:$A$2731,A7)</f>
      </c>
      <c r="E7" s="111" t="str">
        <f>SUMIFS('Budget_Impact'!$E$2:$E$391,'Budget_Impact'!$A$2:$A$391,A7)</f>
      </c>
      <c r="F7" s="112" t="str">
        <f>SUMIFS('Budget_Impact'!$F$2:$F$391,'Budget_Impact'!$A$2:$A$391,A7)</f>
      </c>
      <c r="G7" s="113" t="str">
        <f>IF(C7&gt;0,F7/C7,"")</f>
      </c>
      <c r="H7" s="114" t="str">
        <f>IF(AND(C7&gt;0,F7&lt;0),"Dominant (more health, lower cost)",IF(AND(C7&lt;=0,F7&gt;0),"Dominated (less/no health, higher cost)",IF(AND(C7&lt;=0,F7&lt;=0),"No deaths averted; ratio not defined","USD per death averted")))</f>
      </c>
      <c r="I7" s="23" t="str">
        <f>IF(AND(ABS(F7-SUMIFS('Budget_Impact'!$F$2:$F$391,'Budget_Impact'!$A$2:$A$391,A7))&lt;='Calculation_Assumptions'!$B$15,ABS(C7-SUMIFS('Annual_Mortality'!$I$2:$I$2731,'Annual_Mortality'!$A$2:$A$2731,A7))&lt;='Calculation_Assumptions'!$B$15),"consistent","mismatch")</f>
      </c>
    </row>
    <row r="8">
      <c r="A8" t="s">
        <v>263</v>
      </c>
      <c r="B8" s="21" t="s">
        <v>426</v>
      </c>
      <c r="C8" s="109" t="str">
        <f>SUMIFS('Annual_Mortality'!$I$2:$I$2731,'Annual_Mortality'!$A$2:$A$2731,A8)</f>
      </c>
      <c r="D8" s="110" t="str">
        <f>SUMIFS('Annual_Mortality'!$J$2:$J$2731,'Annual_Mortality'!$A$2:$A$2731,A8)</f>
      </c>
      <c r="E8" s="111" t="str">
        <f>SUMIFS('Budget_Impact'!$E$2:$E$391,'Budget_Impact'!$A$2:$A$391,A8)</f>
      </c>
      <c r="F8" s="112" t="str">
        <f>SUMIFS('Budget_Impact'!$F$2:$F$391,'Budget_Impact'!$A$2:$A$391,A8)</f>
      </c>
      <c r="G8" s="113" t="str">
        <f>IF(C8&gt;0,F8/C8,"")</f>
      </c>
      <c r="H8" s="114" t="str">
        <f>IF(AND(C8&gt;0,F8&lt;0),"Dominant (more health, lower cost)",IF(AND(C8&lt;=0,F8&gt;0),"Dominated (less/no health, higher cost)",IF(AND(C8&lt;=0,F8&lt;=0),"No deaths averted; ratio not defined","USD per death averted")))</f>
      </c>
      <c r="I8" s="23" t="str">
        <f>IF(AND(ABS(F8-SUMIFS('Budget_Impact'!$F$2:$F$391,'Budget_Impact'!$A$2:$A$391,A8))&lt;='Calculation_Assumptions'!$B$15,ABS(C8-SUMIFS('Annual_Mortality'!$I$2:$I$2731,'Annual_Mortality'!$A$2:$A$2731,A8))&lt;='Calculation_Assumptions'!$B$15),"consistent","mismatch")</f>
      </c>
    </row>
    <row r="9">
      <c r="A9" t="s">
        <v>244</v>
      </c>
      <c r="B9" s="21" t="s">
        <v>246</v>
      </c>
      <c r="C9" s="109" t="str">
        <f>SUMIFS('Annual_Mortality'!$I$2:$I$2731,'Annual_Mortality'!$A$2:$A$2731,A9)</f>
      </c>
      <c r="D9" s="110" t="str">
        <f>SUMIFS('Annual_Mortality'!$J$2:$J$2731,'Annual_Mortality'!$A$2:$A$2731,A9)</f>
      </c>
      <c r="E9" s="111" t="str">
        <f>SUMIFS('Budget_Impact'!$E$2:$E$391,'Budget_Impact'!$A$2:$A$391,A9)</f>
      </c>
      <c r="F9" s="112" t="str">
        <f>SUMIFS('Budget_Impact'!$F$2:$F$391,'Budget_Impact'!$A$2:$A$391,A9)</f>
      </c>
      <c r="G9" s="113" t="str">
        <f>IF(C9&gt;0,F9/C9,"")</f>
      </c>
      <c r="H9" s="114" t="str">
        <f>IF(AND(C9&gt;0,F9&lt;0),"Dominant (more health, lower cost)",IF(AND(C9&lt;=0,F9&gt;0),"Dominated (less/no health, higher cost)",IF(AND(C9&lt;=0,F9&lt;=0),"No deaths averted; ratio not defined","USD per death averted")))</f>
      </c>
      <c r="I9" s="23" t="str">
        <f>IF(AND(ABS(F9-SUMIFS('Budget_Impact'!$F$2:$F$391,'Budget_Impact'!$A$2:$A$391,A9))&lt;='Calculation_Assumptions'!$B$15,ABS(C9-SUMIFS('Annual_Mortality'!$I$2:$I$2731,'Annual_Mortality'!$A$2:$A$2731,A9))&lt;='Calculation_Assumptions'!$B$15),"consistent","mismatch")</f>
      </c>
    </row>
    <row r="10">
      <c r="A10" t="s">
        <v>274</v>
      </c>
      <c r="B10" s="21" t="s">
        <v>276</v>
      </c>
      <c r="C10" s="109" t="str">
        <f>SUMIFS('Annual_Mortality'!$I$2:$I$2731,'Annual_Mortality'!$A$2:$A$2731,A10)</f>
      </c>
      <c r="D10" s="110" t="str">
        <f>SUMIFS('Annual_Mortality'!$J$2:$J$2731,'Annual_Mortality'!$A$2:$A$2731,A10)</f>
      </c>
      <c r="E10" s="111" t="str">
        <f>SUMIFS('Budget_Impact'!$E$2:$E$391,'Budget_Impact'!$A$2:$A$391,A10)</f>
      </c>
      <c r="F10" s="112" t="str">
        <f>SUMIFS('Budget_Impact'!$F$2:$F$391,'Budget_Impact'!$A$2:$A$391,A10)</f>
      </c>
      <c r="G10" s="113" t="str">
        <f>IF(C10&gt;0,F10/C10,"")</f>
      </c>
      <c r="H10" s="114" t="str">
        <f>IF(AND(C10&gt;0,F10&lt;0),"Dominant (more health, lower cost)",IF(AND(C10&lt;=0,F10&gt;0),"Dominated (less/no health, higher cost)",IF(AND(C10&lt;=0,F10&lt;=0),"No deaths averted; ratio not defined","USD per death averted")))</f>
      </c>
      <c r="I10" s="23" t="str">
        <f>IF(AND(ABS(F10-SUMIFS('Budget_Impact'!$F$2:$F$391,'Budget_Impact'!$A$2:$A$391,A10))&lt;='Calculation_Assumptions'!$B$15,ABS(C10-SUMIFS('Annual_Mortality'!$I$2:$I$2731,'Annual_Mortality'!$A$2:$A$2731,A10))&lt;='Calculation_Assumptions'!$B$15),"consistent","mismatch")</f>
      </c>
    </row>
    <row r="11">
      <c r="A11" t="s">
        <v>267</v>
      </c>
      <c r="B11" s="21" t="s">
        <v>269</v>
      </c>
      <c r="C11" s="109" t="str">
        <f>SUMIFS('Annual_Mortality'!$I$2:$I$2731,'Annual_Mortality'!$A$2:$A$2731,A11)</f>
      </c>
      <c r="D11" s="110" t="str">
        <f>SUMIFS('Annual_Mortality'!$J$2:$J$2731,'Annual_Mortality'!$A$2:$A$2731,A11)</f>
      </c>
      <c r="E11" s="111" t="str">
        <f>SUMIFS('Budget_Impact'!$E$2:$E$391,'Budget_Impact'!$A$2:$A$391,A11)</f>
      </c>
      <c r="F11" s="112" t="str">
        <f>SUMIFS('Budget_Impact'!$F$2:$F$391,'Budget_Impact'!$A$2:$A$391,A11)</f>
      </c>
      <c r="G11" s="113" t="str">
        <f>IF(C11&gt;0,F11/C11,"")</f>
      </c>
      <c r="H11" s="114" t="str">
        <f>IF(AND(C11&gt;0,F11&lt;0),"Dominant (more health, lower cost)",IF(AND(C11&lt;=0,F11&gt;0),"Dominated (less/no health, higher cost)",IF(AND(C11&lt;=0,F11&lt;=0),"No deaths averted; ratio not defined","USD per death averted")))</f>
      </c>
      <c r="I11" s="23" t="str">
        <f>IF(AND(ABS(F11-SUMIFS('Budget_Impact'!$F$2:$F$391,'Budget_Impact'!$A$2:$A$391,A11))&lt;='Calculation_Assumptions'!$B$15,ABS(C11-SUMIFS('Annual_Mortality'!$I$2:$I$2731,'Annual_Mortality'!$A$2:$A$2731,A11))&lt;='Calculation_Assumptions'!$B$15),"consistent","mismatch")</f>
      </c>
    </row>
    <row r="12">
      <c r="A12" t="s">
        <v>233</v>
      </c>
      <c r="B12" s="21" t="s">
        <v>235</v>
      </c>
      <c r="C12" s="109" t="str">
        <f>SUMIFS('Annual_Mortality'!$I$2:$I$2731,'Annual_Mortality'!$A$2:$A$2731,A12)</f>
      </c>
      <c r="D12" s="110" t="str">
        <f>SUMIFS('Annual_Mortality'!$J$2:$J$2731,'Annual_Mortality'!$A$2:$A$2731,A12)</f>
      </c>
      <c r="E12" s="111" t="str">
        <f>SUMIFS('Budget_Impact'!$E$2:$E$391,'Budget_Impact'!$A$2:$A$391,A12)</f>
      </c>
      <c r="F12" s="112" t="str">
        <f>SUMIFS('Budget_Impact'!$F$2:$F$391,'Budget_Impact'!$A$2:$A$391,A12)</f>
      </c>
      <c r="G12" s="113" t="str">
        <f>IF(C12&gt;0,F12/C12,"")</f>
      </c>
      <c r="H12" s="114" t="str">
        <f>IF(AND(C12&gt;0,F12&lt;0),"Dominant (more health, lower cost)",IF(AND(C12&lt;=0,F12&gt;0),"Dominated (less/no health, higher cost)",IF(AND(C12&lt;=0,F12&lt;=0),"No deaths averted; ratio not defined","USD per death averted")))</f>
      </c>
      <c r="I12" s="23" t="str">
        <f>IF(AND(ABS(F12-SUMIFS('Budget_Impact'!$F$2:$F$391,'Budget_Impact'!$A$2:$A$391,A12))&lt;='Calculation_Assumptions'!$B$15,ABS(C12-SUMIFS('Annual_Mortality'!$I$2:$I$2731,'Annual_Mortality'!$A$2:$A$2731,A12))&lt;='Calculation_Assumptions'!$B$15),"consistent","mismatch")</f>
      </c>
    </row>
    <row r="13">
      <c r="A13" t="s">
        <v>259</v>
      </c>
      <c r="B13" s="21" t="s">
        <v>261</v>
      </c>
      <c r="C13" s="109" t="str">
        <f>SUMIFS('Annual_Mortality'!$I$2:$I$2731,'Annual_Mortality'!$A$2:$A$2731,A13)</f>
      </c>
      <c r="D13" s="110" t="str">
        <f>SUMIFS('Annual_Mortality'!$J$2:$J$2731,'Annual_Mortality'!$A$2:$A$2731,A13)</f>
      </c>
      <c r="E13" s="111" t="str">
        <f>SUMIFS('Budget_Impact'!$E$2:$E$391,'Budget_Impact'!$A$2:$A$391,A13)</f>
      </c>
      <c r="F13" s="112" t="str">
        <f>SUMIFS('Budget_Impact'!$F$2:$F$391,'Budget_Impact'!$A$2:$A$391,A13)</f>
      </c>
      <c r="G13" s="113" t="str">
        <f>IF(C13&gt;0,F13/C13,"")</f>
      </c>
      <c r="H13" s="114" t="str">
        <f>IF(AND(C13&gt;0,F13&lt;0),"Dominant (more health, lower cost)",IF(AND(C13&lt;=0,F13&gt;0),"Dominated (less/no health, higher cost)",IF(AND(C13&lt;=0,F13&lt;=0),"No deaths averted; ratio not defined","USD per death averted")))</f>
      </c>
      <c r="I13" s="23" t="str">
        <f>IF(AND(ABS(F13-SUMIFS('Budget_Impact'!$F$2:$F$391,'Budget_Impact'!$A$2:$A$391,A13))&lt;='Calculation_Assumptions'!$B$15,ABS(C13-SUMIFS('Annual_Mortality'!$I$2:$I$2731,'Annual_Mortality'!$A$2:$A$2731,A13))&lt;='Calculation_Assumptions'!$B$15),"consistent","mismatch")</f>
      </c>
    </row>
    <row r="14">
      <c r="A14" t="s">
        <v>171</v>
      </c>
      <c r="B14" s="21" t="s">
        <v>173</v>
      </c>
      <c r="C14" s="109" t="str">
        <f>SUMIFS('Annual_Mortality'!$I$2:$I$2731,'Annual_Mortality'!$A$2:$A$2731,A14)</f>
      </c>
      <c r="D14" s="110" t="str">
        <f>SUMIFS('Annual_Mortality'!$J$2:$J$2731,'Annual_Mortality'!$A$2:$A$2731,A14)</f>
      </c>
      <c r="E14" s="111" t="str">
        <f>SUMIFS('Budget_Impact'!$E$2:$E$391,'Budget_Impact'!$A$2:$A$391,A14)</f>
      </c>
      <c r="F14" s="112" t="str">
        <f>SUMIFS('Budget_Impact'!$F$2:$F$391,'Budget_Impact'!$A$2:$A$391,A14)</f>
      </c>
      <c r="G14" s="113" t="str">
        <f>IF(C14&gt;0,F14/C14,"")</f>
      </c>
      <c r="H14" s="114" t="str">
        <f>IF(AND(C14&gt;0,F14&lt;0),"Dominant (more health, lower cost)",IF(AND(C14&lt;=0,F14&gt;0),"Dominated (less/no health, higher cost)",IF(AND(C14&lt;=0,F14&lt;=0),"No deaths averted; ratio not defined","USD per death averted")))</f>
      </c>
      <c r="I14" s="23" t="str">
        <f>IF(AND(ABS(F14-SUMIFS('Budget_Impact'!$F$2:$F$391,'Budget_Impact'!$A$2:$A$391,A14))&lt;='Calculation_Assumptions'!$B$15,ABS(C14-SUMIFS('Annual_Mortality'!$I$2:$I$2731,'Annual_Mortality'!$A$2:$A$2731,A14))&lt;='Calculation_Assumptions'!$B$15),"consistent","mismatch")</f>
      </c>
    </row>
    <row r="15">
      <c r="A15" t="s">
        <v>194</v>
      </c>
      <c r="B15" s="21" t="s">
        <v>196</v>
      </c>
      <c r="C15" s="109" t="str">
        <f>SUMIFS('Annual_Mortality'!$I$2:$I$2731,'Annual_Mortality'!$A$2:$A$2731,A15)</f>
      </c>
      <c r="D15" s="110" t="str">
        <f>SUMIFS('Annual_Mortality'!$J$2:$J$2731,'Annual_Mortality'!$A$2:$A$2731,A15)</f>
      </c>
      <c r="E15" s="111" t="str">
        <f>SUMIFS('Budget_Impact'!$E$2:$E$391,'Budget_Impact'!$A$2:$A$391,A15)</f>
      </c>
      <c r="F15" s="112" t="str">
        <f>SUMIFS('Budget_Impact'!$F$2:$F$391,'Budget_Impact'!$A$2:$A$391,A15)</f>
      </c>
      <c r="G15" s="113" t="str">
        <f>IF(C15&gt;0,F15/C15,"")</f>
      </c>
      <c r="H15" s="114" t="str">
        <f>IF(AND(C15&gt;0,F15&lt;0),"Dominant (more health, lower cost)",IF(AND(C15&lt;=0,F15&gt;0),"Dominated (less/no health, higher cost)",IF(AND(C15&lt;=0,F15&lt;=0),"No deaths averted; ratio not defined","USD per death averted")))</f>
      </c>
      <c r="I15" s="23" t="str">
        <f>IF(AND(ABS(F15-SUMIFS('Budget_Impact'!$F$2:$F$391,'Budget_Impact'!$A$2:$A$391,A15))&lt;='Calculation_Assumptions'!$B$15,ABS(C15-SUMIFS('Annual_Mortality'!$I$2:$I$2731,'Annual_Mortality'!$A$2:$A$2731,A15))&lt;='Calculation_Assumptions'!$B$15),"consistent","mismatch")</f>
      </c>
    </row>
    <row r="16">
      <c r="A16" t="s">
        <v>219</v>
      </c>
      <c r="B16" s="21" t="s">
        <v>221</v>
      </c>
      <c r="C16" s="109" t="str">
        <f>SUMIFS('Annual_Mortality'!$I$2:$I$2731,'Annual_Mortality'!$A$2:$A$2731,A16)</f>
      </c>
      <c r="D16" s="110" t="str">
        <f>SUMIFS('Annual_Mortality'!$J$2:$J$2731,'Annual_Mortality'!$A$2:$A$2731,A16)</f>
      </c>
      <c r="E16" s="111" t="str">
        <f>SUMIFS('Budget_Impact'!$E$2:$E$391,'Budget_Impact'!$A$2:$A$391,A16)</f>
      </c>
      <c r="F16" s="112" t="str">
        <f>SUMIFS('Budget_Impact'!$F$2:$F$391,'Budget_Impact'!$A$2:$A$391,A16)</f>
      </c>
      <c r="G16" s="113" t="str">
        <f>IF(C16&gt;0,F16/C16,"")</f>
      </c>
      <c r="H16" s="114" t="str">
        <f>IF(AND(C16&gt;0,F16&lt;0),"Dominant (more health, lower cost)",IF(AND(C16&lt;=0,F16&gt;0),"Dominated (less/no health, higher cost)",IF(AND(C16&lt;=0,F16&lt;=0),"No deaths averted; ratio not defined","USD per death averted")))</f>
      </c>
      <c r="I16" s="23" t="str">
        <f>IF(AND(ABS(F16-SUMIFS('Budget_Impact'!$F$2:$F$391,'Budget_Impact'!$A$2:$A$391,A16))&lt;='Calculation_Assumptions'!$B$15,ABS(C16-SUMIFS('Annual_Mortality'!$I$2:$I$2731,'Annual_Mortality'!$A$2:$A$2731,A16))&lt;='Calculation_Assumptions'!$B$15),"consistent","mismatch")</f>
      </c>
    </row>
  </sheetData>
  <autoFilter ref="A1:I1"/>
  <conditionalFormatting sqref="I2:I16">
    <cfRule type="containsText" dxfId="0" priority="3" operator="containsText" text="consistent">
      <formula>NOT(ISERROR(SEARCH("consistent", I2)))</formula>
    </cfRule>
    <cfRule type="containsText" dxfId="2" priority="2" operator="containsText" text="mismatch">
      <formula>NOT(ISERROR(SEARCH("mismatch", I2)))</formula>
    </cfRule>
  </conditionalFormatting>
  <conditionalFormatting sqref="H2:H16">
    <cfRule type="containsText" dxfId="1" priority="1" operator="containsText" text="Dominated">
      <formula>NOT(ISERROR(SEARCH("Dominated", H2)))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20.71" hidden="0" customWidth="1"/>
  </cols>
  <sheetData>
    <row r="1">
      <c r="A1" s="1" t="s">
        <v>281</v>
      </c>
    </row>
    <row r="2">
      <c r="A2" s="21" t="s">
        <v>450</v>
      </c>
    </row>
    <row r="3">
      <c r="A3" s="21" t="s">
        <v>451</v>
      </c>
    </row>
    <row r="4">
      <c r="A4" s="21" t="s">
        <v>452</v>
      </c>
    </row>
    <row r="5">
      <c r="A5" s="21" t="s">
        <v>453</v>
      </c>
    </row>
    <row r="6">
      <c r="A6" s="21" t="s">
        <v>454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1.71" hidden="0" customWidth="1"/>
    <col min="4" max="4" width="11.71" hidden="0" customWidth="1"/>
    <col min="5" max="5" width="11.71" hidden="0" customWidth="1"/>
  </cols>
  <sheetData>
    <row r="1" ht="28" customHeight="1">
      <c r="A1" s="1" t="s">
        <v>455</v>
      </c>
      <c r="B1" s="1" t="s">
        <v>456</v>
      </c>
      <c r="C1" s="1" t="s">
        <v>457</v>
      </c>
      <c r="D1" s="1" t="s">
        <v>458</v>
      </c>
      <c r="E1" s="1" t="s">
        <v>281</v>
      </c>
    </row>
    <row r="2">
      <c r="A2" t="s">
        <v>459</v>
      </c>
      <c r="B2" t="s">
        <v>460</v>
      </c>
      <c r="C2" s="23" t="str">
        <f>COUNTIF('Selected_Interventions'!$U$2:$U$49,"&gt;1")</f>
      </c>
      <c r="D2" s="23" t="str">
        <f>IF(C2=0,"PASS","FAIL")</f>
      </c>
      <c r="E2" s="21" t="s">
        <v>461</v>
      </c>
    </row>
    <row r="3">
      <c r="A3" t="s">
        <v>462</v>
      </c>
      <c r="B3" t="s">
        <v>460</v>
      </c>
      <c r="C3" s="23" t="str">
        <f>COUNTIF('Input_Diagnostic'!$E$2:$E$25,"FAIL")</f>
      </c>
      <c r="D3" s="23" t="str">
        <f>IF(C3=0,"PASS","REVIEW")</f>
      </c>
      <c r="E3" s="21" t="s">
        <v>463</v>
      </c>
    </row>
    <row r="4">
      <c r="A4" t="s">
        <v>464</v>
      </c>
      <c r="B4" t="s">
        <v>460</v>
      </c>
      <c r="C4" s="23" t="str">
        <f>COUNTIF('Input_Diagnostic'!$E$2:$E$25,"REVIEW")</f>
      </c>
      <c r="D4" s="23" t="str">
        <f>IF(C4=0,"PASS","REVIEW")</f>
      </c>
      <c r="E4" s="21" t="s">
        <v>465</v>
      </c>
    </row>
    <row r="5">
      <c r="A5" t="s">
        <v>466</v>
      </c>
      <c r="B5" t="s">
        <v>460</v>
      </c>
      <c r="C5" s="23" t="str">
        <f>COUNTBLANK('Annual_Mortality'!$H$2:$H$2731)</f>
      </c>
      <c r="D5" s="23" t="str">
        <f>IF(C5=0,"PASS","FAIL")</f>
      </c>
      <c r="E5" s="21" t="s">
        <v>467</v>
      </c>
    </row>
    <row r="6">
      <c r="A6" t="s">
        <v>468</v>
      </c>
      <c r="B6" t="s">
        <v>460</v>
      </c>
      <c r="C6" s="23" t="str">
        <f>COUNTIF('Effect_Parameters'!$N$2:$N$49,"&lt;&gt;incidence")</f>
      </c>
      <c r="D6" s="23" t="str">
        <f>IF(C6=0,"PASS","FAIL")</f>
      </c>
      <c r="E6" s="21" t="s">
        <v>469</v>
      </c>
    </row>
    <row r="7">
      <c r="A7" t="s">
        <v>470</v>
      </c>
      <c r="B7" t="s">
        <v>460</v>
      </c>
      <c r="C7" s="23" t="str">
        <f>'Calculation_Assumptions'!$B$17</f>
      </c>
      <c r="D7" s="23" t="str">
        <f>IF(C7=0,"PASS","FAIL")</f>
      </c>
      <c r="E7" s="21" t="s">
        <v>471</v>
      </c>
    </row>
    <row r="8">
      <c r="A8" t="s">
        <v>472</v>
      </c>
      <c r="B8" t="s">
        <v>473</v>
      </c>
      <c r="C8" s="23" t="str">
        <f>'Calculation_Assumptions'!$B$18</f>
      </c>
      <c r="D8" s="23" t="str">
        <f>IF(C8&lt;='Calculation_Assumptions'!$B$16,"PASS","REVIEW")</f>
      </c>
      <c r="E8" s="21" t="s">
        <v>474</v>
      </c>
    </row>
    <row r="9">
      <c r="A9" t="s">
        <v>475</v>
      </c>
      <c r="B9" t="s">
        <v>476</v>
      </c>
      <c r="C9" s="23" t="str">
        <f>'Calculation_Assumptions'!$B$19</f>
      </c>
      <c r="D9" s="23" t="str">
        <f>IF(C9=1,"PASS","FAIL")</f>
      </c>
      <c r="E9" s="21" t="s">
        <v>477</v>
      </c>
    </row>
    <row r="10">
      <c r="A10" t="s">
        <v>478</v>
      </c>
      <c r="B10" t="s">
        <v>479</v>
      </c>
      <c r="C10" s="23" t="str">
        <f>ABS(SUM('Budget_Impact'!$D$2:$D$391)-SUM('Annual_Cost'!$R$2:$R$807))+ABS(SUM('Budget_Impact'!$C$2:$C$391)-SUM('Annual_Cost'!$Q$2:$Q$807))</f>
      </c>
      <c r="D10" s="23" t="str">
        <f>IF(C10&lt;='Calculation_Assumptions'!$B$15,"PASS","FAIL")</f>
      </c>
      <c r="E10" s="21" t="s">
        <v>480</v>
      </c>
    </row>
    <row r="11">
      <c r="A11" t="s">
        <v>481</v>
      </c>
      <c r="B11" t="s">
        <v>460</v>
      </c>
      <c r="C11" s="23" t="str">
        <f>COUNTIF('Annual_Cost'!$AA$2:$AA$807,"&gt;1")</f>
      </c>
      <c r="D11" s="23" t="str">
        <f>IF(C11=0,"PASS","FAIL")</f>
      </c>
      <c r="E11" s="21" t="s">
        <v>482</v>
      </c>
    </row>
    <row r="12">
      <c r="A12" t="s">
        <v>483</v>
      </c>
      <c r="B12" t="s">
        <v>479</v>
      </c>
      <c r="C12" s="23" t="str">
        <f>ABS(SUMIFS('Budget_Impact'!$G$2:$G$391,'Budget_Impact'!$B$2:$B$391,'Calculation_Assumptions'!$B$3)-SUM('Budget_Impact'!$E$2:$E$391))</f>
      </c>
      <c r="D12" s="23" t="str">
        <f>IF(C12&lt;='Calculation_Assumptions'!$B$15,"PASS","FAIL")</f>
      </c>
      <c r="E12" s="21" t="s">
        <v>484</v>
      </c>
    </row>
    <row r="13">
      <c r="A13" t="s">
        <v>485</v>
      </c>
      <c r="B13" t="s">
        <v>486</v>
      </c>
      <c r="C13" s="23" t="str">
        <f>IF(COUNTIF('Cost_Effectiveness'!$I$2:$I$16,"mismatch")=0,"consistent","mismatch")</f>
      </c>
      <c r="D13" s="23" t="str">
        <f>IF(C13="consistent","PASS","FAIL")</f>
      </c>
      <c r="E13" s="21" t="s">
        <v>487</v>
      </c>
    </row>
    <row r="14">
      <c r="A14" t="s">
        <v>488</v>
      </c>
      <c r="B14" t="s">
        <v>489</v>
      </c>
      <c r="C14" s="23" t="str">
        <f>INDEX('Cost_Effectiveness'!$C$2:$C$16,MATCH('Calculation_Assumptions'!$B$23,'Cost_Effectiveness'!$A$2:$A$16,0))</f>
      </c>
      <c r="D14" s="23" t="str">
        <f>IF(ABS(C14-'Calculation_Assumptions'!$B$20)&lt;=ABS('Calculation_Assumptions'!$B$20)*0.000001+0.5,"PASS","FAIL")</f>
      </c>
      <c r="E14" s="21" t="s">
        <v>490</v>
      </c>
    </row>
    <row r="15">
      <c r="A15" t="s">
        <v>491</v>
      </c>
      <c r="B15" t="s">
        <v>489</v>
      </c>
      <c r="C15" s="23" t="str">
        <f>INDEX('Cost_Effectiveness'!$F$2:$F$16,MATCH('Calculation_Assumptions'!$B$23,'Cost_Effectiveness'!$A$2:$A$16,0))</f>
      </c>
      <c r="D15" s="23" t="str">
        <f>IF(ABS(C15-'Calculation_Assumptions'!$B$21)&lt;=ABS('Calculation_Assumptions'!$B$21)*0.000001+1,"PASS","FAIL")</f>
      </c>
      <c r="E15" s="21" t="s">
        <v>492</v>
      </c>
    </row>
    <row r="16">
      <c r="A16" t="s">
        <v>493</v>
      </c>
      <c r="B16" t="s">
        <v>489</v>
      </c>
      <c r="C16" s="23" t="str">
        <f>INDEX('Cost_Effectiveness'!$G$2:$G$16,MATCH('Calculation_Assumptions'!$B$23,'Cost_Effectiveness'!$A$2:$A$16,0))</f>
      </c>
      <c r="D16" s="23" t="str">
        <f>IF(ABS(C16-'Calculation_Assumptions'!$B$22)&lt;=ABS('Calculation_Assumptions'!$B$22)*0.000001+1,"PASS","FAIL")</f>
      </c>
      <c r="E16" s="21" t="s">
        <v>494</v>
      </c>
    </row>
    <row r="17">
      <c r="A17" t="s">
        <v>495</v>
      </c>
      <c r="B17" t="s">
        <v>136</v>
      </c>
      <c r="C17" s="23" t="str">
        <f>COUNTIFS('Scenario_Hierarchy'!$A$2:$A$13,"I_PH_TOBACCO_POLICY",'Scenario_Hierarchy'!$F$2:$F$13,"child")</f>
      </c>
      <c r="D17" s="23" t="str">
        <f>IF(C17=3,"PASS","FAIL")</f>
      </c>
      <c r="E17" s="21" t="s">
        <v>496</v>
      </c>
    </row>
    <row r="18">
      <c r="A18" t="s">
        <v>497</v>
      </c>
      <c r="B18" t="s">
        <v>498</v>
      </c>
      <c r="C18" s="23" t="str">
        <f>COUNTIFS('Scenario_Hierarchy'!$A$2:$A$13,"I_PH_SALT_POLICY",'Scenario_Hierarchy'!$F$2:$F$13,"child")</f>
      </c>
      <c r="D18" s="23" t="str">
        <f>IF(C18=4,"PASS","FAIL")</f>
      </c>
      <c r="E18" s="21" t="s">
        <v>499</v>
      </c>
    </row>
    <row r="19">
      <c r="A19" t="s">
        <v>500</v>
      </c>
      <c r="B19" t="s">
        <v>479</v>
      </c>
      <c r="C19" s="23" t="str">
        <f>ABS(SUMIFS('Cost_Components'!$M$2:$M$13,'Cost_Components'!$F$2:$F$13,"I_PH_TOBACCO_POLICY")-1)+ABS(SUMIFS('Cost_Components'!$M$2:$M$13,'Cost_Components'!$F$2:$F$13,"I_PH_SALT_POLICY")-1)</f>
      </c>
      <c r="D19" s="23" t="str">
        <f>IF(C19&lt;='Calculation_Assumptions'!$B$15,"PASS","FAIL")</f>
      </c>
      <c r="E19" s="21" t="s">
        <v>501</v>
      </c>
    </row>
    <row r="20">
      <c r="A20" t="s">
        <v>502</v>
      </c>
      <c r="B20" t="s">
        <v>503</v>
      </c>
      <c r="C20" s="23" t="str">
        <f>MIN(COUNTIF('Annual_Mortality'!$A$2:$A$2731,"I_PH_TOBACCO_POLICY"),COUNTIF('Annual_Mortality'!$A$2:$A$2731,"I_PH_SALT_POLICY"))</f>
      </c>
      <c r="D20" s="23" t="str">
        <f>IF(C20&gt;0,"PASS","FAIL")</f>
      </c>
      <c r="E20" s="21" t="s">
        <v>504</v>
      </c>
    </row>
  </sheetData>
  <autoFilter ref="A1:E1"/>
  <conditionalFormatting sqref="D2:D20">
    <cfRule type="containsText" dxfId="0" priority="3" operator="containsText" text="PASS">
      <formula>NOT(ISERROR(SEARCH("PASS", D2)))</formula>
    </cfRule>
    <cfRule type="containsText" dxfId="2" priority="2" operator="containsText" text="FAIL">
      <formula>NOT(ISERROR(SEARCH("FAIL", D2)))</formula>
    </cfRule>
    <cfRule type="containsText" dxfId="1" priority="1" operator="containsText" text="REVIEW">
      <formula>NOT(ISERROR(SEARCH("REVIEW", D2)))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1.71" hidden="0" customWidth="1"/>
    <col min="4" max="4" width="11.71" hidden="0" customWidth="1"/>
    <col min="5" max="5" width="11.71" hidden="0" customWidth="1"/>
  </cols>
  <sheetData>
    <row r="1" ht="28" customHeight="1">
      <c r="A1" s="1" t="s">
        <v>505</v>
      </c>
      <c r="B1" s="1" t="s">
        <v>506</v>
      </c>
      <c r="C1" s="1" t="s">
        <v>507</v>
      </c>
      <c r="D1" s="1" t="s">
        <v>508</v>
      </c>
      <c r="E1" s="1" t="s">
        <v>509</v>
      </c>
    </row>
    <row r="2">
      <c r="A2" t="s">
        <v>510</v>
      </c>
      <c r="B2" t="s">
        <v>407</v>
      </c>
      <c r="C2" t="s">
        <v>378</v>
      </c>
      <c r="D2" s="21" t="s">
        <v>511</v>
      </c>
      <c r="E2" t="s">
        <v>512</v>
      </c>
    </row>
    <row r="3">
      <c r="A3" t="s">
        <v>510</v>
      </c>
      <c r="B3" t="s">
        <v>391</v>
      </c>
      <c r="C3" t="s">
        <v>378</v>
      </c>
      <c r="D3" s="21" t="s">
        <v>511</v>
      </c>
      <c r="E3" t="s">
        <v>512</v>
      </c>
    </row>
    <row r="4">
      <c r="A4" t="s">
        <v>510</v>
      </c>
      <c r="B4" t="s">
        <v>411</v>
      </c>
      <c r="C4" t="s">
        <v>378</v>
      </c>
      <c r="D4" s="21" t="s">
        <v>511</v>
      </c>
      <c r="E4" t="s">
        <v>512</v>
      </c>
    </row>
    <row r="5">
      <c r="A5" t="s">
        <v>510</v>
      </c>
      <c r="B5" t="s">
        <v>413</v>
      </c>
      <c r="C5" t="s">
        <v>378</v>
      </c>
      <c r="D5" s="21" t="s">
        <v>511</v>
      </c>
      <c r="E5" t="s">
        <v>512</v>
      </c>
    </row>
    <row r="6">
      <c r="A6" t="s">
        <v>510</v>
      </c>
      <c r="B6" t="s">
        <v>409</v>
      </c>
      <c r="C6" t="s">
        <v>378</v>
      </c>
      <c r="D6" s="21" t="s">
        <v>511</v>
      </c>
      <c r="E6" t="s">
        <v>512</v>
      </c>
    </row>
    <row r="7">
      <c r="A7" t="s">
        <v>510</v>
      </c>
      <c r="B7" t="s">
        <v>382</v>
      </c>
      <c r="C7" t="s">
        <v>378</v>
      </c>
      <c r="D7" s="21" t="s">
        <v>511</v>
      </c>
      <c r="E7" t="s">
        <v>512</v>
      </c>
    </row>
    <row r="8">
      <c r="A8" t="s">
        <v>510</v>
      </c>
      <c r="B8" t="s">
        <v>401</v>
      </c>
      <c r="C8" t="s">
        <v>378</v>
      </c>
      <c r="D8" s="21" t="s">
        <v>511</v>
      </c>
      <c r="E8" t="s">
        <v>512</v>
      </c>
    </row>
    <row r="9">
      <c r="A9" t="s">
        <v>510</v>
      </c>
      <c r="B9" t="s">
        <v>397</v>
      </c>
      <c r="C9" t="s">
        <v>378</v>
      </c>
      <c r="D9" s="21" t="s">
        <v>511</v>
      </c>
      <c r="E9" t="s">
        <v>512</v>
      </c>
    </row>
    <row r="10">
      <c r="A10" t="s">
        <v>510</v>
      </c>
      <c r="B10" t="s">
        <v>399</v>
      </c>
      <c r="C10" t="s">
        <v>378</v>
      </c>
      <c r="D10" s="21" t="s">
        <v>511</v>
      </c>
      <c r="E10" t="s">
        <v>512</v>
      </c>
    </row>
    <row r="11">
      <c r="A11" t="s">
        <v>510</v>
      </c>
      <c r="B11" t="s">
        <v>393</v>
      </c>
      <c r="C11" t="s">
        <v>378</v>
      </c>
      <c r="D11" s="21" t="s">
        <v>511</v>
      </c>
      <c r="E11" t="s">
        <v>512</v>
      </c>
    </row>
    <row r="12">
      <c r="A12" t="s">
        <v>510</v>
      </c>
      <c r="B12" t="s">
        <v>405</v>
      </c>
      <c r="C12" t="s">
        <v>378</v>
      </c>
      <c r="D12" s="21" t="s">
        <v>511</v>
      </c>
      <c r="E12" t="s">
        <v>512</v>
      </c>
    </row>
    <row r="13">
      <c r="A13" t="s">
        <v>510</v>
      </c>
      <c r="B13" t="s">
        <v>403</v>
      </c>
      <c r="C13" t="s">
        <v>378</v>
      </c>
      <c r="D13" s="21" t="s">
        <v>511</v>
      </c>
      <c r="E13" t="s">
        <v>512</v>
      </c>
    </row>
    <row r="14">
      <c r="A14" t="s">
        <v>510</v>
      </c>
      <c r="B14" t="s">
        <v>407</v>
      </c>
      <c r="C14" t="s">
        <v>377</v>
      </c>
      <c r="D14" s="21" t="s">
        <v>513</v>
      </c>
      <c r="E14" t="s">
        <v>512</v>
      </c>
    </row>
    <row r="15">
      <c r="A15" t="s">
        <v>510</v>
      </c>
      <c r="B15" t="s">
        <v>391</v>
      </c>
      <c r="C15" t="s">
        <v>377</v>
      </c>
      <c r="D15" s="21" t="s">
        <v>513</v>
      </c>
      <c r="E15" t="s">
        <v>512</v>
      </c>
    </row>
    <row r="16">
      <c r="A16" t="s">
        <v>510</v>
      </c>
      <c r="B16" t="s">
        <v>411</v>
      </c>
      <c r="C16" t="s">
        <v>377</v>
      </c>
      <c r="D16" s="21" t="s">
        <v>513</v>
      </c>
      <c r="E16" t="s">
        <v>512</v>
      </c>
    </row>
    <row r="17">
      <c r="A17" t="s">
        <v>510</v>
      </c>
      <c r="B17" t="s">
        <v>413</v>
      </c>
      <c r="C17" t="s">
        <v>377</v>
      </c>
      <c r="D17" s="21" t="s">
        <v>513</v>
      </c>
      <c r="E17" t="s">
        <v>512</v>
      </c>
    </row>
    <row r="18">
      <c r="A18" t="s">
        <v>510</v>
      </c>
      <c r="B18" t="s">
        <v>409</v>
      </c>
      <c r="C18" t="s">
        <v>377</v>
      </c>
      <c r="D18" s="21" t="s">
        <v>513</v>
      </c>
      <c r="E18" t="s">
        <v>512</v>
      </c>
    </row>
    <row r="19">
      <c r="A19" t="s">
        <v>510</v>
      </c>
      <c r="B19" t="s">
        <v>382</v>
      </c>
      <c r="C19" t="s">
        <v>377</v>
      </c>
      <c r="D19" s="21" t="s">
        <v>513</v>
      </c>
      <c r="E19" t="s">
        <v>512</v>
      </c>
    </row>
    <row r="20">
      <c r="A20" t="s">
        <v>510</v>
      </c>
      <c r="B20" t="s">
        <v>401</v>
      </c>
      <c r="C20" t="s">
        <v>377</v>
      </c>
      <c r="D20" s="21" t="s">
        <v>513</v>
      </c>
      <c r="E20" t="s">
        <v>512</v>
      </c>
    </row>
    <row r="21">
      <c r="A21" t="s">
        <v>510</v>
      </c>
      <c r="B21" t="s">
        <v>397</v>
      </c>
      <c r="C21" t="s">
        <v>377</v>
      </c>
      <c r="D21" s="21" t="s">
        <v>513</v>
      </c>
      <c r="E21" t="s">
        <v>512</v>
      </c>
    </row>
    <row r="22">
      <c r="A22" t="s">
        <v>510</v>
      </c>
      <c r="B22" t="s">
        <v>399</v>
      </c>
      <c r="C22" t="s">
        <v>377</v>
      </c>
      <c r="D22" s="21" t="s">
        <v>513</v>
      </c>
      <c r="E22" t="s">
        <v>512</v>
      </c>
    </row>
    <row r="23">
      <c r="A23" t="s">
        <v>510</v>
      </c>
      <c r="B23" t="s">
        <v>393</v>
      </c>
      <c r="C23" t="s">
        <v>377</v>
      </c>
      <c r="D23" s="21" t="s">
        <v>513</v>
      </c>
      <c r="E23" t="s">
        <v>512</v>
      </c>
    </row>
    <row r="24">
      <c r="A24" t="s">
        <v>510</v>
      </c>
      <c r="B24" t="s">
        <v>405</v>
      </c>
      <c r="C24" t="s">
        <v>377</v>
      </c>
      <c r="D24" s="21" t="s">
        <v>513</v>
      </c>
      <c r="E24" t="s">
        <v>512</v>
      </c>
    </row>
    <row r="25">
      <c r="A25" t="s">
        <v>510</v>
      </c>
      <c r="B25" t="s">
        <v>403</v>
      </c>
      <c r="C25" t="s">
        <v>377</v>
      </c>
      <c r="D25" s="21" t="s">
        <v>513</v>
      </c>
      <c r="E25" t="s">
        <v>512</v>
      </c>
    </row>
  </sheetData>
  <autoFilter ref="A1:E1"/>
  <conditionalFormatting sqref="E2:E25">
    <cfRule type="containsText" dxfId="2" priority="2" operator="containsText" text="FAIL">
      <formula>NOT(ISERROR(SEARCH("FAIL", E2)))</formula>
    </cfRule>
    <cfRule type="containsText" dxfId="1" priority="1" operator="containsText" text="REVIEW">
      <formula>NOT(ISERROR(SEARCH("REVIEW", E2)))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0.71" hidden="0" customWidth="1"/>
    <col min="2" max="2" width="28.71" hidden="0" customWidth="1"/>
    <col min="3" max="3" width="92.71" hidden="0" customWidth="1"/>
    <col min="4" max="4" width="56.71" hidden="0" customWidth="1"/>
  </cols>
  <sheetData>
    <row r="1" ht="28" customHeight="1">
      <c r="A1" s="1" t="s">
        <v>514</v>
      </c>
      <c r="B1" s="1" t="s">
        <v>515</v>
      </c>
      <c r="C1" s="1" t="s">
        <v>516</v>
      </c>
      <c r="D1" s="1" t="s">
        <v>5</v>
      </c>
    </row>
    <row r="2">
      <c r="A2" t="s">
        <v>517</v>
      </c>
      <c r="B2" t="s">
        <v>518</v>
      </c>
      <c r="C2" s="21" t="s">
        <v>519</v>
      </c>
      <c r="D2" s="21" t="s">
        <v>520</v>
      </c>
    </row>
    <row r="3">
      <c r="A3" t="s">
        <v>521</v>
      </c>
      <c r="B3" t="s">
        <v>90</v>
      </c>
      <c r="C3" s="21" t="s">
        <v>522</v>
      </c>
      <c r="D3" s="21" t="s">
        <v>520</v>
      </c>
    </row>
    <row r="4">
      <c r="A4" t="s">
        <v>523</v>
      </c>
      <c r="B4" t="s">
        <v>524</v>
      </c>
      <c r="C4" s="21" t="s">
        <v>525</v>
      </c>
      <c r="D4" s="21" t="s">
        <v>520</v>
      </c>
    </row>
    <row r="5">
      <c r="A5" t="s">
        <v>526</v>
      </c>
      <c r="B5" t="s">
        <v>527</v>
      </c>
      <c r="C5" s="21" t="s">
        <v>528</v>
      </c>
      <c r="D5" s="21" t="s">
        <v>520</v>
      </c>
    </row>
    <row r="6">
      <c r="A6" t="s">
        <v>529</v>
      </c>
      <c r="B6" t="s">
        <v>530</v>
      </c>
      <c r="C6" s="21" t="s">
        <v>531</v>
      </c>
      <c r="D6" s="21" t="s">
        <v>520</v>
      </c>
    </row>
    <row r="7">
      <c r="A7" t="s">
        <v>532</v>
      </c>
      <c r="B7" t="s">
        <v>533</v>
      </c>
      <c r="C7" s="21" t="s">
        <v>534</v>
      </c>
      <c r="D7" s="21" t="s">
        <v>520</v>
      </c>
    </row>
    <row r="8">
      <c r="A8" t="s">
        <v>535</v>
      </c>
      <c r="B8" t="s">
        <v>536</v>
      </c>
      <c r="C8" s="21" t="s">
        <v>537</v>
      </c>
      <c r="D8" s="21" t="s">
        <v>520</v>
      </c>
    </row>
    <row r="9">
      <c r="A9" t="s">
        <v>538</v>
      </c>
      <c r="B9" t="s">
        <v>539</v>
      </c>
      <c r="C9" s="21" t="s">
        <v>540</v>
      </c>
      <c r="D9" s="21" t="s">
        <v>520</v>
      </c>
    </row>
    <row r="10">
      <c r="A10" t="s">
        <v>541</v>
      </c>
      <c r="B10" t="s">
        <v>542</v>
      </c>
      <c r="C10" s="21" t="s">
        <v>543</v>
      </c>
      <c r="D10" s="21" t="s">
        <v>520</v>
      </c>
    </row>
    <row r="11">
      <c r="A11" t="s">
        <v>544</v>
      </c>
      <c r="B11" t="s">
        <v>545</v>
      </c>
      <c r="C11" s="21" t="s">
        <v>546</v>
      </c>
      <c r="D11" s="21" t="s">
        <v>520</v>
      </c>
    </row>
    <row r="12">
      <c r="A12" t="s">
        <v>547</v>
      </c>
      <c r="B12" t="s">
        <v>548</v>
      </c>
      <c r="C12" s="21" t="s">
        <v>549</v>
      </c>
      <c r="D12" s="21" t="s">
        <v>520</v>
      </c>
    </row>
    <row r="13">
      <c r="A13" t="s">
        <v>550</v>
      </c>
      <c r="B13" t="s">
        <v>551</v>
      </c>
      <c r="C13" s="21" t="s">
        <v>552</v>
      </c>
      <c r="D13" s="21" t="s">
        <v>520</v>
      </c>
    </row>
    <row r="14">
      <c r="A14" t="s">
        <v>553</v>
      </c>
      <c r="B14" t="s">
        <v>554</v>
      </c>
      <c r="C14" s="21" t="s">
        <v>555</v>
      </c>
      <c r="D14" s="21" t="s">
        <v>520</v>
      </c>
    </row>
    <row r="15">
      <c r="A15" t="s">
        <v>556</v>
      </c>
      <c r="B15" t="s">
        <v>557</v>
      </c>
      <c r="C15" s="21" t="s">
        <v>558</v>
      </c>
      <c r="D15" s="21" t="s">
        <v>520</v>
      </c>
    </row>
    <row r="16">
      <c r="A16" t="s">
        <v>559</v>
      </c>
      <c r="B16" t="s">
        <v>560</v>
      </c>
      <c r="C16" s="21" t="s">
        <v>561</v>
      </c>
      <c r="D16" s="21" t="s">
        <v>520</v>
      </c>
    </row>
    <row r="17">
      <c r="A17" t="s">
        <v>562</v>
      </c>
      <c r="B17" t="s">
        <v>563</v>
      </c>
      <c r="C17" s="21" t="s">
        <v>564</v>
      </c>
      <c r="D17" s="21" t="s">
        <v>520</v>
      </c>
    </row>
    <row r="18">
      <c r="A18" t="s">
        <v>565</v>
      </c>
      <c r="B18" t="s">
        <v>566</v>
      </c>
      <c r="C18" s="21" t="s">
        <v>567</v>
      </c>
      <c r="D18" s="21" t="s">
        <v>520</v>
      </c>
    </row>
    <row r="19">
      <c r="A19" t="s">
        <v>568</v>
      </c>
      <c r="B19" t="s">
        <v>569</v>
      </c>
      <c r="C19" s="21" t="s">
        <v>570</v>
      </c>
      <c r="D19" s="21" t="s">
        <v>520</v>
      </c>
    </row>
    <row r="20">
      <c r="A20" t="s">
        <v>571</v>
      </c>
      <c r="B20" t="s">
        <v>100</v>
      </c>
      <c r="C20" s="21" t="s">
        <v>572</v>
      </c>
      <c r="D20" s="21" t="s">
        <v>520</v>
      </c>
    </row>
    <row r="21">
      <c r="A21" t="s">
        <v>573</v>
      </c>
      <c r="B21" t="s">
        <v>574</v>
      </c>
      <c r="C21" s="21" t="s">
        <v>575</v>
      </c>
      <c r="D21" s="21" t="s">
        <v>576</v>
      </c>
    </row>
    <row r="22">
      <c r="A22" t="s">
        <v>573</v>
      </c>
      <c r="B22" t="s">
        <v>574</v>
      </c>
      <c r="C22" s="21" t="s">
        <v>577</v>
      </c>
      <c r="D22" s="21" t="s">
        <v>578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30.71" hidden="0" customWidth="1"/>
    <col min="3" max="3" width="40.71" hidden="0" customWidth="1"/>
    <col min="4" max="4" width="52.71" hidden="0" customWidth="1"/>
  </cols>
  <sheetData>
    <row r="1" ht="28" customHeight="1">
      <c r="A1" s="1" t="s">
        <v>579</v>
      </c>
      <c r="B1" s="1" t="s">
        <v>580</v>
      </c>
      <c r="C1" s="1" t="s">
        <v>581</v>
      </c>
      <c r="D1" s="1" t="s">
        <v>582</v>
      </c>
    </row>
    <row r="2">
      <c r="A2" t="s">
        <v>583</v>
      </c>
      <c r="B2" t="s">
        <v>584</v>
      </c>
      <c r="C2" s="21" t="s">
        <v>585</v>
      </c>
      <c r="D2" s="21" t="s">
        <v>586</v>
      </c>
    </row>
    <row r="3">
      <c r="A3" t="s">
        <v>587</v>
      </c>
      <c r="B3" t="s">
        <v>588</v>
      </c>
      <c r="C3" s="21" t="s">
        <v>589</v>
      </c>
      <c r="D3" s="21" t="s">
        <v>590</v>
      </c>
    </row>
    <row r="4">
      <c r="A4" t="s">
        <v>591</v>
      </c>
      <c r="B4" t="s">
        <v>592</v>
      </c>
      <c r="C4" s="21" t="s">
        <v>593</v>
      </c>
      <c r="D4" s="21" t="s">
        <v>594</v>
      </c>
    </row>
    <row r="5">
      <c r="A5" t="s">
        <v>595</v>
      </c>
      <c r="B5" t="s">
        <v>596</v>
      </c>
      <c r="C5" s="21" t="s">
        <v>589</v>
      </c>
      <c r="D5" s="21" t="s">
        <v>597</v>
      </c>
    </row>
    <row r="6">
      <c r="A6" t="s">
        <v>598</v>
      </c>
      <c r="B6" t="s">
        <v>599</v>
      </c>
      <c r="C6" s="21" t="s">
        <v>600</v>
      </c>
      <c r="D6" s="21" t="s">
        <v>601</v>
      </c>
    </row>
    <row r="7">
      <c r="A7" t="s">
        <v>602</v>
      </c>
      <c r="B7" t="s">
        <v>603</v>
      </c>
      <c r="C7" s="21" t="s">
        <v>604</v>
      </c>
      <c r="D7" s="21" t="s">
        <v>605</v>
      </c>
    </row>
    <row r="8">
      <c r="A8" t="s">
        <v>606</v>
      </c>
      <c r="B8" t="s">
        <v>607</v>
      </c>
      <c r="C8" s="21" t="s">
        <v>608</v>
      </c>
      <c r="D8" s="21" t="s">
        <v>609</v>
      </c>
    </row>
    <row r="9">
      <c r="A9" t="s">
        <v>610</v>
      </c>
      <c r="B9" t="s">
        <v>611</v>
      </c>
      <c r="C9" s="21" t="s">
        <v>606</v>
      </c>
      <c r="D9" s="21" t="s">
        <v>612</v>
      </c>
    </row>
    <row r="10">
      <c r="A10" t="s">
        <v>613</v>
      </c>
      <c r="B10" t="s">
        <v>614</v>
      </c>
      <c r="C10" s="21" t="s">
        <v>615</v>
      </c>
      <c r="D10" s="21" t="s">
        <v>616</v>
      </c>
    </row>
    <row r="11">
      <c r="A11" t="s">
        <v>617</v>
      </c>
      <c r="B11" t="s">
        <v>618</v>
      </c>
      <c r="C11" s="21" t="s">
        <v>619</v>
      </c>
      <c r="D11" s="21" t="s">
        <v>620</v>
      </c>
    </row>
    <row r="12">
      <c r="A12" t="s">
        <v>621</v>
      </c>
      <c r="B12" t="s">
        <v>618</v>
      </c>
      <c r="C12" s="21" t="s">
        <v>622</v>
      </c>
      <c r="D12" s="21" t="s">
        <v>623</v>
      </c>
    </row>
    <row r="13">
      <c r="A13" t="s">
        <v>624</v>
      </c>
      <c r="B13" t="s">
        <v>625</v>
      </c>
      <c r="C13" s="21" t="s">
        <v>626</v>
      </c>
      <c r="D13" s="21" t="s">
        <v>627</v>
      </c>
    </row>
    <row r="14">
      <c r="A14" t="s">
        <v>628</v>
      </c>
      <c r="B14" t="s">
        <v>629</v>
      </c>
      <c r="C14" s="21" t="s">
        <v>630</v>
      </c>
      <c r="D14" s="21" t="s">
        <v>631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0.71" hidden="0" customWidth="1"/>
    <col min="2" max="2" width="22.71" hidden="0" customWidth="1"/>
    <col min="3" max="3" width="17.71" hidden="0" customWidth="1"/>
    <col min="4" max="4" width="19.71" hidden="0" customWidth="1"/>
    <col min="5" max="5" width="15.71" hidden="0" customWidth="1"/>
    <col min="6" max="6" width="15.71" hidden="0" customWidth="1"/>
    <col min="7" max="7" width="28.71" hidden="0" customWidth="1"/>
    <col min="8" max="8" width="24.71" hidden="0" customWidth="1"/>
    <col min="9" max="9" width="25.71" hidden="0" customWidth="1"/>
    <col min="10" max="10" width="24.71" hidden="0" customWidth="1"/>
    <col min="11" max="11" width="21.71" hidden="0" customWidth="1"/>
    <col min="12" max="12" width="17.71" hidden="0" customWidth="1"/>
    <col min="13" max="13" width="13.71" hidden="0" customWidth="1"/>
    <col min="14" max="14" width="13.71" hidden="0" customWidth="1"/>
    <col min="15" max="15" width="19.71" hidden="0" customWidth="1"/>
  </cols>
  <sheetData>
    <row r="1" ht="28" customHeight="1">
      <c r="A1" s="1" t="s">
        <v>632</v>
      </c>
      <c r="B1" s="1" t="s">
        <v>633</v>
      </c>
      <c r="C1" s="1" t="s">
        <v>147</v>
      </c>
      <c r="D1" s="1" t="s">
        <v>149</v>
      </c>
      <c r="E1" s="1" t="s">
        <v>634</v>
      </c>
      <c r="F1" s="1" t="s">
        <v>367</v>
      </c>
      <c r="G1" s="1" t="s">
        <v>635</v>
      </c>
      <c r="H1" s="1" t="s">
        <v>636</v>
      </c>
      <c r="I1" s="1" t="s">
        <v>637</v>
      </c>
      <c r="J1" s="1" t="s">
        <v>638</v>
      </c>
      <c r="K1" s="1" t="s">
        <v>639</v>
      </c>
      <c r="L1" s="1" t="s">
        <v>640</v>
      </c>
      <c r="M1" s="1" t="s">
        <v>641</v>
      </c>
      <c r="N1" s="1" t="s">
        <v>642</v>
      </c>
      <c r="O1" s="1" t="s">
        <v>643</v>
      </c>
    </row>
    <row r="2">
      <c r="A2" s="3" t="s">
        <v>249</v>
      </c>
      <c r="B2" s="3" t="s">
        <v>251</v>
      </c>
      <c r="C2" s="3" t="s">
        <v>249</v>
      </c>
      <c r="D2" s="3" t="s">
        <v>251</v>
      </c>
      <c r="E2" s="3" t="s">
        <v>644</v>
      </c>
      <c r="F2" s="3" t="s">
        <v>181</v>
      </c>
      <c r="G2" s="3" t="n">
        <v>1</v>
      </c>
      <c r="H2" s="3" t="s">
        <v>249</v>
      </c>
      <c r="I2" s="115" t="s">
        <v>645</v>
      </c>
      <c r="J2" s="115" t="s">
        <v>646</v>
      </c>
      <c r="K2" s="116" t="s">
        <v>647</v>
      </c>
      <c r="L2" s="3" t="n">
        <v>1</v>
      </c>
      <c r="M2" s="115" t="s">
        <v>648</v>
      </c>
      <c r="N2" s="3" t="b">
        <v>1</v>
      </c>
      <c r="O2" s="3" t="b">
        <v>0</v>
      </c>
    </row>
    <row r="3">
      <c r="A3" s="3" t="s">
        <v>194</v>
      </c>
      <c r="B3" s="3" t="s">
        <v>196</v>
      </c>
      <c r="C3" s="3" t="s">
        <v>194</v>
      </c>
      <c r="D3" s="3" t="s">
        <v>196</v>
      </c>
      <c r="E3" s="3" t="s">
        <v>649</v>
      </c>
      <c r="F3" s="3" t="s">
        <v>181</v>
      </c>
      <c r="G3" s="3" t="n">
        <v>1</v>
      </c>
      <c r="H3" s="3" t="s">
        <v>194</v>
      </c>
      <c r="I3" s="115" t="s">
        <v>645</v>
      </c>
      <c r="J3" s="115" t="s">
        <v>646</v>
      </c>
      <c r="K3" s="116" t="s">
        <v>647</v>
      </c>
      <c r="L3" s="3" t="n">
        <v>1</v>
      </c>
      <c r="M3" s="115" t="s">
        <v>648</v>
      </c>
      <c r="N3" s="3" t="b">
        <v>1</v>
      </c>
      <c r="O3" s="3" t="b">
        <v>0</v>
      </c>
    </row>
    <row r="4">
      <c r="A4" s="3" t="s">
        <v>263</v>
      </c>
      <c r="B4" s="3" t="s">
        <v>426</v>
      </c>
      <c r="C4" s="3" t="s">
        <v>267</v>
      </c>
      <c r="D4" s="3" t="s">
        <v>269</v>
      </c>
      <c r="E4" s="3" t="s">
        <v>644</v>
      </c>
      <c r="F4" s="3" t="s">
        <v>208</v>
      </c>
      <c r="G4" s="3" t="n">
        <v>1</v>
      </c>
      <c r="H4" s="3" t="s">
        <v>267</v>
      </c>
      <c r="I4" s="115" t="s">
        <v>650</v>
      </c>
      <c r="J4" s="115" t="s">
        <v>651</v>
      </c>
      <c r="K4" s="116" t="s">
        <v>652</v>
      </c>
      <c r="L4" s="3" t="n">
        <v>1</v>
      </c>
      <c r="M4" s="115" t="s">
        <v>653</v>
      </c>
      <c r="N4" s="3" t="b">
        <v>1</v>
      </c>
      <c r="O4" s="3" t="b">
        <v>0</v>
      </c>
    </row>
    <row r="5">
      <c r="A5" s="3" t="s">
        <v>263</v>
      </c>
      <c r="B5" s="3" t="s">
        <v>426</v>
      </c>
      <c r="C5" s="3" t="s">
        <v>274</v>
      </c>
      <c r="D5" s="3" t="s">
        <v>276</v>
      </c>
      <c r="E5" s="3" t="s">
        <v>644</v>
      </c>
      <c r="F5" s="3" t="s">
        <v>208</v>
      </c>
      <c r="G5" s="3" t="n">
        <v>1</v>
      </c>
      <c r="H5" s="3" t="s">
        <v>274</v>
      </c>
      <c r="I5" s="115" t="s">
        <v>650</v>
      </c>
      <c r="J5" s="115" t="s">
        <v>651</v>
      </c>
      <c r="K5" s="116" t="s">
        <v>652</v>
      </c>
      <c r="L5" s="3" t="n">
        <v>2</v>
      </c>
      <c r="M5" s="115" t="s">
        <v>653</v>
      </c>
      <c r="N5" s="3" t="b">
        <v>1</v>
      </c>
      <c r="O5" s="3" t="b">
        <v>0</v>
      </c>
    </row>
    <row r="6">
      <c r="A6" s="3" t="s">
        <v>263</v>
      </c>
      <c r="B6" s="3" t="s">
        <v>426</v>
      </c>
      <c r="C6" s="3" t="s">
        <v>259</v>
      </c>
      <c r="D6" s="3" t="s">
        <v>261</v>
      </c>
      <c r="E6" s="3" t="s">
        <v>644</v>
      </c>
      <c r="F6" s="3" t="s">
        <v>208</v>
      </c>
      <c r="G6" s="3" t="n">
        <v>1</v>
      </c>
      <c r="H6" s="3" t="s">
        <v>259</v>
      </c>
      <c r="I6" s="115" t="s">
        <v>650</v>
      </c>
      <c r="J6" s="115" t="s">
        <v>651</v>
      </c>
      <c r="K6" s="116" t="s">
        <v>652</v>
      </c>
      <c r="L6" s="3" t="n">
        <v>3</v>
      </c>
      <c r="M6" s="115" t="s">
        <v>653</v>
      </c>
      <c r="N6" s="3" t="b">
        <v>1</v>
      </c>
      <c r="O6" s="3" t="b">
        <v>0</v>
      </c>
    </row>
    <row r="7">
      <c r="A7" s="3" t="s">
        <v>171</v>
      </c>
      <c r="B7" s="3" t="s">
        <v>654</v>
      </c>
      <c r="C7" s="3" t="s">
        <v>171</v>
      </c>
      <c r="D7" s="3" t="s">
        <v>173</v>
      </c>
      <c r="E7" s="3" t="s">
        <v>649</v>
      </c>
      <c r="F7" s="3" t="s">
        <v>181</v>
      </c>
      <c r="G7" s="3" t="n">
        <v>1</v>
      </c>
      <c r="H7" s="3" t="s">
        <v>171</v>
      </c>
      <c r="I7" s="115" t="s">
        <v>645</v>
      </c>
      <c r="J7" s="115" t="s">
        <v>646</v>
      </c>
      <c r="K7" s="116" t="s">
        <v>647</v>
      </c>
      <c r="L7" s="3" t="n">
        <v>1</v>
      </c>
      <c r="M7" s="115" t="s">
        <v>655</v>
      </c>
      <c r="N7" s="3" t="b">
        <v>1</v>
      </c>
      <c r="O7" s="3" t="b">
        <v>0</v>
      </c>
    </row>
    <row r="8">
      <c r="A8" s="3" t="s">
        <v>207</v>
      </c>
      <c r="B8" s="3" t="s">
        <v>425</v>
      </c>
      <c r="C8" s="3" t="s">
        <v>226</v>
      </c>
      <c r="D8" s="3" t="s">
        <v>228</v>
      </c>
      <c r="E8" s="3" t="s">
        <v>656</v>
      </c>
      <c r="F8" s="3" t="s">
        <v>208</v>
      </c>
      <c r="G8" s="3" t="n">
        <v>1</v>
      </c>
      <c r="H8" s="3" t="s">
        <v>226</v>
      </c>
      <c r="I8" s="115" t="s">
        <v>650</v>
      </c>
      <c r="J8" s="115" t="s">
        <v>651</v>
      </c>
      <c r="K8" s="116" t="s">
        <v>652</v>
      </c>
      <c r="L8" s="3" t="n">
        <v>1</v>
      </c>
      <c r="M8" s="115" t="s">
        <v>657</v>
      </c>
      <c r="N8" s="3" t="b">
        <v>1</v>
      </c>
      <c r="O8" s="3" t="b">
        <v>0</v>
      </c>
    </row>
    <row r="9">
      <c r="A9" s="3" t="s">
        <v>207</v>
      </c>
      <c r="B9" s="3" t="s">
        <v>425</v>
      </c>
      <c r="C9" s="3" t="s">
        <v>212</v>
      </c>
      <c r="D9" s="3" t="s">
        <v>214</v>
      </c>
      <c r="E9" s="3" t="s">
        <v>656</v>
      </c>
      <c r="F9" s="3" t="s">
        <v>208</v>
      </c>
      <c r="G9" s="3" t="n">
        <v>1</v>
      </c>
      <c r="H9" s="3" t="s">
        <v>212</v>
      </c>
      <c r="I9" s="115" t="s">
        <v>650</v>
      </c>
      <c r="J9" s="115" t="s">
        <v>651</v>
      </c>
      <c r="K9" s="116" t="s">
        <v>652</v>
      </c>
      <c r="L9" s="3" t="n">
        <v>2</v>
      </c>
      <c r="M9" s="115" t="s">
        <v>657</v>
      </c>
      <c r="N9" s="3" t="b">
        <v>1</v>
      </c>
      <c r="O9" s="3" t="b">
        <v>0</v>
      </c>
    </row>
    <row r="10">
      <c r="A10" s="3" t="s">
        <v>207</v>
      </c>
      <c r="B10" s="3" t="s">
        <v>425</v>
      </c>
      <c r="C10" s="3" t="s">
        <v>219</v>
      </c>
      <c r="D10" s="3" t="s">
        <v>221</v>
      </c>
      <c r="E10" s="3" t="s">
        <v>656</v>
      </c>
      <c r="F10" s="3" t="s">
        <v>208</v>
      </c>
      <c r="G10" s="3" t="n">
        <v>1</v>
      </c>
      <c r="H10" s="3" t="s">
        <v>219</v>
      </c>
      <c r="I10" s="115" t="s">
        <v>650</v>
      </c>
      <c r="J10" s="115" t="s">
        <v>651</v>
      </c>
      <c r="K10" s="116" t="s">
        <v>652</v>
      </c>
      <c r="L10" s="3" t="n">
        <v>3</v>
      </c>
      <c r="M10" s="115" t="s">
        <v>657</v>
      </c>
      <c r="N10" s="3" t="b">
        <v>1</v>
      </c>
      <c r="O10" s="3" t="b">
        <v>0</v>
      </c>
    </row>
    <row r="11">
      <c r="A11" s="3" t="s">
        <v>207</v>
      </c>
      <c r="B11" s="3" t="s">
        <v>425</v>
      </c>
      <c r="C11" s="3" t="s">
        <v>202</v>
      </c>
      <c r="D11" s="3" t="s">
        <v>204</v>
      </c>
      <c r="E11" s="3" t="s">
        <v>656</v>
      </c>
      <c r="F11" s="3" t="s">
        <v>208</v>
      </c>
      <c r="G11" s="3" t="n">
        <v>1</v>
      </c>
      <c r="H11" s="3" t="s">
        <v>202</v>
      </c>
      <c r="I11" s="115" t="s">
        <v>650</v>
      </c>
      <c r="J11" s="115" t="s">
        <v>651</v>
      </c>
      <c r="K11" s="116" t="s">
        <v>652</v>
      </c>
      <c r="L11" s="3" t="n">
        <v>4</v>
      </c>
      <c r="M11" s="115" t="s">
        <v>657</v>
      </c>
      <c r="N11" s="3" t="b">
        <v>1</v>
      </c>
      <c r="O11" s="3" t="b">
        <v>0</v>
      </c>
    </row>
    <row r="12">
      <c r="A12" s="3" t="s">
        <v>244</v>
      </c>
      <c r="B12" s="3" t="s">
        <v>658</v>
      </c>
      <c r="C12" s="3" t="s">
        <v>244</v>
      </c>
      <c r="D12" s="3" t="s">
        <v>246</v>
      </c>
      <c r="E12" s="3" t="s">
        <v>656</v>
      </c>
      <c r="F12" s="3" t="s">
        <v>181</v>
      </c>
      <c r="G12" s="3" t="n">
        <v>1</v>
      </c>
      <c r="H12" s="3" t="s">
        <v>244</v>
      </c>
      <c r="I12" s="115" t="s">
        <v>645</v>
      </c>
      <c r="J12" s="115" t="s">
        <v>646</v>
      </c>
      <c r="K12" s="116" t="s">
        <v>647</v>
      </c>
      <c r="L12" s="3" t="n">
        <v>1</v>
      </c>
      <c r="M12" s="115" t="s">
        <v>659</v>
      </c>
      <c r="N12" s="3" t="b">
        <v>1</v>
      </c>
      <c r="O12" s="3" t="b">
        <v>0</v>
      </c>
    </row>
    <row r="13">
      <c r="A13" s="3" t="s">
        <v>233</v>
      </c>
      <c r="B13" s="3" t="s">
        <v>660</v>
      </c>
      <c r="C13" s="3" t="s">
        <v>233</v>
      </c>
      <c r="D13" s="3" t="s">
        <v>235</v>
      </c>
      <c r="E13" s="3" t="s">
        <v>656</v>
      </c>
      <c r="F13" s="3" t="s">
        <v>181</v>
      </c>
      <c r="G13" s="3" t="n">
        <v>1</v>
      </c>
      <c r="H13" s="3" t="s">
        <v>233</v>
      </c>
      <c r="I13" s="115" t="s">
        <v>645</v>
      </c>
      <c r="J13" s="115" t="s">
        <v>646</v>
      </c>
      <c r="K13" s="116" t="s">
        <v>647</v>
      </c>
      <c r="L13" s="3" t="n">
        <v>1</v>
      </c>
      <c r="M13" s="115" t="s">
        <v>648</v>
      </c>
      <c r="N13" s="3" t="b">
        <v>1</v>
      </c>
      <c r="O13" s="3" t="b">
        <v>0</v>
      </c>
    </row>
  </sheetData>
  <autoFilter ref="A1:O1"/>
  <pageMargins left="0.7" right="0.7" top="0.75" bottom="0.75" header="0.3" footer="0.3"/>
  <pageSetup paperSize="9" orientation="portrait" horizontalDpi="300" verticalDpi="300"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4.71" hidden="0" customWidth="1"/>
    <col min="2" max="2" width="11.71" hidden="0" customWidth="1"/>
    <col min="3" max="3" width="18.71" hidden="0" customWidth="1"/>
    <col min="4" max="4" width="15.71" hidden="0" customWidth="1"/>
    <col min="5" max="5" width="11.71" hidden="0" customWidth="1"/>
    <col min="6" max="6" width="11.71" hidden="0" customWidth="1"/>
    <col min="7" max="7" width="11.71" hidden="0" customWidth="1"/>
    <col min="8" max="8" width="11.71" hidden="0" customWidth="1"/>
    <col min="9" max="9" width="13.71" hidden="0" customWidth="1"/>
    <col min="10" max="10" width="21.71" hidden="0" customWidth="1"/>
    <col min="11" max="11" width="20.71" hidden="0" customWidth="1"/>
    <col min="12" max="12" width="22.71" hidden="0" customWidth="1"/>
    <col min="13" max="13" width="21.71" hidden="0" customWidth="1"/>
    <col min="14" max="14" width="12.71" hidden="0" customWidth="1"/>
    <col min="15" max="15" width="11.71" hidden="0" customWidth="1"/>
    <col min="16" max="16" width="24.71" hidden="0" customWidth="1"/>
    <col min="17" max="17" width="11.71" hidden="0" customWidth="1"/>
  </cols>
  <sheetData>
    <row r="1" ht="28" customHeight="1">
      <c r="A1" s="1" t="s">
        <v>661</v>
      </c>
      <c r="B1" s="1" t="s">
        <v>150</v>
      </c>
      <c r="C1" s="1" t="s">
        <v>662</v>
      </c>
      <c r="D1" s="1" t="s">
        <v>663</v>
      </c>
      <c r="E1" s="1" t="s">
        <v>664</v>
      </c>
      <c r="F1" s="1" t="s">
        <v>665</v>
      </c>
      <c r="G1" s="1" t="s">
        <v>666</v>
      </c>
      <c r="H1" s="1" t="s">
        <v>151</v>
      </c>
      <c r="I1" s="1" t="s">
        <v>667</v>
      </c>
      <c r="J1" s="1" t="s">
        <v>668</v>
      </c>
      <c r="K1" s="1" t="s">
        <v>669</v>
      </c>
      <c r="L1" s="1" t="s">
        <v>670</v>
      </c>
      <c r="M1" s="1" t="s">
        <v>671</v>
      </c>
      <c r="N1" s="1" t="s">
        <v>672</v>
      </c>
      <c r="O1" s="1" t="s">
        <v>5</v>
      </c>
      <c r="P1" s="1" t="s">
        <v>673</v>
      </c>
      <c r="Q1" s="1" t="s">
        <v>381</v>
      </c>
    </row>
    <row r="2">
      <c r="A2" s="3" t="s">
        <v>674</v>
      </c>
      <c r="B2" s="3" t="s">
        <v>252</v>
      </c>
      <c r="C2" s="3" t="s">
        <v>675</v>
      </c>
      <c r="D2" s="115" t="s">
        <v>676</v>
      </c>
      <c r="E2" s="3" t="n">
        <v>20</v>
      </c>
      <c r="F2" s="3" t="n">
        <v>95</v>
      </c>
      <c r="G2" s="3" t="s">
        <v>677</v>
      </c>
      <c r="H2" s="3" t="s">
        <v>189</v>
      </c>
      <c r="I2" s="3" t="s">
        <v>678</v>
      </c>
      <c r="J2" s="117" t="n">
        <v>1.6</v>
      </c>
      <c r="K2" s="3" t="s">
        <v>679</v>
      </c>
      <c r="L2" s="118" t="n">
        <v>1.6</v>
      </c>
      <c r="M2" s="3" t="s">
        <v>679</v>
      </c>
      <c r="N2" s="115" t="s">
        <v>680</v>
      </c>
      <c r="O2" s="115" t="s">
        <v>681</v>
      </c>
      <c r="P2" s="119" t="n">
        <v>1</v>
      </c>
      <c r="Q2" s="115" t="s">
        <v>682</v>
      </c>
    </row>
    <row r="3">
      <c r="A3" s="3" t="s">
        <v>683</v>
      </c>
      <c r="B3" s="3" t="s">
        <v>252</v>
      </c>
      <c r="C3" s="3" t="s">
        <v>675</v>
      </c>
      <c r="D3" s="115" t="s">
        <v>684</v>
      </c>
      <c r="E3" s="3" t="n">
        <v>20</v>
      </c>
      <c r="F3" s="3" t="n">
        <v>95</v>
      </c>
      <c r="G3" s="3" t="s">
        <v>677</v>
      </c>
      <c r="H3" s="3" t="s">
        <v>192</v>
      </c>
      <c r="I3" s="3" t="s">
        <v>685</v>
      </c>
      <c r="J3" s="117" t="n">
        <v>1.38</v>
      </c>
      <c r="K3" s="3" t="s">
        <v>679</v>
      </c>
      <c r="L3" s="118" t="n">
        <v>1.38</v>
      </c>
      <c r="M3" s="3" t="s">
        <v>679</v>
      </c>
      <c r="N3" s="115" t="s">
        <v>680</v>
      </c>
      <c r="O3" s="115" t="s">
        <v>681</v>
      </c>
      <c r="P3" s="119" t="n">
        <v>1</v>
      </c>
      <c r="Q3" s="115" t="s">
        <v>686</v>
      </c>
    </row>
    <row r="4">
      <c r="A4" s="3" t="s">
        <v>687</v>
      </c>
      <c r="B4" s="3" t="s">
        <v>252</v>
      </c>
      <c r="C4" s="3" t="s">
        <v>675</v>
      </c>
      <c r="D4" s="115" t="s">
        <v>688</v>
      </c>
      <c r="E4" s="3" t="n">
        <v>20</v>
      </c>
      <c r="F4" s="3" t="n">
        <v>95</v>
      </c>
      <c r="G4" s="3" t="s">
        <v>677</v>
      </c>
      <c r="H4" s="3" t="s">
        <v>186</v>
      </c>
      <c r="I4" s="3" t="s">
        <v>689</v>
      </c>
      <c r="J4" s="117" t="n">
        <v>1.19</v>
      </c>
      <c r="K4" s="3" t="s">
        <v>679</v>
      </c>
      <c r="L4" s="118" t="n">
        <v>1.19</v>
      </c>
      <c r="M4" s="3" t="s">
        <v>679</v>
      </c>
      <c r="N4" s="115" t="s">
        <v>680</v>
      </c>
      <c r="O4" s="115" t="s">
        <v>681</v>
      </c>
      <c r="P4" s="119" t="n">
        <v>1</v>
      </c>
      <c r="Q4" s="115" t="s">
        <v>690</v>
      </c>
    </row>
    <row r="5">
      <c r="A5" s="3" t="s">
        <v>691</v>
      </c>
      <c r="B5" s="3" t="s">
        <v>252</v>
      </c>
      <c r="C5" s="3" t="s">
        <v>675</v>
      </c>
      <c r="D5" s="115" t="s">
        <v>692</v>
      </c>
      <c r="E5" s="3" t="n">
        <v>20</v>
      </c>
      <c r="F5" s="3" t="n">
        <v>95</v>
      </c>
      <c r="G5" s="3" t="s">
        <v>677</v>
      </c>
      <c r="H5" s="3" t="s">
        <v>237</v>
      </c>
      <c r="I5" s="3" t="s">
        <v>693</v>
      </c>
      <c r="J5" s="117" t="n">
        <v>1.37</v>
      </c>
      <c r="K5" s="3" t="s">
        <v>679</v>
      </c>
      <c r="L5" s="118" t="n">
        <v>1.37</v>
      </c>
      <c r="M5" s="3" t="s">
        <v>679</v>
      </c>
      <c r="N5" s="115" t="s">
        <v>680</v>
      </c>
      <c r="O5" s="115" t="s">
        <v>694</v>
      </c>
      <c r="P5" s="119" t="n">
        <v>1</v>
      </c>
      <c r="Q5" s="115" t="s">
        <v>695</v>
      </c>
    </row>
    <row r="6">
      <c r="A6" s="3" t="s">
        <v>696</v>
      </c>
      <c r="B6" s="3" t="s">
        <v>174</v>
      </c>
      <c r="C6" s="3" t="s">
        <v>675</v>
      </c>
      <c r="D6" s="115" t="s">
        <v>697</v>
      </c>
      <c r="E6" s="3" t="n">
        <v>20</v>
      </c>
      <c r="F6" s="3" t="n">
        <v>95</v>
      </c>
      <c r="G6" s="3" t="s">
        <v>677</v>
      </c>
      <c r="H6" s="3" t="s">
        <v>189</v>
      </c>
      <c r="I6" s="3" t="s">
        <v>678</v>
      </c>
      <c r="J6" s="117" t="n">
        <v>1.06</v>
      </c>
      <c r="K6" s="3" t="s">
        <v>698</v>
      </c>
      <c r="L6" s="118" t="n">
        <v>1.00888038497497</v>
      </c>
      <c r="M6" s="3" t="s">
        <v>358</v>
      </c>
      <c r="N6" s="115" t="s">
        <v>699</v>
      </c>
      <c r="O6" s="115" t="s">
        <v>700</v>
      </c>
      <c r="P6" s="119" t="n">
        <v>1</v>
      </c>
      <c r="Q6" s="115" t="s">
        <v>701</v>
      </c>
    </row>
    <row r="7">
      <c r="A7" s="3" t="s">
        <v>702</v>
      </c>
      <c r="B7" s="3" t="s">
        <v>174</v>
      </c>
      <c r="C7" s="3" t="s">
        <v>675</v>
      </c>
      <c r="D7" s="115" t="s">
        <v>703</v>
      </c>
      <c r="E7" s="3" t="n">
        <v>20</v>
      </c>
      <c r="F7" s="3" t="n">
        <v>95</v>
      </c>
      <c r="G7" s="3" t="s">
        <v>677</v>
      </c>
      <c r="H7" s="3" t="s">
        <v>192</v>
      </c>
      <c r="I7" s="3" t="s">
        <v>685</v>
      </c>
      <c r="J7" s="117" t="n">
        <v>1.14</v>
      </c>
      <c r="K7" s="3" t="s">
        <v>698</v>
      </c>
      <c r="L7" s="118" t="n">
        <v>1.02007996271888</v>
      </c>
      <c r="M7" s="3" t="s">
        <v>358</v>
      </c>
      <c r="N7" s="115" t="s">
        <v>699</v>
      </c>
      <c r="O7" s="115" t="s">
        <v>700</v>
      </c>
      <c r="P7" s="119" t="n">
        <v>1</v>
      </c>
      <c r="Q7" s="115" t="s">
        <v>704</v>
      </c>
    </row>
    <row r="8">
      <c r="A8" s="3" t="s">
        <v>705</v>
      </c>
      <c r="B8" s="3" t="s">
        <v>174</v>
      </c>
      <c r="C8" s="3" t="s">
        <v>675</v>
      </c>
      <c r="D8" s="115" t="s">
        <v>706</v>
      </c>
      <c r="E8" s="3" t="n">
        <v>20</v>
      </c>
      <c r="F8" s="3" t="n">
        <v>95</v>
      </c>
      <c r="G8" s="3" t="s">
        <v>677</v>
      </c>
      <c r="H8" s="3" t="s">
        <v>186</v>
      </c>
      <c r="I8" s="3" t="s">
        <v>689</v>
      </c>
      <c r="J8" s="117" t="n">
        <v>1.14</v>
      </c>
      <c r="K8" s="3" t="s">
        <v>698</v>
      </c>
      <c r="L8" s="118" t="n">
        <v>1.02007996271888</v>
      </c>
      <c r="M8" s="3" t="s">
        <v>358</v>
      </c>
      <c r="N8" s="115" t="s">
        <v>699</v>
      </c>
      <c r="O8" s="115" t="s">
        <v>700</v>
      </c>
      <c r="P8" s="119" t="n">
        <v>1</v>
      </c>
      <c r="Q8" s="115" t="s">
        <v>704</v>
      </c>
    </row>
    <row r="9">
      <c r="A9" s="3" t="s">
        <v>707</v>
      </c>
      <c r="B9" s="3" t="s">
        <v>174</v>
      </c>
      <c r="C9" s="3" t="s">
        <v>675</v>
      </c>
      <c r="D9" s="115" t="s">
        <v>708</v>
      </c>
      <c r="E9" s="3" t="n">
        <v>20</v>
      </c>
      <c r="F9" s="3" t="n">
        <v>95</v>
      </c>
      <c r="G9" s="3" t="s">
        <v>677</v>
      </c>
      <c r="H9" s="3" t="s">
        <v>183</v>
      </c>
      <c r="I9" s="3" t="s">
        <v>709</v>
      </c>
      <c r="J9" s="117" t="n">
        <v>1.24</v>
      </c>
      <c r="K9" s="3" t="s">
        <v>698</v>
      </c>
      <c r="L9" s="118" t="n">
        <v>1.03317751043574</v>
      </c>
      <c r="M9" s="3" t="s">
        <v>358</v>
      </c>
      <c r="N9" s="115" t="s">
        <v>699</v>
      </c>
      <c r="O9" s="115" t="s">
        <v>700</v>
      </c>
      <c r="P9" s="119" t="n">
        <v>1</v>
      </c>
      <c r="Q9" s="115" t="s">
        <v>710</v>
      </c>
    </row>
    <row r="10">
      <c r="A10" s="3" t="s">
        <v>711</v>
      </c>
      <c r="B10" s="3" t="s">
        <v>174</v>
      </c>
      <c r="C10" s="3" t="s">
        <v>675</v>
      </c>
      <c r="D10" s="115" t="s">
        <v>712</v>
      </c>
      <c r="E10" s="3" t="n">
        <v>20</v>
      </c>
      <c r="F10" s="3" t="n">
        <v>95</v>
      </c>
      <c r="G10" s="3" t="s">
        <v>677</v>
      </c>
      <c r="H10" s="3" t="s">
        <v>175</v>
      </c>
      <c r="I10" s="3" t="s">
        <v>713</v>
      </c>
      <c r="J10" s="117" t="n">
        <v>1.09</v>
      </c>
      <c r="K10" s="3" t="s">
        <v>698</v>
      </c>
      <c r="L10" s="118" t="n">
        <v>1.01316167035158</v>
      </c>
      <c r="M10" s="3" t="s">
        <v>358</v>
      </c>
      <c r="N10" s="115" t="s">
        <v>699</v>
      </c>
      <c r="O10" s="115" t="s">
        <v>700</v>
      </c>
      <c r="P10" s="119" t="n">
        <v>1</v>
      </c>
      <c r="Q10" s="115" t="s">
        <v>714</v>
      </c>
    </row>
    <row r="11">
      <c r="A11" s="3" t="s">
        <v>715</v>
      </c>
      <c r="B11" s="3" t="s">
        <v>252</v>
      </c>
      <c r="C11" s="3" t="s">
        <v>675</v>
      </c>
      <c r="D11" s="115" t="s">
        <v>716</v>
      </c>
      <c r="E11" s="3" t="n">
        <v>20</v>
      </c>
      <c r="F11" s="3" t="n">
        <v>95</v>
      </c>
      <c r="G11" s="3" t="s">
        <v>677</v>
      </c>
      <c r="H11" s="3" t="s">
        <v>717</v>
      </c>
      <c r="I11" s="3" t="s">
        <v>718</v>
      </c>
      <c r="J11" s="117" t="n">
        <v>0.47</v>
      </c>
      <c r="K11" s="3" t="s">
        <v>719</v>
      </c>
      <c r="L11" s="118" t="n">
        <v>0.0615144568129612</v>
      </c>
      <c r="M11" s="3" t="s">
        <v>720</v>
      </c>
      <c r="N11" s="115" t="s">
        <v>721</v>
      </c>
      <c r="O11" s="115" t="s">
        <v>722</v>
      </c>
      <c r="P11" s="119" t="n">
        <v>1</v>
      </c>
      <c r="Q11" s="115" t="s">
        <v>723</v>
      </c>
    </row>
    <row r="12">
      <c r="A12" s="3" t="s">
        <v>724</v>
      </c>
      <c r="B12" s="3" t="s">
        <v>252</v>
      </c>
      <c r="C12" s="3" t="s">
        <v>675</v>
      </c>
      <c r="D12" s="115" t="s">
        <v>725</v>
      </c>
      <c r="E12" s="3" t="n">
        <v>20</v>
      </c>
      <c r="F12" s="3" t="n">
        <v>95</v>
      </c>
      <c r="G12" s="3" t="s">
        <v>677</v>
      </c>
      <c r="H12" s="3" t="s">
        <v>237</v>
      </c>
      <c r="I12" s="3" t="s">
        <v>693</v>
      </c>
      <c r="J12" s="117" t="n">
        <v>0.47</v>
      </c>
      <c r="K12" s="3" t="s">
        <v>726</v>
      </c>
      <c r="L12" s="118" t="n">
        <v>0.0615144568129612</v>
      </c>
      <c r="M12" s="3" t="s">
        <v>720</v>
      </c>
      <c r="N12" s="115" t="s">
        <v>727</v>
      </c>
      <c r="O12" s="115" t="s">
        <v>728</v>
      </c>
      <c r="P12" s="119" t="n">
        <v>1</v>
      </c>
      <c r="Q12" s="115" t="s">
        <v>729</v>
      </c>
    </row>
    <row r="13">
      <c r="A13" s="3" t="s">
        <v>730</v>
      </c>
      <c r="B13" s="3" t="s">
        <v>205</v>
      </c>
      <c r="C13" s="3" t="s">
        <v>675</v>
      </c>
      <c r="D13" s="115" t="s">
        <v>731</v>
      </c>
      <c r="E13" s="3" t="n">
        <v>0</v>
      </c>
      <c r="F13" s="3" t="n">
        <v>95</v>
      </c>
      <c r="G13" s="3" t="s">
        <v>677</v>
      </c>
      <c r="H13" s="3" t="s">
        <v>732</v>
      </c>
      <c r="I13" s="3" t="s">
        <v>718</v>
      </c>
      <c r="J13" s="117" t="n">
        <v>1.06</v>
      </c>
      <c r="K13" s="3" t="s">
        <v>360</v>
      </c>
      <c r="L13" s="118" t="n">
        <v>1.06</v>
      </c>
      <c r="M13" s="3" t="s">
        <v>360</v>
      </c>
      <c r="N13" s="115" t="s">
        <v>680</v>
      </c>
      <c r="O13" s="115" t="s">
        <v>733</v>
      </c>
      <c r="P13" s="119" t="n">
        <v>1</v>
      </c>
      <c r="Q13" s="115" t="s">
        <v>734</v>
      </c>
    </row>
    <row r="14">
      <c r="A14" s="3" t="s">
        <v>735</v>
      </c>
      <c r="B14" s="3" t="s">
        <v>247</v>
      </c>
      <c r="C14" s="3" t="s">
        <v>675</v>
      </c>
      <c r="D14" s="115" t="s">
        <v>736</v>
      </c>
      <c r="E14" s="3" t="n">
        <v>0</v>
      </c>
      <c r="F14" s="3" t="n">
        <v>95</v>
      </c>
      <c r="G14" s="3" t="s">
        <v>677</v>
      </c>
      <c r="H14" s="3" t="s">
        <v>189</v>
      </c>
      <c r="I14" s="3" t="s">
        <v>678</v>
      </c>
      <c r="J14" s="117" t="n">
        <v>1.1</v>
      </c>
      <c r="K14" s="3" t="s">
        <v>737</v>
      </c>
      <c r="L14" s="118" t="n">
        <v>1.1</v>
      </c>
      <c r="M14" s="3" t="s">
        <v>362</v>
      </c>
      <c r="N14" s="115" t="s">
        <v>738</v>
      </c>
      <c r="O14" s="115" t="s">
        <v>739</v>
      </c>
      <c r="P14" s="119" t="n">
        <v>1</v>
      </c>
      <c r="Q14" s="115" t="s">
        <v>740</v>
      </c>
    </row>
    <row r="15">
      <c r="A15" s="3" t="s">
        <v>741</v>
      </c>
      <c r="B15" s="3" t="s">
        <v>247</v>
      </c>
      <c r="C15" s="3" t="s">
        <v>742</v>
      </c>
      <c r="D15" s="115" t="s">
        <v>743</v>
      </c>
      <c r="E15" s="3" t="n">
        <v>0</v>
      </c>
      <c r="F15" s="3" t="n">
        <v>95</v>
      </c>
      <c r="G15" s="3" t="s">
        <v>677</v>
      </c>
      <c r="H15" s="3" t="s">
        <v>189</v>
      </c>
      <c r="I15" s="3" t="s">
        <v>678</v>
      </c>
      <c r="J15" s="117" t="n">
        <v>0</v>
      </c>
      <c r="K15" s="3" t="s">
        <v>49</v>
      </c>
      <c r="L15" s="118" t="n">
        <v>0</v>
      </c>
      <c r="M15" s="3" t="s">
        <v>49</v>
      </c>
      <c r="N15" s="115" t="s">
        <v>744</v>
      </c>
      <c r="O15" s="115" t="s">
        <v>745</v>
      </c>
      <c r="P15" s="119" t="n">
        <v>0</v>
      </c>
      <c r="Q15" s="115" t="s">
        <v>746</v>
      </c>
    </row>
    <row r="16">
      <c r="A16" s="3" t="s">
        <v>747</v>
      </c>
      <c r="B16" s="3" t="s">
        <v>247</v>
      </c>
      <c r="C16" s="3" t="s">
        <v>748</v>
      </c>
      <c r="D16" s="115" t="s">
        <v>749</v>
      </c>
      <c r="E16" s="3" t="n">
        <v>0</v>
      </c>
      <c r="F16" s="3" t="n">
        <v>95</v>
      </c>
      <c r="G16" s="3" t="s">
        <v>677</v>
      </c>
      <c r="H16" s="3" t="s">
        <v>189</v>
      </c>
      <c r="I16" s="3" t="s">
        <v>750</v>
      </c>
      <c r="J16" s="117" t="n">
        <v>1</v>
      </c>
      <c r="K16" s="3" t="s">
        <v>751</v>
      </c>
      <c r="L16" s="118" t="n">
        <v>1</v>
      </c>
      <c r="M16" s="3" t="s">
        <v>751</v>
      </c>
      <c r="N16" s="115" t="s">
        <v>752</v>
      </c>
      <c r="O16" s="115" t="s">
        <v>753</v>
      </c>
      <c r="P16" s="119" t="n">
        <v>0</v>
      </c>
      <c r="Q16" s="115" t="s">
        <v>754</v>
      </c>
    </row>
    <row r="17">
      <c r="A17" s="3" t="s">
        <v>755</v>
      </c>
      <c r="B17" s="3" t="s">
        <v>247</v>
      </c>
      <c r="C17" s="3" t="s">
        <v>748</v>
      </c>
      <c r="D17" s="115" t="s">
        <v>756</v>
      </c>
      <c r="E17" s="3" t="n">
        <v>0</v>
      </c>
      <c r="F17" s="3" t="n">
        <v>95</v>
      </c>
      <c r="G17" s="3" t="s">
        <v>677</v>
      </c>
      <c r="H17" s="3" t="s">
        <v>189</v>
      </c>
      <c r="I17" s="3" t="s">
        <v>750</v>
      </c>
      <c r="J17" s="117" t="n">
        <v>1</v>
      </c>
      <c r="K17" s="3" t="s">
        <v>751</v>
      </c>
      <c r="L17" s="118" t="n">
        <v>1</v>
      </c>
      <c r="M17" s="3" t="s">
        <v>751</v>
      </c>
      <c r="N17" s="115" t="s">
        <v>752</v>
      </c>
      <c r="O17" s="115" t="s">
        <v>753</v>
      </c>
      <c r="P17" s="119" t="n">
        <v>0</v>
      </c>
      <c r="Q17" s="115" t="s">
        <v>754</v>
      </c>
    </row>
    <row r="18">
      <c r="A18" s="3" t="s">
        <v>757</v>
      </c>
      <c r="B18" s="3" t="s">
        <v>247</v>
      </c>
      <c r="C18" s="3" t="s">
        <v>748</v>
      </c>
      <c r="D18" s="115" t="s">
        <v>758</v>
      </c>
      <c r="E18" s="3" t="n">
        <v>0</v>
      </c>
      <c r="F18" s="3" t="n">
        <v>95</v>
      </c>
      <c r="G18" s="3" t="s">
        <v>677</v>
      </c>
      <c r="H18" s="3" t="s">
        <v>189</v>
      </c>
      <c r="I18" s="3" t="s">
        <v>750</v>
      </c>
      <c r="J18" s="117" t="n">
        <v>1</v>
      </c>
      <c r="K18" s="3" t="s">
        <v>751</v>
      </c>
      <c r="L18" s="118" t="n">
        <v>1</v>
      </c>
      <c r="M18" s="3" t="s">
        <v>751</v>
      </c>
      <c r="N18" s="115" t="s">
        <v>752</v>
      </c>
      <c r="O18" s="115" t="s">
        <v>753</v>
      </c>
      <c r="P18" s="119" t="n">
        <v>0</v>
      </c>
      <c r="Q18" s="115" t="s">
        <v>754</v>
      </c>
    </row>
    <row r="19">
      <c r="A19" s="3" t="s">
        <v>759</v>
      </c>
      <c r="B19" s="3" t="s">
        <v>247</v>
      </c>
      <c r="C19" s="3" t="s">
        <v>748</v>
      </c>
      <c r="D19" s="115" t="s">
        <v>760</v>
      </c>
      <c r="E19" s="3" t="n">
        <v>0</v>
      </c>
      <c r="F19" s="3" t="n">
        <v>95</v>
      </c>
      <c r="G19" s="3" t="s">
        <v>677</v>
      </c>
      <c r="H19" s="3" t="s">
        <v>189</v>
      </c>
      <c r="I19" s="3" t="s">
        <v>750</v>
      </c>
      <c r="J19" s="117" t="n">
        <v>0.297</v>
      </c>
      <c r="K19" s="3" t="s">
        <v>751</v>
      </c>
      <c r="L19" s="118" t="n">
        <v>0.297</v>
      </c>
      <c r="M19" s="3" t="s">
        <v>751</v>
      </c>
      <c r="N19" s="115" t="s">
        <v>752</v>
      </c>
      <c r="O19" s="115" t="s">
        <v>753</v>
      </c>
      <c r="P19" s="119" t="n">
        <v>0</v>
      </c>
      <c r="Q19" s="115" t="s">
        <v>754</v>
      </c>
    </row>
    <row r="20">
      <c r="A20" s="3" t="s">
        <v>761</v>
      </c>
      <c r="B20" s="3" t="s">
        <v>247</v>
      </c>
      <c r="C20" s="3" t="s">
        <v>748</v>
      </c>
      <c r="D20" s="115" t="s">
        <v>762</v>
      </c>
      <c r="E20" s="3" t="n">
        <v>0</v>
      </c>
      <c r="F20" s="3" t="n">
        <v>95</v>
      </c>
      <c r="G20" s="3" t="s">
        <v>677</v>
      </c>
      <c r="H20" s="3" t="s">
        <v>189</v>
      </c>
      <c r="I20" s="3" t="s">
        <v>750</v>
      </c>
      <c r="J20" s="117" t="n">
        <v>0</v>
      </c>
      <c r="K20" s="3" t="s">
        <v>751</v>
      </c>
      <c r="L20" s="118" t="n">
        <v>0</v>
      </c>
      <c r="M20" s="3" t="s">
        <v>751</v>
      </c>
      <c r="N20" s="115" t="s">
        <v>752</v>
      </c>
      <c r="O20" s="115" t="s">
        <v>753</v>
      </c>
      <c r="P20" s="119" t="n">
        <v>0</v>
      </c>
      <c r="Q20" s="115" t="s">
        <v>754</v>
      </c>
    </row>
    <row r="21">
      <c r="A21" s="3" t="s">
        <v>763</v>
      </c>
      <c r="B21" s="3" t="s">
        <v>236</v>
      </c>
      <c r="C21" s="3" t="s">
        <v>675</v>
      </c>
      <c r="D21" s="115" t="s">
        <v>764</v>
      </c>
      <c r="E21" s="3" t="n">
        <v>20</v>
      </c>
      <c r="F21" s="3" t="n">
        <v>95</v>
      </c>
      <c r="G21" s="3" t="s">
        <v>677</v>
      </c>
      <c r="H21" s="3" t="s">
        <v>189</v>
      </c>
      <c r="I21" s="3" t="s">
        <v>678</v>
      </c>
      <c r="J21" s="117" t="n">
        <v>1.14</v>
      </c>
      <c r="K21" s="3" t="s">
        <v>765</v>
      </c>
      <c r="L21" s="118" t="n">
        <v>1.14</v>
      </c>
      <c r="M21" s="3" t="s">
        <v>765</v>
      </c>
      <c r="N21" s="115" t="s">
        <v>766</v>
      </c>
      <c r="O21" s="115" t="s">
        <v>767</v>
      </c>
      <c r="P21" s="119" t="n">
        <v>1</v>
      </c>
      <c r="Q21" s="115" t="s">
        <v>768</v>
      </c>
    </row>
    <row r="22">
      <c r="A22" s="3" t="s">
        <v>769</v>
      </c>
      <c r="B22" s="3" t="s">
        <v>236</v>
      </c>
      <c r="C22" s="3" t="s">
        <v>675</v>
      </c>
      <c r="D22" s="115" t="s">
        <v>770</v>
      </c>
      <c r="E22" s="3" t="n">
        <v>20</v>
      </c>
      <c r="F22" s="3" t="n">
        <v>95</v>
      </c>
      <c r="G22" s="3" t="s">
        <v>677</v>
      </c>
      <c r="H22" s="3" t="s">
        <v>192</v>
      </c>
      <c r="I22" s="3" t="s">
        <v>685</v>
      </c>
      <c r="J22" s="117" t="n">
        <v>1.07</v>
      </c>
      <c r="K22" s="3" t="s">
        <v>765</v>
      </c>
      <c r="L22" s="118" t="n">
        <v>1.07</v>
      </c>
      <c r="M22" s="3" t="s">
        <v>765</v>
      </c>
      <c r="N22" s="115" t="s">
        <v>766</v>
      </c>
      <c r="O22" s="115" t="s">
        <v>767</v>
      </c>
      <c r="P22" s="119" t="n">
        <v>1</v>
      </c>
      <c r="Q22" s="115" t="s">
        <v>768</v>
      </c>
    </row>
    <row r="23">
      <c r="A23" s="3" t="s">
        <v>771</v>
      </c>
      <c r="B23" s="3" t="s">
        <v>236</v>
      </c>
      <c r="C23" s="3" t="s">
        <v>675</v>
      </c>
      <c r="D23" s="115" t="s">
        <v>772</v>
      </c>
      <c r="E23" s="3" t="n">
        <v>20</v>
      </c>
      <c r="F23" s="3" t="n">
        <v>95</v>
      </c>
      <c r="G23" s="3" t="s">
        <v>677</v>
      </c>
      <c r="H23" s="3" t="s">
        <v>186</v>
      </c>
      <c r="I23" s="3" t="s">
        <v>689</v>
      </c>
      <c r="J23" s="117" t="n">
        <v>1.08</v>
      </c>
      <c r="K23" s="3" t="s">
        <v>773</v>
      </c>
      <c r="L23" s="118" t="n">
        <v>1.08</v>
      </c>
      <c r="M23" s="3" t="s">
        <v>765</v>
      </c>
      <c r="N23" s="115" t="s">
        <v>774</v>
      </c>
      <c r="O23" s="115" t="s">
        <v>775</v>
      </c>
      <c r="P23" s="119" t="n">
        <v>1</v>
      </c>
      <c r="Q23" s="115" t="s">
        <v>729</v>
      </c>
    </row>
    <row r="24">
      <c r="A24" s="3" t="s">
        <v>776</v>
      </c>
      <c r="B24" s="3" t="s">
        <v>236</v>
      </c>
      <c r="C24" s="3" t="s">
        <v>675</v>
      </c>
      <c r="D24" s="115" t="s">
        <v>777</v>
      </c>
      <c r="E24" s="3" t="n">
        <v>20</v>
      </c>
      <c r="F24" s="3" t="n">
        <v>95</v>
      </c>
      <c r="G24" s="3" t="s">
        <v>677</v>
      </c>
      <c r="H24" s="3" t="s">
        <v>183</v>
      </c>
      <c r="I24" s="3" t="s">
        <v>709</v>
      </c>
      <c r="J24" s="117" t="n">
        <v>1.1</v>
      </c>
      <c r="K24" s="3" t="s">
        <v>778</v>
      </c>
      <c r="L24" s="118" t="n">
        <v>1.1</v>
      </c>
      <c r="M24" s="3" t="s">
        <v>765</v>
      </c>
      <c r="N24" s="115" t="s">
        <v>779</v>
      </c>
      <c r="O24" s="115" t="s">
        <v>780</v>
      </c>
      <c r="P24" s="119" t="n">
        <v>1</v>
      </c>
      <c r="Q24" s="115" t="s">
        <v>729</v>
      </c>
    </row>
    <row r="25">
      <c r="A25" s="3" t="s">
        <v>781</v>
      </c>
      <c r="B25" s="3" t="s">
        <v>236</v>
      </c>
      <c r="C25" s="3" t="s">
        <v>675</v>
      </c>
      <c r="D25" s="115" t="s">
        <v>782</v>
      </c>
      <c r="E25" s="3" t="n">
        <v>20</v>
      </c>
      <c r="F25" s="3" t="n">
        <v>95</v>
      </c>
      <c r="G25" s="3" t="s">
        <v>677</v>
      </c>
      <c r="H25" s="3" t="s">
        <v>237</v>
      </c>
      <c r="I25" s="3" t="s">
        <v>693</v>
      </c>
      <c r="J25" s="117" t="n">
        <v>1.18</v>
      </c>
      <c r="K25" s="3" t="s">
        <v>765</v>
      </c>
      <c r="L25" s="118" t="n">
        <v>1.18</v>
      </c>
      <c r="M25" s="3" t="s">
        <v>765</v>
      </c>
      <c r="N25" s="115" t="s">
        <v>766</v>
      </c>
      <c r="O25" s="115" t="s">
        <v>767</v>
      </c>
      <c r="P25" s="119" t="n">
        <v>1</v>
      </c>
      <c r="Q25" s="115" t="s">
        <v>768</v>
      </c>
    </row>
    <row r="26">
      <c r="A26" s="3" t="s">
        <v>783</v>
      </c>
      <c r="B26" s="3" t="s">
        <v>236</v>
      </c>
      <c r="C26" s="3" t="s">
        <v>748</v>
      </c>
      <c r="D26" s="115" t="s">
        <v>784</v>
      </c>
      <c r="E26" s="3" t="n">
        <v>20</v>
      </c>
      <c r="F26" s="3" t="n">
        <v>95</v>
      </c>
      <c r="G26" s="3" t="s">
        <v>677</v>
      </c>
      <c r="H26" s="3" t="s">
        <v>237</v>
      </c>
      <c r="I26" s="3" t="s">
        <v>785</v>
      </c>
      <c r="J26" s="117" t="n">
        <v>0.024</v>
      </c>
      <c r="K26" s="3" t="s">
        <v>786</v>
      </c>
      <c r="L26" s="118" t="n">
        <v>0.024</v>
      </c>
      <c r="M26" s="3" t="s">
        <v>49</v>
      </c>
      <c r="N26" s="115" t="s">
        <v>787</v>
      </c>
      <c r="O26" s="115" t="s">
        <v>767</v>
      </c>
      <c r="P26" s="119" t="n">
        <v>0</v>
      </c>
      <c r="Q26" s="115" t="s">
        <v>788</v>
      </c>
    </row>
    <row r="27">
      <c r="A27" s="3" t="s">
        <v>789</v>
      </c>
      <c r="B27" s="3" t="s">
        <v>236</v>
      </c>
      <c r="C27" s="3" t="s">
        <v>748</v>
      </c>
      <c r="D27" s="115" t="s">
        <v>790</v>
      </c>
      <c r="E27" s="3" t="n">
        <v>20</v>
      </c>
      <c r="F27" s="3" t="n">
        <v>95</v>
      </c>
      <c r="G27" s="3" t="s">
        <v>677</v>
      </c>
      <c r="H27" s="3" t="s">
        <v>791</v>
      </c>
      <c r="I27" s="3" t="s">
        <v>792</v>
      </c>
      <c r="J27" s="117" t="n">
        <v>0.009</v>
      </c>
      <c r="K27" s="3" t="s">
        <v>786</v>
      </c>
      <c r="L27" s="118" t="n">
        <v>0.009</v>
      </c>
      <c r="M27" s="3" t="s">
        <v>49</v>
      </c>
      <c r="N27" s="115" t="s">
        <v>787</v>
      </c>
      <c r="O27" s="115" t="s">
        <v>767</v>
      </c>
      <c r="P27" s="119" t="n">
        <v>0</v>
      </c>
      <c r="Q27" s="115" t="s">
        <v>788</v>
      </c>
    </row>
    <row r="28">
      <c r="A28" s="3" t="s">
        <v>793</v>
      </c>
      <c r="B28" s="3" t="s">
        <v>236</v>
      </c>
      <c r="C28" s="3" t="s">
        <v>748</v>
      </c>
      <c r="D28" s="115" t="s">
        <v>794</v>
      </c>
      <c r="E28" s="3" t="n">
        <v>20</v>
      </c>
      <c r="F28" s="3" t="n">
        <v>95</v>
      </c>
      <c r="G28" s="3" t="s">
        <v>677</v>
      </c>
      <c r="H28" s="3" t="s">
        <v>237</v>
      </c>
      <c r="I28" s="3" t="s">
        <v>795</v>
      </c>
      <c r="J28" s="117" t="n">
        <v>0.012</v>
      </c>
      <c r="K28" s="3" t="s">
        <v>786</v>
      </c>
      <c r="L28" s="118" t="n">
        <v>0.012</v>
      </c>
      <c r="M28" s="3" t="s">
        <v>49</v>
      </c>
      <c r="N28" s="115" t="s">
        <v>787</v>
      </c>
      <c r="O28" s="115" t="s">
        <v>767</v>
      </c>
      <c r="P28" s="119" t="n">
        <v>0</v>
      </c>
      <c r="Q28" s="115" t="s">
        <v>788</v>
      </c>
    </row>
    <row r="29">
      <c r="A29" s="3" t="s">
        <v>796</v>
      </c>
      <c r="B29" s="3" t="s">
        <v>236</v>
      </c>
      <c r="C29" s="3" t="s">
        <v>748</v>
      </c>
      <c r="D29" s="115" t="s">
        <v>797</v>
      </c>
      <c r="E29" s="3" t="n">
        <v>20</v>
      </c>
      <c r="F29" s="3" t="n">
        <v>95</v>
      </c>
      <c r="G29" s="3" t="s">
        <v>677</v>
      </c>
      <c r="H29" s="3" t="s">
        <v>791</v>
      </c>
      <c r="I29" s="3" t="s">
        <v>798</v>
      </c>
      <c r="J29" s="117" t="n">
        <v>0.008</v>
      </c>
      <c r="K29" s="3" t="s">
        <v>786</v>
      </c>
      <c r="L29" s="118" t="n">
        <v>0.008</v>
      </c>
      <c r="M29" s="3" t="s">
        <v>49</v>
      </c>
      <c r="N29" s="115" t="s">
        <v>787</v>
      </c>
      <c r="O29" s="115" t="s">
        <v>767</v>
      </c>
      <c r="P29" s="119" t="n">
        <v>0</v>
      </c>
      <c r="Q29" s="115" t="s">
        <v>788</v>
      </c>
    </row>
  </sheetData>
  <autoFilter ref="A1:Q1"/>
  <pageMargins left="0.7" right="0.7" top="0.75" bottom="0.75" header="0.3" footer="0.3"/>
  <pageSetup paperSize="9" orientation="portrait" horizontalDpi="300" verticalDpi="300"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16.71" hidden="0" customWidth="1"/>
    <col min="4" max="4" width="15.71" hidden="0" customWidth="1"/>
    <col min="5" max="5" width="19.71" hidden="0" customWidth="1"/>
    <col min="6" max="6" width="21.71" hidden="0" customWidth="1"/>
    <col min="7" max="7" width="18.71" hidden="0" customWidth="1"/>
    <col min="8" max="8" width="17.71" hidden="0" customWidth="1"/>
    <col min="9" max="9" width="15.71" hidden="0" customWidth="1"/>
    <col min="10" max="10" width="16.71" hidden="0" customWidth="1"/>
    <col min="11" max="11" width="15.71" hidden="0" customWidth="1"/>
    <col min="12" max="12" width="16.71" hidden="0" customWidth="1"/>
    <col min="13" max="13" width="17.71" hidden="0" customWidth="1"/>
    <col min="14" max="14" width="16.71" hidden="0" customWidth="1"/>
    <col min="15" max="15" width="18.71" hidden="0" customWidth="1"/>
    <col min="16" max="16" width="23.71" hidden="0" customWidth="1"/>
    <col min="17" max="17" width="23.71" hidden="0" customWidth="1"/>
    <col min="18" max="18" width="24.71" hidden="0" customWidth="1"/>
    <col min="19" max="19" width="11.71" hidden="0" customWidth="1"/>
  </cols>
  <sheetData>
    <row r="1" ht="28" customHeight="1">
      <c r="A1" s="1" t="s">
        <v>415</v>
      </c>
      <c r="B1" s="1" t="s">
        <v>416</v>
      </c>
      <c r="C1" s="1" t="s">
        <v>799</v>
      </c>
      <c r="D1" s="1" t="s">
        <v>367</v>
      </c>
      <c r="E1" s="1" t="s">
        <v>168</v>
      </c>
      <c r="F1" s="1" t="s">
        <v>800</v>
      </c>
      <c r="G1" s="1" t="s">
        <v>801</v>
      </c>
      <c r="H1" s="1" t="s">
        <v>640</v>
      </c>
      <c r="I1" s="1" t="s">
        <v>802</v>
      </c>
      <c r="J1" s="1" t="s">
        <v>803</v>
      </c>
      <c r="K1" s="1" t="s">
        <v>423</v>
      </c>
      <c r="L1" s="1" t="s">
        <v>804</v>
      </c>
      <c r="M1" s="1" t="s">
        <v>805</v>
      </c>
      <c r="N1" s="1" t="s">
        <v>422</v>
      </c>
      <c r="O1" s="1" t="s">
        <v>443</v>
      </c>
      <c r="P1" s="1" t="s">
        <v>444</v>
      </c>
      <c r="Q1" s="1" t="s">
        <v>806</v>
      </c>
      <c r="R1" s="1" t="s">
        <v>447</v>
      </c>
      <c r="S1" s="1" t="s">
        <v>458</v>
      </c>
    </row>
    <row r="2">
      <c r="A2" t="s">
        <v>249</v>
      </c>
      <c r="B2" s="21" t="s">
        <v>251</v>
      </c>
      <c r="C2" t="s">
        <v>181</v>
      </c>
      <c r="D2" t="s">
        <v>181</v>
      </c>
      <c r="E2"/>
      <c r="F2"/>
      <c r="G2" s="21" t="s">
        <v>249</v>
      </c>
      <c r="H2" t="n">
        <v>1</v>
      </c>
      <c r="I2" s="120" t="str">
        <f>SUMIFS('Annual_Mortality'!$E$2:$E$2731,'Annual_Mortality'!$A$2:$A$2731,A2)</f>
      </c>
      <c r="J2" s="121" t="str">
        <f>SUMIFS('Annual_Mortality'!$G$2:$G$2731,'Annual_Mortality'!$A$2:$A$2731,A2)</f>
      </c>
      <c r="K2" s="122" t="str">
        <f>SUMIFS('Annual_Mortality'!$J$2:$J$2731,'Annual_Mortality'!$A$2:$A$2731,A2)</f>
      </c>
      <c r="L2" s="123" t="str">
        <f>SUMIFS('Annual_Mortality'!$F$2:$F$2731,'Annual_Mortality'!$A$2:$A$2731,A2)</f>
      </c>
      <c r="M2" s="124" t="str">
        <f>SUMIFS('Annual_Mortality'!$H$2:$H$2731,'Annual_Mortality'!$A$2:$A$2731,A2)</f>
      </c>
      <c r="N2" s="125" t="str">
        <f>SUMIFS('Annual_Mortality'!$I$2:$I$2731,'Annual_Mortality'!$A$2:$A$2731,A2)</f>
      </c>
      <c r="O2" s="126" t="str">
        <f>SUMIFS('Budget_Impact'!$E$2:$E$391,'Budget_Impact'!$A$2:$A$391,A2)</f>
      </c>
      <c r="P2" s="127" t="str">
        <f>SUMIFS('Budget_Impact'!$F$2:$F$391,'Budget_Impact'!$A$2:$A$391,A2)</f>
      </c>
      <c r="Q2" s="128" t="str">
        <f>IF(K2&gt;0,P2/K2,"")</f>
      </c>
      <c r="R2" s="129" t="str">
        <f>IF(N2&gt;0,P2/N2,"")</f>
      </c>
      <c r="S2" s="114" t="str">
        <f>IF(AND(K2&lt;=0,N2&lt;=0),"no incremental health effect",IF(AND(P2&lt;0,OR(K2&gt;0,N2&gt;0)),"Dominant (more health, lower cost)",IF(N2&gt;0,"USD per death averted","USD per case averted")))</f>
      </c>
    </row>
    <row r="3">
      <c r="A3" t="s">
        <v>194</v>
      </c>
      <c r="B3" s="21" t="s">
        <v>196</v>
      </c>
      <c r="C3" t="s">
        <v>181</v>
      </c>
      <c r="D3" t="s">
        <v>181</v>
      </c>
      <c r="E3"/>
      <c r="F3"/>
      <c r="G3" s="21" t="s">
        <v>194</v>
      </c>
      <c r="H3" t="n">
        <v>1</v>
      </c>
      <c r="I3" s="120" t="str">
        <f>SUMIFS('Annual_Mortality'!$E$2:$E$2731,'Annual_Mortality'!$A$2:$A$2731,A3)</f>
      </c>
      <c r="J3" s="121" t="str">
        <f>SUMIFS('Annual_Mortality'!$G$2:$G$2731,'Annual_Mortality'!$A$2:$A$2731,A3)</f>
      </c>
      <c r="K3" s="122" t="str">
        <f>SUMIFS('Annual_Mortality'!$J$2:$J$2731,'Annual_Mortality'!$A$2:$A$2731,A3)</f>
      </c>
      <c r="L3" s="123" t="str">
        <f>SUMIFS('Annual_Mortality'!$F$2:$F$2731,'Annual_Mortality'!$A$2:$A$2731,A3)</f>
      </c>
      <c r="M3" s="124" t="str">
        <f>SUMIFS('Annual_Mortality'!$H$2:$H$2731,'Annual_Mortality'!$A$2:$A$2731,A3)</f>
      </c>
      <c r="N3" s="125" t="str">
        <f>SUMIFS('Annual_Mortality'!$I$2:$I$2731,'Annual_Mortality'!$A$2:$A$2731,A3)</f>
      </c>
      <c r="O3" s="126" t="str">
        <f>SUMIFS('Budget_Impact'!$E$2:$E$391,'Budget_Impact'!$A$2:$A$391,A3)</f>
      </c>
      <c r="P3" s="127" t="str">
        <f>SUMIFS('Budget_Impact'!$F$2:$F$391,'Budget_Impact'!$A$2:$A$391,A3)</f>
      </c>
      <c r="Q3" s="128" t="str">
        <f>IF(K3&gt;0,P3/K3,"")</f>
      </c>
      <c r="R3" s="129" t="str">
        <f>IF(N3&gt;0,P3/N3,"")</f>
      </c>
      <c r="S3" s="114" t="str">
        <f>IF(AND(K3&lt;=0,N3&lt;=0),"no incremental health effect",IF(AND(P3&lt;0,OR(K3&gt;0,N3&gt;0)),"Dominant (more health, lower cost)",IF(N3&gt;0,"USD per death averted","USD per case averted")))</f>
      </c>
    </row>
    <row r="4">
      <c r="A4" t="s">
        <v>267</v>
      </c>
      <c r="B4" s="21" t="s">
        <v>269</v>
      </c>
      <c r="C4" t="s">
        <v>181</v>
      </c>
      <c r="D4" t="s">
        <v>208</v>
      </c>
      <c r="E4" t="s">
        <v>263</v>
      </c>
      <c r="F4" t="s">
        <v>426</v>
      </c>
      <c r="G4" s="21" t="s">
        <v>267</v>
      </c>
      <c r="H4" t="n">
        <v>1</v>
      </c>
      <c r="I4" s="120" t="str">
        <f>SUMIFS('Annual_Mortality'!$E$2:$E$2731,'Annual_Mortality'!$A$2:$A$2731,A4)</f>
      </c>
      <c r="J4" s="121" t="str">
        <f>SUMIFS('Annual_Mortality'!$G$2:$G$2731,'Annual_Mortality'!$A$2:$A$2731,A4)</f>
      </c>
      <c r="K4" s="122" t="str">
        <f>SUMIFS('Annual_Mortality'!$J$2:$J$2731,'Annual_Mortality'!$A$2:$A$2731,A4)</f>
      </c>
      <c r="L4" s="123" t="str">
        <f>SUMIFS('Annual_Mortality'!$F$2:$F$2731,'Annual_Mortality'!$A$2:$A$2731,A4)</f>
      </c>
      <c r="M4" s="124" t="str">
        <f>SUMIFS('Annual_Mortality'!$H$2:$H$2731,'Annual_Mortality'!$A$2:$A$2731,A4)</f>
      </c>
      <c r="N4" s="125" t="str">
        <f>SUMIFS('Annual_Mortality'!$I$2:$I$2731,'Annual_Mortality'!$A$2:$A$2731,A4)</f>
      </c>
      <c r="O4" s="126" t="str">
        <f>SUMIFS('Budget_Impact'!$E$2:$E$391,'Budget_Impact'!$A$2:$A$391,A4)</f>
      </c>
      <c r="P4" s="127" t="str">
        <f>SUMIFS('Budget_Impact'!$F$2:$F$391,'Budget_Impact'!$A$2:$A$391,A4)</f>
      </c>
      <c r="Q4" s="128" t="str">
        <f>IF(K4&gt;0,P4/K4,"")</f>
      </c>
      <c r="R4" s="129" t="str">
        <f>IF(N4&gt;0,P4/N4,"")</f>
      </c>
      <c r="S4" s="114" t="str">
        <f>IF(AND(K4&lt;=0,N4&lt;=0),"no incremental health effect",IF(AND(P4&lt;0,OR(K4&gt;0,N4&gt;0)),"Dominant (more health, lower cost)",IF(N4&gt;0,"USD per death averted","USD per case averted")))</f>
      </c>
    </row>
    <row r="5">
      <c r="A5" t="s">
        <v>274</v>
      </c>
      <c r="B5" s="21" t="s">
        <v>276</v>
      </c>
      <c r="C5" t="s">
        <v>181</v>
      </c>
      <c r="D5" t="s">
        <v>208</v>
      </c>
      <c r="E5" t="s">
        <v>263</v>
      </c>
      <c r="F5" t="s">
        <v>426</v>
      </c>
      <c r="G5" s="21" t="s">
        <v>274</v>
      </c>
      <c r="H5" t="n">
        <v>2</v>
      </c>
      <c r="I5" s="120" t="str">
        <f>SUMIFS('Annual_Mortality'!$E$2:$E$2731,'Annual_Mortality'!$A$2:$A$2731,A5)</f>
      </c>
      <c r="J5" s="121" t="str">
        <f>SUMIFS('Annual_Mortality'!$G$2:$G$2731,'Annual_Mortality'!$A$2:$A$2731,A5)</f>
      </c>
      <c r="K5" s="122" t="str">
        <f>SUMIFS('Annual_Mortality'!$J$2:$J$2731,'Annual_Mortality'!$A$2:$A$2731,A5)</f>
      </c>
      <c r="L5" s="123" t="str">
        <f>SUMIFS('Annual_Mortality'!$F$2:$F$2731,'Annual_Mortality'!$A$2:$A$2731,A5)</f>
      </c>
      <c r="M5" s="124" t="str">
        <f>SUMIFS('Annual_Mortality'!$H$2:$H$2731,'Annual_Mortality'!$A$2:$A$2731,A5)</f>
      </c>
      <c r="N5" s="125" t="str">
        <f>SUMIFS('Annual_Mortality'!$I$2:$I$2731,'Annual_Mortality'!$A$2:$A$2731,A5)</f>
      </c>
      <c r="O5" s="126" t="str">
        <f>SUMIFS('Budget_Impact'!$E$2:$E$391,'Budget_Impact'!$A$2:$A$391,A5)</f>
      </c>
      <c r="P5" s="127" t="str">
        <f>SUMIFS('Budget_Impact'!$F$2:$F$391,'Budget_Impact'!$A$2:$A$391,A5)</f>
      </c>
      <c r="Q5" s="128" t="str">
        <f>IF(K5&gt;0,P5/K5,"")</f>
      </c>
      <c r="R5" s="129" t="str">
        <f>IF(N5&gt;0,P5/N5,"")</f>
      </c>
      <c r="S5" s="114" t="str">
        <f>IF(AND(K5&lt;=0,N5&lt;=0),"no incremental health effect",IF(AND(P5&lt;0,OR(K5&gt;0,N5&gt;0)),"Dominant (more health, lower cost)",IF(N5&gt;0,"USD per death averted","USD per case averted")))</f>
      </c>
    </row>
    <row r="6">
      <c r="A6" t="s">
        <v>259</v>
      </c>
      <c r="B6" s="21" t="s">
        <v>261</v>
      </c>
      <c r="C6" t="s">
        <v>181</v>
      </c>
      <c r="D6" t="s">
        <v>208</v>
      </c>
      <c r="E6" t="s">
        <v>263</v>
      </c>
      <c r="F6" t="s">
        <v>426</v>
      </c>
      <c r="G6" s="21" t="s">
        <v>259</v>
      </c>
      <c r="H6" t="n">
        <v>3</v>
      </c>
      <c r="I6" s="120" t="str">
        <f>SUMIFS('Annual_Mortality'!$E$2:$E$2731,'Annual_Mortality'!$A$2:$A$2731,A6)</f>
      </c>
      <c r="J6" s="121" t="str">
        <f>SUMIFS('Annual_Mortality'!$G$2:$G$2731,'Annual_Mortality'!$A$2:$A$2731,A6)</f>
      </c>
      <c r="K6" s="122" t="str">
        <f>SUMIFS('Annual_Mortality'!$J$2:$J$2731,'Annual_Mortality'!$A$2:$A$2731,A6)</f>
      </c>
      <c r="L6" s="123" t="str">
        <f>SUMIFS('Annual_Mortality'!$F$2:$F$2731,'Annual_Mortality'!$A$2:$A$2731,A6)</f>
      </c>
      <c r="M6" s="124" t="str">
        <f>SUMIFS('Annual_Mortality'!$H$2:$H$2731,'Annual_Mortality'!$A$2:$A$2731,A6)</f>
      </c>
      <c r="N6" s="125" t="str">
        <f>SUMIFS('Annual_Mortality'!$I$2:$I$2731,'Annual_Mortality'!$A$2:$A$2731,A6)</f>
      </c>
      <c r="O6" s="126" t="str">
        <f>SUMIFS('Budget_Impact'!$E$2:$E$391,'Budget_Impact'!$A$2:$A$391,A6)</f>
      </c>
      <c r="P6" s="127" t="str">
        <f>SUMIFS('Budget_Impact'!$F$2:$F$391,'Budget_Impact'!$A$2:$A$391,A6)</f>
      </c>
      <c r="Q6" s="128" t="str">
        <f>IF(K6&gt;0,P6/K6,"")</f>
      </c>
      <c r="R6" s="129" t="str">
        <f>IF(N6&gt;0,P6/N6,"")</f>
      </c>
      <c r="S6" s="114" t="str">
        <f>IF(AND(K6&lt;=0,N6&lt;=0),"no incremental health effect",IF(AND(P6&lt;0,OR(K6&gt;0,N6&gt;0)),"Dominant (more health, lower cost)",IF(N6&gt;0,"USD per death averted","USD per case averted")))</f>
      </c>
    </row>
    <row r="7">
      <c r="A7" t="s">
        <v>171</v>
      </c>
      <c r="B7" s="21" t="s">
        <v>173</v>
      </c>
      <c r="C7" t="s">
        <v>181</v>
      </c>
      <c r="D7" t="s">
        <v>181</v>
      </c>
      <c r="E7"/>
      <c r="F7"/>
      <c r="G7" s="21" t="s">
        <v>171</v>
      </c>
      <c r="H7" t="n">
        <v>1</v>
      </c>
      <c r="I7" s="120" t="str">
        <f>SUMIFS('Annual_Mortality'!$E$2:$E$2731,'Annual_Mortality'!$A$2:$A$2731,A7)</f>
      </c>
      <c r="J7" s="121" t="str">
        <f>SUMIFS('Annual_Mortality'!$G$2:$G$2731,'Annual_Mortality'!$A$2:$A$2731,A7)</f>
      </c>
      <c r="K7" s="122" t="str">
        <f>SUMIFS('Annual_Mortality'!$J$2:$J$2731,'Annual_Mortality'!$A$2:$A$2731,A7)</f>
      </c>
      <c r="L7" s="123" t="str">
        <f>SUMIFS('Annual_Mortality'!$F$2:$F$2731,'Annual_Mortality'!$A$2:$A$2731,A7)</f>
      </c>
      <c r="M7" s="124" t="str">
        <f>SUMIFS('Annual_Mortality'!$H$2:$H$2731,'Annual_Mortality'!$A$2:$A$2731,A7)</f>
      </c>
      <c r="N7" s="125" t="str">
        <f>SUMIFS('Annual_Mortality'!$I$2:$I$2731,'Annual_Mortality'!$A$2:$A$2731,A7)</f>
      </c>
      <c r="O7" s="126" t="str">
        <f>SUMIFS('Budget_Impact'!$E$2:$E$391,'Budget_Impact'!$A$2:$A$391,A7)</f>
      </c>
      <c r="P7" s="127" t="str">
        <f>SUMIFS('Budget_Impact'!$F$2:$F$391,'Budget_Impact'!$A$2:$A$391,A7)</f>
      </c>
      <c r="Q7" s="128" t="str">
        <f>IF(K7&gt;0,P7/K7,"")</f>
      </c>
      <c r="R7" s="129" t="str">
        <f>IF(N7&gt;0,P7/N7,"")</f>
      </c>
      <c r="S7" s="114" t="str">
        <f>IF(AND(K7&lt;=0,N7&lt;=0),"no incremental health effect",IF(AND(P7&lt;0,OR(K7&gt;0,N7&gt;0)),"Dominant (more health, lower cost)",IF(N7&gt;0,"USD per death averted","USD per case averted")))</f>
      </c>
    </row>
    <row r="8">
      <c r="A8" t="s">
        <v>226</v>
      </c>
      <c r="B8" s="21" t="s">
        <v>228</v>
      </c>
      <c r="C8" t="s">
        <v>181</v>
      </c>
      <c r="D8" t="s">
        <v>208</v>
      </c>
      <c r="E8" t="s">
        <v>207</v>
      </c>
      <c r="F8" t="s">
        <v>425</v>
      </c>
      <c r="G8" s="21" t="s">
        <v>226</v>
      </c>
      <c r="H8" t="n">
        <v>1</v>
      </c>
      <c r="I8" s="120" t="str">
        <f>SUMIFS('Annual_Mortality'!$E$2:$E$2731,'Annual_Mortality'!$A$2:$A$2731,A8)</f>
      </c>
      <c r="J8" s="121" t="str">
        <f>SUMIFS('Annual_Mortality'!$G$2:$G$2731,'Annual_Mortality'!$A$2:$A$2731,A8)</f>
      </c>
      <c r="K8" s="122" t="str">
        <f>SUMIFS('Annual_Mortality'!$J$2:$J$2731,'Annual_Mortality'!$A$2:$A$2731,A8)</f>
      </c>
      <c r="L8" s="123" t="str">
        <f>SUMIFS('Annual_Mortality'!$F$2:$F$2731,'Annual_Mortality'!$A$2:$A$2731,A8)</f>
      </c>
      <c r="M8" s="124" t="str">
        <f>SUMIFS('Annual_Mortality'!$H$2:$H$2731,'Annual_Mortality'!$A$2:$A$2731,A8)</f>
      </c>
      <c r="N8" s="125" t="str">
        <f>SUMIFS('Annual_Mortality'!$I$2:$I$2731,'Annual_Mortality'!$A$2:$A$2731,A8)</f>
      </c>
      <c r="O8" s="126" t="str">
        <f>SUMIFS('Budget_Impact'!$E$2:$E$391,'Budget_Impact'!$A$2:$A$391,A8)</f>
      </c>
      <c r="P8" s="127" t="str">
        <f>SUMIFS('Budget_Impact'!$F$2:$F$391,'Budget_Impact'!$A$2:$A$391,A8)</f>
      </c>
      <c r="Q8" s="128" t="str">
        <f>IF(K8&gt;0,P8/K8,"")</f>
      </c>
      <c r="R8" s="129" t="str">
        <f>IF(N8&gt;0,P8/N8,"")</f>
      </c>
      <c r="S8" s="114" t="str">
        <f>IF(AND(K8&lt;=0,N8&lt;=0),"no incremental health effect",IF(AND(P8&lt;0,OR(K8&gt;0,N8&gt;0)),"Dominant (more health, lower cost)",IF(N8&gt;0,"USD per death averted","USD per case averted")))</f>
      </c>
    </row>
    <row r="9">
      <c r="A9" t="s">
        <v>212</v>
      </c>
      <c r="B9" s="21" t="s">
        <v>214</v>
      </c>
      <c r="C9" t="s">
        <v>181</v>
      </c>
      <c r="D9" t="s">
        <v>208</v>
      </c>
      <c r="E9" t="s">
        <v>207</v>
      </c>
      <c r="F9" t="s">
        <v>425</v>
      </c>
      <c r="G9" s="21" t="s">
        <v>212</v>
      </c>
      <c r="H9" t="n">
        <v>2</v>
      </c>
      <c r="I9" s="120" t="str">
        <f>SUMIFS('Annual_Mortality'!$E$2:$E$2731,'Annual_Mortality'!$A$2:$A$2731,A9)</f>
      </c>
      <c r="J9" s="121" t="str">
        <f>SUMIFS('Annual_Mortality'!$G$2:$G$2731,'Annual_Mortality'!$A$2:$A$2731,A9)</f>
      </c>
      <c r="K9" s="122" t="str">
        <f>SUMIFS('Annual_Mortality'!$J$2:$J$2731,'Annual_Mortality'!$A$2:$A$2731,A9)</f>
      </c>
      <c r="L9" s="123" t="str">
        <f>SUMIFS('Annual_Mortality'!$F$2:$F$2731,'Annual_Mortality'!$A$2:$A$2731,A9)</f>
      </c>
      <c r="M9" s="124" t="str">
        <f>SUMIFS('Annual_Mortality'!$H$2:$H$2731,'Annual_Mortality'!$A$2:$A$2731,A9)</f>
      </c>
      <c r="N9" s="125" t="str">
        <f>SUMIFS('Annual_Mortality'!$I$2:$I$2731,'Annual_Mortality'!$A$2:$A$2731,A9)</f>
      </c>
      <c r="O9" s="126" t="str">
        <f>SUMIFS('Budget_Impact'!$E$2:$E$391,'Budget_Impact'!$A$2:$A$391,A9)</f>
      </c>
      <c r="P9" s="127" t="str">
        <f>SUMIFS('Budget_Impact'!$F$2:$F$391,'Budget_Impact'!$A$2:$A$391,A9)</f>
      </c>
      <c r="Q9" s="128" t="str">
        <f>IF(K9&gt;0,P9/K9,"")</f>
      </c>
      <c r="R9" s="129" t="str">
        <f>IF(N9&gt;0,P9/N9,"")</f>
      </c>
      <c r="S9" s="114" t="str">
        <f>IF(AND(K9&lt;=0,N9&lt;=0),"no incremental health effect",IF(AND(P9&lt;0,OR(K9&gt;0,N9&gt;0)),"Dominant (more health, lower cost)",IF(N9&gt;0,"USD per death averted","USD per case averted")))</f>
      </c>
    </row>
    <row r="10">
      <c r="A10" t="s">
        <v>219</v>
      </c>
      <c r="B10" s="21" t="s">
        <v>221</v>
      </c>
      <c r="C10" t="s">
        <v>181</v>
      </c>
      <c r="D10" t="s">
        <v>208</v>
      </c>
      <c r="E10" t="s">
        <v>207</v>
      </c>
      <c r="F10" t="s">
        <v>425</v>
      </c>
      <c r="G10" s="21" t="s">
        <v>219</v>
      </c>
      <c r="H10" t="n">
        <v>3</v>
      </c>
      <c r="I10" s="120" t="str">
        <f>SUMIFS('Annual_Mortality'!$E$2:$E$2731,'Annual_Mortality'!$A$2:$A$2731,A10)</f>
      </c>
      <c r="J10" s="121" t="str">
        <f>SUMIFS('Annual_Mortality'!$G$2:$G$2731,'Annual_Mortality'!$A$2:$A$2731,A10)</f>
      </c>
      <c r="K10" s="122" t="str">
        <f>SUMIFS('Annual_Mortality'!$J$2:$J$2731,'Annual_Mortality'!$A$2:$A$2731,A10)</f>
      </c>
      <c r="L10" s="123" t="str">
        <f>SUMIFS('Annual_Mortality'!$F$2:$F$2731,'Annual_Mortality'!$A$2:$A$2731,A10)</f>
      </c>
      <c r="M10" s="124" t="str">
        <f>SUMIFS('Annual_Mortality'!$H$2:$H$2731,'Annual_Mortality'!$A$2:$A$2731,A10)</f>
      </c>
      <c r="N10" s="125" t="str">
        <f>SUMIFS('Annual_Mortality'!$I$2:$I$2731,'Annual_Mortality'!$A$2:$A$2731,A10)</f>
      </c>
      <c r="O10" s="126" t="str">
        <f>SUMIFS('Budget_Impact'!$E$2:$E$391,'Budget_Impact'!$A$2:$A$391,A10)</f>
      </c>
      <c r="P10" s="127" t="str">
        <f>SUMIFS('Budget_Impact'!$F$2:$F$391,'Budget_Impact'!$A$2:$A$391,A10)</f>
      </c>
      <c r="Q10" s="128" t="str">
        <f>IF(K10&gt;0,P10/K10,"")</f>
      </c>
      <c r="R10" s="129" t="str">
        <f>IF(N10&gt;0,P10/N10,"")</f>
      </c>
      <c r="S10" s="114" t="str">
        <f>IF(AND(K10&lt;=0,N10&lt;=0),"no incremental health effect",IF(AND(P10&lt;0,OR(K10&gt;0,N10&gt;0)),"Dominant (more health, lower cost)",IF(N10&gt;0,"USD per death averted","USD per case averted")))</f>
      </c>
    </row>
    <row r="11">
      <c r="A11" t="s">
        <v>202</v>
      </c>
      <c r="B11" s="21" t="s">
        <v>204</v>
      </c>
      <c r="C11" t="s">
        <v>181</v>
      </c>
      <c r="D11" t="s">
        <v>208</v>
      </c>
      <c r="E11" t="s">
        <v>207</v>
      </c>
      <c r="F11" t="s">
        <v>425</v>
      </c>
      <c r="G11" s="21" t="s">
        <v>202</v>
      </c>
      <c r="H11" t="n">
        <v>4</v>
      </c>
      <c r="I11" s="120" t="str">
        <f>SUMIFS('Annual_Mortality'!$E$2:$E$2731,'Annual_Mortality'!$A$2:$A$2731,A11)</f>
      </c>
      <c r="J11" s="121" t="str">
        <f>SUMIFS('Annual_Mortality'!$G$2:$G$2731,'Annual_Mortality'!$A$2:$A$2731,A11)</f>
      </c>
      <c r="K11" s="122" t="str">
        <f>SUMIFS('Annual_Mortality'!$J$2:$J$2731,'Annual_Mortality'!$A$2:$A$2731,A11)</f>
      </c>
      <c r="L11" s="123" t="str">
        <f>SUMIFS('Annual_Mortality'!$F$2:$F$2731,'Annual_Mortality'!$A$2:$A$2731,A11)</f>
      </c>
      <c r="M11" s="124" t="str">
        <f>SUMIFS('Annual_Mortality'!$H$2:$H$2731,'Annual_Mortality'!$A$2:$A$2731,A11)</f>
      </c>
      <c r="N11" s="125" t="str">
        <f>SUMIFS('Annual_Mortality'!$I$2:$I$2731,'Annual_Mortality'!$A$2:$A$2731,A11)</f>
      </c>
      <c r="O11" s="126" t="str">
        <f>SUMIFS('Budget_Impact'!$E$2:$E$391,'Budget_Impact'!$A$2:$A$391,A11)</f>
      </c>
      <c r="P11" s="127" t="str">
        <f>SUMIFS('Budget_Impact'!$F$2:$F$391,'Budget_Impact'!$A$2:$A$391,A11)</f>
      </c>
      <c r="Q11" s="128" t="str">
        <f>IF(K11&gt;0,P11/K11,"")</f>
      </c>
      <c r="R11" s="129" t="str">
        <f>IF(N11&gt;0,P11/N11,"")</f>
      </c>
      <c r="S11" s="114" t="str">
        <f>IF(AND(K11&lt;=0,N11&lt;=0),"no incremental health effect",IF(AND(P11&lt;0,OR(K11&gt;0,N11&gt;0)),"Dominant (more health, lower cost)",IF(N11&gt;0,"USD per death averted","USD per case averted")))</f>
      </c>
    </row>
    <row r="12">
      <c r="A12" t="s">
        <v>244</v>
      </c>
      <c r="B12" s="21" t="s">
        <v>246</v>
      </c>
      <c r="C12" t="s">
        <v>181</v>
      </c>
      <c r="D12" t="s">
        <v>181</v>
      </c>
      <c r="E12"/>
      <c r="F12"/>
      <c r="G12" s="21" t="s">
        <v>244</v>
      </c>
      <c r="H12" t="n">
        <v>1</v>
      </c>
      <c r="I12" s="120" t="str">
        <f>SUMIFS('Annual_Mortality'!$E$2:$E$2731,'Annual_Mortality'!$A$2:$A$2731,A12)</f>
      </c>
      <c r="J12" s="121" t="str">
        <f>SUMIFS('Annual_Mortality'!$G$2:$G$2731,'Annual_Mortality'!$A$2:$A$2731,A12)</f>
      </c>
      <c r="K12" s="122" t="str">
        <f>SUMIFS('Annual_Mortality'!$J$2:$J$2731,'Annual_Mortality'!$A$2:$A$2731,A12)</f>
      </c>
      <c r="L12" s="123" t="str">
        <f>SUMIFS('Annual_Mortality'!$F$2:$F$2731,'Annual_Mortality'!$A$2:$A$2731,A12)</f>
      </c>
      <c r="M12" s="124" t="str">
        <f>SUMIFS('Annual_Mortality'!$H$2:$H$2731,'Annual_Mortality'!$A$2:$A$2731,A12)</f>
      </c>
      <c r="N12" s="125" t="str">
        <f>SUMIFS('Annual_Mortality'!$I$2:$I$2731,'Annual_Mortality'!$A$2:$A$2731,A12)</f>
      </c>
      <c r="O12" s="126" t="str">
        <f>SUMIFS('Budget_Impact'!$E$2:$E$391,'Budget_Impact'!$A$2:$A$391,A12)</f>
      </c>
      <c r="P12" s="127" t="str">
        <f>SUMIFS('Budget_Impact'!$F$2:$F$391,'Budget_Impact'!$A$2:$A$391,A12)</f>
      </c>
      <c r="Q12" s="128" t="str">
        <f>IF(K12&gt;0,P12/K12,"")</f>
      </c>
      <c r="R12" s="129" t="str">
        <f>IF(N12&gt;0,P12/N12,"")</f>
      </c>
      <c r="S12" s="114" t="str">
        <f>IF(AND(K12&lt;=0,N12&lt;=0),"no incremental health effect",IF(AND(P12&lt;0,OR(K12&gt;0,N12&gt;0)),"Dominant (more health, lower cost)",IF(N12&gt;0,"USD per death averted","USD per case averted")))</f>
      </c>
    </row>
    <row r="13">
      <c r="A13" t="s">
        <v>233</v>
      </c>
      <c r="B13" s="21" t="s">
        <v>235</v>
      </c>
      <c r="C13" t="s">
        <v>181</v>
      </c>
      <c r="D13" t="s">
        <v>181</v>
      </c>
      <c r="E13"/>
      <c r="F13"/>
      <c r="G13" s="21" t="s">
        <v>233</v>
      </c>
      <c r="H13" t="n">
        <v>1</v>
      </c>
      <c r="I13" s="120" t="str">
        <f>SUMIFS('Annual_Mortality'!$E$2:$E$2731,'Annual_Mortality'!$A$2:$A$2731,A13)</f>
      </c>
      <c r="J13" s="121" t="str">
        <f>SUMIFS('Annual_Mortality'!$G$2:$G$2731,'Annual_Mortality'!$A$2:$A$2731,A13)</f>
      </c>
      <c r="K13" s="122" t="str">
        <f>SUMIFS('Annual_Mortality'!$J$2:$J$2731,'Annual_Mortality'!$A$2:$A$2731,A13)</f>
      </c>
      <c r="L13" s="123" t="str">
        <f>SUMIFS('Annual_Mortality'!$F$2:$F$2731,'Annual_Mortality'!$A$2:$A$2731,A13)</f>
      </c>
      <c r="M13" s="124" t="str">
        <f>SUMIFS('Annual_Mortality'!$H$2:$H$2731,'Annual_Mortality'!$A$2:$A$2731,A13)</f>
      </c>
      <c r="N13" s="125" t="str">
        <f>SUMIFS('Annual_Mortality'!$I$2:$I$2731,'Annual_Mortality'!$A$2:$A$2731,A13)</f>
      </c>
      <c r="O13" s="126" t="str">
        <f>SUMIFS('Budget_Impact'!$E$2:$E$391,'Budget_Impact'!$A$2:$A$391,A13)</f>
      </c>
      <c r="P13" s="127" t="str">
        <f>SUMIFS('Budget_Impact'!$F$2:$F$391,'Budget_Impact'!$A$2:$A$391,A13)</f>
      </c>
      <c r="Q13" s="128" t="str">
        <f>IF(K13&gt;0,P13/K13,"")</f>
      </c>
      <c r="R13" s="129" t="str">
        <f>IF(N13&gt;0,P13/N13,"")</f>
      </c>
      <c r="S13" s="114" t="str">
        <f>IF(AND(K13&lt;=0,N13&lt;=0),"no incremental health effect",IF(AND(P13&lt;0,OR(K13&gt;0,N13&gt;0)),"Dominant (more health, lower cost)",IF(N13&gt;0,"USD per death averted","USD per case averted")))</f>
      </c>
    </row>
  </sheetData>
  <autoFilter ref="A1:S1"/>
  <pageMargins left="0.7" right="0.7" top="0.75" bottom="0.75" header="0.3" footer="0.3"/>
  <pageSetup paperSize="9" orientation="portrait" horizontalDpi="300" verticalDpi="300"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16.71" hidden="0" customWidth="1"/>
    <col min="4" max="4" width="15.71" hidden="0" customWidth="1"/>
    <col min="5" max="5" width="19.71" hidden="0" customWidth="1"/>
    <col min="6" max="6" width="21.71" hidden="0" customWidth="1"/>
    <col min="7" max="7" width="18.71" hidden="0" customWidth="1"/>
    <col min="8" max="8" width="17.71" hidden="0" customWidth="1"/>
    <col min="9" max="9" width="15.71" hidden="0" customWidth="1"/>
    <col min="10" max="10" width="16.71" hidden="0" customWidth="1"/>
    <col min="11" max="11" width="15.71" hidden="0" customWidth="1"/>
    <col min="12" max="12" width="16.71" hidden="0" customWidth="1"/>
    <col min="13" max="13" width="17.71" hidden="0" customWidth="1"/>
    <col min="14" max="14" width="16.71" hidden="0" customWidth="1"/>
    <col min="15" max="15" width="18.71" hidden="0" customWidth="1"/>
    <col min="16" max="16" width="23.71" hidden="0" customWidth="1"/>
    <col min="17" max="17" width="23.71" hidden="0" customWidth="1"/>
    <col min="18" max="18" width="24.71" hidden="0" customWidth="1"/>
    <col min="19" max="19" width="11.71" hidden="0" customWidth="1"/>
  </cols>
  <sheetData>
    <row r="1" ht="28" customHeight="1">
      <c r="A1" s="1" t="s">
        <v>415</v>
      </c>
      <c r="B1" s="1" t="s">
        <v>416</v>
      </c>
      <c r="C1" s="1" t="s">
        <v>799</v>
      </c>
      <c r="D1" s="1" t="s">
        <v>367</v>
      </c>
      <c r="E1" s="1" t="s">
        <v>168</v>
      </c>
      <c r="F1" s="1" t="s">
        <v>800</v>
      </c>
      <c r="G1" s="1" t="s">
        <v>801</v>
      </c>
      <c r="H1" s="1" t="s">
        <v>640</v>
      </c>
      <c r="I1" s="1" t="s">
        <v>802</v>
      </c>
      <c r="J1" s="1" t="s">
        <v>803</v>
      </c>
      <c r="K1" s="1" t="s">
        <v>423</v>
      </c>
      <c r="L1" s="1" t="s">
        <v>804</v>
      </c>
      <c r="M1" s="1" t="s">
        <v>805</v>
      </c>
      <c r="N1" s="1" t="s">
        <v>422</v>
      </c>
      <c r="O1" s="1" t="s">
        <v>443</v>
      </c>
      <c r="P1" s="1" t="s">
        <v>444</v>
      </c>
      <c r="Q1" s="1" t="s">
        <v>806</v>
      </c>
      <c r="R1" s="1" t="s">
        <v>447</v>
      </c>
      <c r="S1" s="1" t="s">
        <v>458</v>
      </c>
    </row>
    <row r="2">
      <c r="A2" t="s">
        <v>263</v>
      </c>
      <c r="B2" s="21" t="s">
        <v>426</v>
      </c>
      <c r="C2" t="s">
        <v>807</v>
      </c>
      <c r="D2" t="s">
        <v>807</v>
      </c>
      <c r="E2" t="s">
        <v>263</v>
      </c>
      <c r="F2" t="s">
        <v>426</v>
      </c>
      <c r="G2" s="21" t="s">
        <v>808</v>
      </c>
      <c r="H2"/>
      <c r="I2" s="130" t="str">
        <f>SUMIFS('Annual_Mortality'!$E$2:$E$2731,'Annual_Mortality'!$A$2:$A$2731,A2)</f>
      </c>
      <c r="J2" s="131" t="str">
        <f>SUMIFS('Annual_Mortality'!$G$2:$G$2731,'Annual_Mortality'!$A$2:$A$2731,A2)</f>
      </c>
      <c r="K2" s="132" t="str">
        <f>SUMIFS('Annual_Mortality'!$J$2:$J$2731,'Annual_Mortality'!$A$2:$A$2731,A2)</f>
      </c>
      <c r="L2" s="133" t="str">
        <f>SUMIFS('Annual_Mortality'!$F$2:$F$2731,'Annual_Mortality'!$A$2:$A$2731,A2)</f>
      </c>
      <c r="M2" s="134" t="str">
        <f>SUMIFS('Annual_Mortality'!$H$2:$H$2731,'Annual_Mortality'!$A$2:$A$2731,A2)</f>
      </c>
      <c r="N2" s="135" t="str">
        <f>SUMIFS('Annual_Mortality'!$I$2:$I$2731,'Annual_Mortality'!$A$2:$A$2731,A2)</f>
      </c>
      <c r="O2" s="136" t="str">
        <f>SUMIFS('Budget_Impact'!$E$2:$E$391,'Budget_Impact'!$A$2:$A$391,A2)</f>
      </c>
      <c r="P2" s="137" t="str">
        <f>SUMIFS('Budget_Impact'!$F$2:$F$391,'Budget_Impact'!$A$2:$A$391,A2)</f>
      </c>
      <c r="Q2" s="138" t="str">
        <f>IF(K2&gt;0,P2/K2,"")</f>
      </c>
      <c r="R2" s="139" t="str">
        <f>IF(N2&gt;0,P2/N2,"")</f>
      </c>
      <c r="S2" s="114" t="str">
        <f>IF(AND(K2&lt;=0,N2&lt;=0),"no incremental health effect",IF(AND(P2&lt;0,OR(K2&gt;0,N2&gt;0)),"Dominant (more health, lower cost)",IF(N2&gt;0,"USD per death averted","USD per case averted")))</f>
      </c>
    </row>
    <row r="3">
      <c r="A3" t="s">
        <v>207</v>
      </c>
      <c r="B3" s="21" t="s">
        <v>425</v>
      </c>
      <c r="C3" t="s">
        <v>807</v>
      </c>
      <c r="D3" t="s">
        <v>807</v>
      </c>
      <c r="E3" t="s">
        <v>207</v>
      </c>
      <c r="F3" t="s">
        <v>425</v>
      </c>
      <c r="G3" s="21" t="s">
        <v>809</v>
      </c>
      <c r="H3"/>
      <c r="I3" s="130" t="str">
        <f>SUMIFS('Annual_Mortality'!$E$2:$E$2731,'Annual_Mortality'!$A$2:$A$2731,A3)</f>
      </c>
      <c r="J3" s="131" t="str">
        <f>SUMIFS('Annual_Mortality'!$G$2:$G$2731,'Annual_Mortality'!$A$2:$A$2731,A3)</f>
      </c>
      <c r="K3" s="132" t="str">
        <f>SUMIFS('Annual_Mortality'!$J$2:$J$2731,'Annual_Mortality'!$A$2:$A$2731,A3)</f>
      </c>
      <c r="L3" s="133" t="str">
        <f>SUMIFS('Annual_Mortality'!$F$2:$F$2731,'Annual_Mortality'!$A$2:$A$2731,A3)</f>
      </c>
      <c r="M3" s="134" t="str">
        <f>SUMIFS('Annual_Mortality'!$H$2:$H$2731,'Annual_Mortality'!$A$2:$A$2731,A3)</f>
      </c>
      <c r="N3" s="135" t="str">
        <f>SUMIFS('Annual_Mortality'!$I$2:$I$2731,'Annual_Mortality'!$A$2:$A$2731,A3)</f>
      </c>
      <c r="O3" s="136" t="str">
        <f>SUMIFS('Budget_Impact'!$E$2:$E$391,'Budget_Impact'!$A$2:$A$391,A3)</f>
      </c>
      <c r="P3" s="137" t="str">
        <f>SUMIFS('Budget_Impact'!$F$2:$F$391,'Budget_Impact'!$A$2:$A$391,A3)</f>
      </c>
      <c r="Q3" s="138" t="str">
        <f>IF(K3&gt;0,P3/K3,"")</f>
      </c>
      <c r="R3" s="139" t="str">
        <f>IF(N3&gt;0,P3/N3,"")</f>
      </c>
      <c r="S3" s="114" t="str">
        <f>IF(AND(K3&lt;=0,N3&lt;=0),"no incremental health effect",IF(AND(P3&lt;0,OR(K3&gt;0,N3&gt;0)),"Dominant (more health, lower cost)",IF(N3&gt;0,"USD per death averted","USD per case averted")))</f>
      </c>
    </row>
    <row r="4">
      <c r="A4" t="s">
        <v>76</v>
      </c>
      <c r="B4" s="21" t="s">
        <v>427</v>
      </c>
      <c r="C4" t="s">
        <v>810</v>
      </c>
      <c r="D4" t="s">
        <v>810</v>
      </c>
      <c r="E4"/>
      <c r="F4"/>
      <c r="G4" s="21" t="s">
        <v>811</v>
      </c>
      <c r="H4"/>
      <c r="I4" s="130" t="str">
        <f>SUMIFS('Annual_Mortality'!$E$2:$E$2731,'Annual_Mortality'!$A$2:$A$2731,A4)</f>
      </c>
      <c r="J4" s="131" t="str">
        <f>SUMIFS('Annual_Mortality'!$G$2:$G$2731,'Annual_Mortality'!$A$2:$A$2731,A4)</f>
      </c>
      <c r="K4" s="132" t="str">
        <f>SUMIFS('Annual_Mortality'!$J$2:$J$2731,'Annual_Mortality'!$A$2:$A$2731,A4)</f>
      </c>
      <c r="L4" s="133" t="str">
        <f>SUMIFS('Annual_Mortality'!$F$2:$F$2731,'Annual_Mortality'!$A$2:$A$2731,A4)</f>
      </c>
      <c r="M4" s="134" t="str">
        <f>SUMIFS('Annual_Mortality'!$H$2:$H$2731,'Annual_Mortality'!$A$2:$A$2731,A4)</f>
      </c>
      <c r="N4" s="135" t="str">
        <f>SUMIFS('Annual_Mortality'!$I$2:$I$2731,'Annual_Mortality'!$A$2:$A$2731,A4)</f>
      </c>
      <c r="O4" s="136" t="str">
        <f>SUMIFS('Budget_Impact'!$E$2:$E$391,'Budget_Impact'!$A$2:$A$391,A4)</f>
      </c>
      <c r="P4" s="137" t="str">
        <f>SUMIFS('Budget_Impact'!$F$2:$F$391,'Budget_Impact'!$A$2:$A$391,A4)</f>
      </c>
      <c r="Q4" s="138" t="str">
        <f>IF(K4&gt;0,P4/K4,"")</f>
      </c>
      <c r="R4" s="139" t="str">
        <f>IF(N4&gt;0,P4/N4,"")</f>
      </c>
      <c r="S4" s="114" t="str">
        <f>IF(AND(K4&lt;=0,N4&lt;=0),"no incremental health effect",IF(AND(P4&lt;0,OR(K4&gt;0,N4&gt;0)),"Dominant (more health, lower cost)",IF(N4&gt;0,"USD per death averted","USD per case averted")))</f>
      </c>
    </row>
  </sheetData>
  <autoFilter ref="A1:S1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wrgar</dc:creator>
  <cp:lastModifiedBy>wrgar</cp:lastModifiedBy>
  <dcterms:created xsi:type="dcterms:W3CDTF">2026-08-20T17:49:57Z</dcterms:created>
</coreProperties>
</file>